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projeler\NovaPharm 1\"/>
    </mc:Choice>
  </mc:AlternateContent>
  <xr:revisionPtr revIDLastSave="0" documentId="13_ncr:1_{FD4BE825-DAA9-4E97-9A8F-7263AF575774}" xr6:coauthVersionLast="47" xr6:coauthVersionMax="47" xr10:uidLastSave="{00000000-0000-0000-0000-000000000000}"/>
  <bookViews>
    <workbookView xWindow="-108" yWindow="-108" windowWidth="23256" windowHeight="13896" tabRatio="779" activeTab="6" xr2:uid="{00000000-000D-0000-FFFF-FFFF00000000}"/>
  </bookViews>
  <sheets>
    <sheet name="Products" sheetId="2" r:id="rId1"/>
    <sheet name="Regions" sheetId="3" r:id="rId2"/>
    <sheet name="Sales_Reps" sheetId="4" r:id="rId3"/>
    <sheet name="HCP_Master" sheetId="5" r:id="rId4"/>
    <sheet name="Sales_Data" sheetId="6" r:id="rId5"/>
    <sheet name="Market_Data" sheetId="7" r:id="rId6"/>
    <sheet name="CRM_Calls" sheetId="8" r:id="rId7"/>
    <sheet name="01_Data_Audit" sheetId="10" r:id="rId8"/>
    <sheet name="02_KPI_Summary" sheetId="11" r:id="rId9"/>
    <sheet name="02_Pivot_Analysis" sheetId="12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1" l="1"/>
  <c r="D18" i="11"/>
  <c r="D8" i="11"/>
  <c r="K5" i="12"/>
  <c r="K6" i="12"/>
  <c r="K7" i="12"/>
  <c r="K8" i="12"/>
  <c r="K4" i="12"/>
  <c r="E5" i="12"/>
  <c r="E6" i="12"/>
  <c r="E7" i="12"/>
  <c r="E8" i="12"/>
  <c r="E4" i="12"/>
  <c r="B21" i="11"/>
  <c r="B20" i="11"/>
  <c r="B19" i="11"/>
  <c r="C18" i="11"/>
  <c r="B18" i="11"/>
  <c r="C17" i="11"/>
  <c r="D17" i="11" s="1"/>
  <c r="B17" i="11"/>
  <c r="D12" i="11"/>
  <c r="C12" i="11"/>
  <c r="B12" i="11"/>
  <c r="D11" i="11"/>
  <c r="C11" i="11"/>
  <c r="B11" i="11"/>
  <c r="C10" i="11"/>
  <c r="B10" i="11"/>
  <c r="C9" i="11"/>
  <c r="C8" i="11"/>
  <c r="B8" i="11"/>
  <c r="D7" i="11"/>
  <c r="C7" i="11"/>
  <c r="B7" i="11"/>
  <c r="D6" i="11"/>
  <c r="C6" i="11"/>
  <c r="B6" i="11"/>
  <c r="T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1002" i="6"/>
  <c r="S1003" i="6"/>
  <c r="S1004" i="6"/>
  <c r="S1005" i="6"/>
  <c r="S1006" i="6"/>
  <c r="S1007" i="6"/>
  <c r="S1008" i="6"/>
  <c r="S1009" i="6"/>
  <c r="S1010" i="6"/>
  <c r="S1011" i="6"/>
  <c r="S1012" i="6"/>
  <c r="S1013" i="6"/>
  <c r="S1014" i="6"/>
  <c r="S1015" i="6"/>
  <c r="S1016" i="6"/>
  <c r="S1017" i="6"/>
  <c r="S1018" i="6"/>
  <c r="S1019" i="6"/>
  <c r="S1020" i="6"/>
  <c r="S1021" i="6"/>
  <c r="S1022" i="6"/>
  <c r="S1023" i="6"/>
  <c r="S1024" i="6"/>
  <c r="S1025" i="6"/>
  <c r="S1026" i="6"/>
  <c r="S1027" i="6"/>
  <c r="S1028" i="6"/>
  <c r="S1029" i="6"/>
  <c r="S1030" i="6"/>
  <c r="S1031" i="6"/>
  <c r="S1032" i="6"/>
  <c r="S1033" i="6"/>
  <c r="S1034" i="6"/>
  <c r="S1035" i="6"/>
  <c r="S1036" i="6"/>
  <c r="S1037" i="6"/>
  <c r="S1038" i="6"/>
  <c r="S1039" i="6"/>
  <c r="S1040" i="6"/>
  <c r="S1041" i="6"/>
  <c r="S1042" i="6"/>
  <c r="S1043" i="6"/>
  <c r="S1044" i="6"/>
  <c r="S1045" i="6"/>
  <c r="S1046" i="6"/>
  <c r="S1047" i="6"/>
  <c r="S1048" i="6"/>
  <c r="S1049" i="6"/>
  <c r="S1050" i="6"/>
  <c r="S1051" i="6"/>
  <c r="S1052" i="6"/>
  <c r="S1053" i="6"/>
  <c r="S1054" i="6"/>
  <c r="S1055" i="6"/>
  <c r="S1056" i="6"/>
  <c r="S1057" i="6"/>
  <c r="S1058" i="6"/>
  <c r="S1059" i="6"/>
  <c r="S1060" i="6"/>
  <c r="S1061" i="6"/>
  <c r="S1062" i="6"/>
  <c r="S1063" i="6"/>
  <c r="S1064" i="6"/>
  <c r="S1065" i="6"/>
  <c r="S1066" i="6"/>
  <c r="S1067" i="6"/>
  <c r="S1068" i="6"/>
  <c r="S1069" i="6"/>
  <c r="S1070" i="6"/>
  <c r="S1071" i="6"/>
  <c r="S1072" i="6"/>
  <c r="S1073" i="6"/>
  <c r="S1074" i="6"/>
  <c r="S1075" i="6"/>
  <c r="S1076" i="6"/>
  <c r="S1077" i="6"/>
  <c r="S1078" i="6"/>
  <c r="S1079" i="6"/>
  <c r="S1080" i="6"/>
  <c r="S1081" i="6"/>
  <c r="S1082" i="6"/>
  <c r="S1083" i="6"/>
  <c r="S1084" i="6"/>
  <c r="S1085" i="6"/>
  <c r="S1086" i="6"/>
  <c r="S1087" i="6"/>
  <c r="S1088" i="6"/>
  <c r="S1089" i="6"/>
  <c r="S1090" i="6"/>
  <c r="S1091" i="6"/>
  <c r="S1092" i="6"/>
  <c r="S1093" i="6"/>
  <c r="S1094" i="6"/>
  <c r="S1095" i="6"/>
  <c r="S1096" i="6"/>
  <c r="S1097" i="6"/>
  <c r="S1098" i="6"/>
  <c r="S1099" i="6"/>
  <c r="S1100" i="6"/>
  <c r="S1101" i="6"/>
  <c r="S1102" i="6"/>
  <c r="S1103" i="6"/>
  <c r="S1104" i="6"/>
  <c r="S1105" i="6"/>
  <c r="S1106" i="6"/>
  <c r="S1107" i="6"/>
  <c r="S1108" i="6"/>
  <c r="S1109" i="6"/>
  <c r="S1110" i="6"/>
  <c r="S1111" i="6"/>
  <c r="S1112" i="6"/>
  <c r="S1113" i="6"/>
  <c r="S1114" i="6"/>
  <c r="S1115" i="6"/>
  <c r="S1116" i="6"/>
  <c r="S1117" i="6"/>
  <c r="S1118" i="6"/>
  <c r="S1119" i="6"/>
  <c r="S1120" i="6"/>
  <c r="S1121" i="6"/>
  <c r="S1122" i="6"/>
  <c r="S1123" i="6"/>
  <c r="S1124" i="6"/>
  <c r="S1125" i="6"/>
  <c r="S1126" i="6"/>
  <c r="S1127" i="6"/>
  <c r="S1128" i="6"/>
  <c r="S1129" i="6"/>
  <c r="S1130" i="6"/>
  <c r="S1131" i="6"/>
  <c r="S1132" i="6"/>
  <c r="S1133" i="6"/>
  <c r="S1134" i="6"/>
  <c r="S1135" i="6"/>
  <c r="S1136" i="6"/>
  <c r="S1137" i="6"/>
  <c r="S1138" i="6"/>
  <c r="S1139" i="6"/>
  <c r="S1140" i="6"/>
  <c r="S1141" i="6"/>
  <c r="S1142" i="6"/>
  <c r="S1143" i="6"/>
  <c r="S1144" i="6"/>
  <c r="S1145" i="6"/>
  <c r="S1146" i="6"/>
  <c r="S1147" i="6"/>
  <c r="S1148" i="6"/>
  <c r="S1149" i="6"/>
  <c r="S1150" i="6"/>
  <c r="S1151" i="6"/>
  <c r="S1152" i="6"/>
  <c r="S1153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758" i="6"/>
  <c r="P759" i="6"/>
  <c r="P760" i="6"/>
  <c r="P761" i="6"/>
  <c r="P762" i="6"/>
  <c r="P763" i="6"/>
  <c r="P764" i="6"/>
  <c r="P765" i="6"/>
  <c r="P766" i="6"/>
  <c r="P767" i="6"/>
  <c r="P768" i="6"/>
  <c r="P769" i="6"/>
  <c r="P770" i="6"/>
  <c r="P771" i="6"/>
  <c r="P772" i="6"/>
  <c r="P773" i="6"/>
  <c r="P774" i="6"/>
  <c r="P775" i="6"/>
  <c r="P776" i="6"/>
  <c r="P777" i="6"/>
  <c r="P778" i="6"/>
  <c r="P779" i="6"/>
  <c r="P780" i="6"/>
  <c r="P781" i="6"/>
  <c r="P782" i="6"/>
  <c r="P783" i="6"/>
  <c r="P784" i="6"/>
  <c r="P785" i="6"/>
  <c r="P786" i="6"/>
  <c r="P787" i="6"/>
  <c r="P788" i="6"/>
  <c r="P789" i="6"/>
  <c r="P790" i="6"/>
  <c r="P791" i="6"/>
  <c r="P792" i="6"/>
  <c r="P793" i="6"/>
  <c r="P794" i="6"/>
  <c r="P795" i="6"/>
  <c r="P796" i="6"/>
  <c r="P797" i="6"/>
  <c r="P798" i="6"/>
  <c r="P799" i="6"/>
  <c r="P800" i="6"/>
  <c r="P801" i="6"/>
  <c r="P802" i="6"/>
  <c r="P803" i="6"/>
  <c r="P804" i="6"/>
  <c r="P805" i="6"/>
  <c r="P806" i="6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8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P1001" i="6"/>
  <c r="P1002" i="6"/>
  <c r="P1003" i="6"/>
  <c r="P1004" i="6"/>
  <c r="P1005" i="6"/>
  <c r="P1006" i="6"/>
  <c r="P1007" i="6"/>
  <c r="P1008" i="6"/>
  <c r="P1009" i="6"/>
  <c r="P1010" i="6"/>
  <c r="P1011" i="6"/>
  <c r="P1012" i="6"/>
  <c r="P1013" i="6"/>
  <c r="P1014" i="6"/>
  <c r="P1015" i="6"/>
  <c r="P1016" i="6"/>
  <c r="P1017" i="6"/>
  <c r="P1018" i="6"/>
  <c r="P1019" i="6"/>
  <c r="P1020" i="6"/>
  <c r="P1021" i="6"/>
  <c r="P1022" i="6"/>
  <c r="P1023" i="6"/>
  <c r="P1024" i="6"/>
  <c r="P1025" i="6"/>
  <c r="P1026" i="6"/>
  <c r="P1027" i="6"/>
  <c r="P1028" i="6"/>
  <c r="P1029" i="6"/>
  <c r="P1030" i="6"/>
  <c r="P1031" i="6"/>
  <c r="P1032" i="6"/>
  <c r="P1033" i="6"/>
  <c r="P1034" i="6"/>
  <c r="P1035" i="6"/>
  <c r="P1036" i="6"/>
  <c r="P1037" i="6"/>
  <c r="P1038" i="6"/>
  <c r="P1039" i="6"/>
  <c r="P1040" i="6"/>
  <c r="P1041" i="6"/>
  <c r="P1042" i="6"/>
  <c r="P1043" i="6"/>
  <c r="P1044" i="6"/>
  <c r="P1045" i="6"/>
  <c r="P1046" i="6"/>
  <c r="P1047" i="6"/>
  <c r="P1048" i="6"/>
  <c r="P1049" i="6"/>
  <c r="P1050" i="6"/>
  <c r="P1051" i="6"/>
  <c r="P1052" i="6"/>
  <c r="P1053" i="6"/>
  <c r="P1054" i="6"/>
  <c r="P1055" i="6"/>
  <c r="P1056" i="6"/>
  <c r="P1057" i="6"/>
  <c r="P1058" i="6"/>
  <c r="P1059" i="6"/>
  <c r="P1060" i="6"/>
  <c r="P1061" i="6"/>
  <c r="P1062" i="6"/>
  <c r="P1063" i="6"/>
  <c r="P1064" i="6"/>
  <c r="P1065" i="6"/>
  <c r="P1066" i="6"/>
  <c r="P1067" i="6"/>
  <c r="P1068" i="6"/>
  <c r="P1069" i="6"/>
  <c r="P1070" i="6"/>
  <c r="P1071" i="6"/>
  <c r="P1072" i="6"/>
  <c r="P1073" i="6"/>
  <c r="P1074" i="6"/>
  <c r="P1075" i="6"/>
  <c r="P1076" i="6"/>
  <c r="P1077" i="6"/>
  <c r="P1078" i="6"/>
  <c r="P1079" i="6"/>
  <c r="P1080" i="6"/>
  <c r="P1081" i="6"/>
  <c r="P1082" i="6"/>
  <c r="P1083" i="6"/>
  <c r="P1084" i="6"/>
  <c r="P1085" i="6"/>
  <c r="P1086" i="6"/>
  <c r="P1087" i="6"/>
  <c r="P1088" i="6"/>
  <c r="P1089" i="6"/>
  <c r="P1090" i="6"/>
  <c r="P1091" i="6"/>
  <c r="P1092" i="6"/>
  <c r="P1093" i="6"/>
  <c r="P1094" i="6"/>
  <c r="P1095" i="6"/>
  <c r="P1096" i="6"/>
  <c r="P1097" i="6"/>
  <c r="P1098" i="6"/>
  <c r="P1099" i="6"/>
  <c r="P1100" i="6"/>
  <c r="P1101" i="6"/>
  <c r="P1102" i="6"/>
  <c r="P1103" i="6"/>
  <c r="P1104" i="6"/>
  <c r="P1105" i="6"/>
  <c r="P1106" i="6"/>
  <c r="P1107" i="6"/>
  <c r="P1108" i="6"/>
  <c r="P1109" i="6"/>
  <c r="P1110" i="6"/>
  <c r="P1111" i="6"/>
  <c r="P1112" i="6"/>
  <c r="P1113" i="6"/>
  <c r="P1114" i="6"/>
  <c r="P1115" i="6"/>
  <c r="P1116" i="6"/>
  <c r="P1117" i="6"/>
  <c r="P1118" i="6"/>
  <c r="P1119" i="6"/>
  <c r="P1120" i="6"/>
  <c r="P1121" i="6"/>
  <c r="P1122" i="6"/>
  <c r="P1123" i="6"/>
  <c r="P1124" i="6"/>
  <c r="P1125" i="6"/>
  <c r="P1126" i="6"/>
  <c r="P1127" i="6"/>
  <c r="P1128" i="6"/>
  <c r="P1129" i="6"/>
  <c r="P1130" i="6"/>
  <c r="P1131" i="6"/>
  <c r="P1132" i="6"/>
  <c r="P1133" i="6"/>
  <c r="P1134" i="6"/>
  <c r="P1135" i="6"/>
  <c r="P1136" i="6"/>
  <c r="P1137" i="6"/>
  <c r="P1138" i="6"/>
  <c r="P1139" i="6"/>
  <c r="P1140" i="6"/>
  <c r="P1141" i="6"/>
  <c r="P1142" i="6"/>
  <c r="P1143" i="6"/>
  <c r="P1144" i="6"/>
  <c r="P1145" i="6"/>
  <c r="P1146" i="6"/>
  <c r="P1147" i="6"/>
  <c r="P1148" i="6"/>
  <c r="P1149" i="6"/>
  <c r="P1150" i="6"/>
  <c r="P1151" i="6"/>
  <c r="P1152" i="6"/>
  <c r="P1153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732" i="6"/>
  <c r="O733" i="6"/>
  <c r="O734" i="6"/>
  <c r="O735" i="6"/>
  <c r="O736" i="6"/>
  <c r="O737" i="6"/>
  <c r="O738" i="6"/>
  <c r="O739" i="6"/>
  <c r="O740" i="6"/>
  <c r="O741" i="6"/>
  <c r="O742" i="6"/>
  <c r="O743" i="6"/>
  <c r="O744" i="6"/>
  <c r="O745" i="6"/>
  <c r="O746" i="6"/>
  <c r="O747" i="6"/>
  <c r="O748" i="6"/>
  <c r="O749" i="6"/>
  <c r="O750" i="6"/>
  <c r="O751" i="6"/>
  <c r="O752" i="6"/>
  <c r="O753" i="6"/>
  <c r="O754" i="6"/>
  <c r="O755" i="6"/>
  <c r="O756" i="6"/>
  <c r="O757" i="6"/>
  <c r="O758" i="6"/>
  <c r="O759" i="6"/>
  <c r="O760" i="6"/>
  <c r="O761" i="6"/>
  <c r="O762" i="6"/>
  <c r="O763" i="6"/>
  <c r="O764" i="6"/>
  <c r="O765" i="6"/>
  <c r="O766" i="6"/>
  <c r="O767" i="6"/>
  <c r="O768" i="6"/>
  <c r="O769" i="6"/>
  <c r="O770" i="6"/>
  <c r="O771" i="6"/>
  <c r="O772" i="6"/>
  <c r="O773" i="6"/>
  <c r="O774" i="6"/>
  <c r="O775" i="6"/>
  <c r="O776" i="6"/>
  <c r="O777" i="6"/>
  <c r="O778" i="6"/>
  <c r="O779" i="6"/>
  <c r="O780" i="6"/>
  <c r="O781" i="6"/>
  <c r="O782" i="6"/>
  <c r="O783" i="6"/>
  <c r="O784" i="6"/>
  <c r="O785" i="6"/>
  <c r="O786" i="6"/>
  <c r="O787" i="6"/>
  <c r="O788" i="6"/>
  <c r="O789" i="6"/>
  <c r="O790" i="6"/>
  <c r="O791" i="6"/>
  <c r="O792" i="6"/>
  <c r="O793" i="6"/>
  <c r="O794" i="6"/>
  <c r="O795" i="6"/>
  <c r="O796" i="6"/>
  <c r="O797" i="6"/>
  <c r="O798" i="6"/>
  <c r="O799" i="6"/>
  <c r="O800" i="6"/>
  <c r="O801" i="6"/>
  <c r="O802" i="6"/>
  <c r="O803" i="6"/>
  <c r="O804" i="6"/>
  <c r="O805" i="6"/>
  <c r="O806" i="6"/>
  <c r="O807" i="6"/>
  <c r="O808" i="6"/>
  <c r="O809" i="6"/>
  <c r="O810" i="6"/>
  <c r="O811" i="6"/>
  <c r="O812" i="6"/>
  <c r="O813" i="6"/>
  <c r="O814" i="6"/>
  <c r="O815" i="6"/>
  <c r="O816" i="6"/>
  <c r="O817" i="6"/>
  <c r="O818" i="6"/>
  <c r="O819" i="6"/>
  <c r="O820" i="6"/>
  <c r="O821" i="6"/>
  <c r="O822" i="6"/>
  <c r="O823" i="6"/>
  <c r="O824" i="6"/>
  <c r="O825" i="6"/>
  <c r="O826" i="6"/>
  <c r="O827" i="6"/>
  <c r="O828" i="6"/>
  <c r="O829" i="6"/>
  <c r="O830" i="6"/>
  <c r="O831" i="6"/>
  <c r="O832" i="6"/>
  <c r="O833" i="6"/>
  <c r="O834" i="6"/>
  <c r="O835" i="6"/>
  <c r="O836" i="6"/>
  <c r="O837" i="6"/>
  <c r="O838" i="6"/>
  <c r="O839" i="6"/>
  <c r="O840" i="6"/>
  <c r="O841" i="6"/>
  <c r="O842" i="6"/>
  <c r="O843" i="6"/>
  <c r="O844" i="6"/>
  <c r="O845" i="6"/>
  <c r="O846" i="6"/>
  <c r="O847" i="6"/>
  <c r="O848" i="6"/>
  <c r="O849" i="6"/>
  <c r="O850" i="6"/>
  <c r="O851" i="6"/>
  <c r="O852" i="6"/>
  <c r="O853" i="6"/>
  <c r="O854" i="6"/>
  <c r="O855" i="6"/>
  <c r="O856" i="6"/>
  <c r="O857" i="6"/>
  <c r="O858" i="6"/>
  <c r="O859" i="6"/>
  <c r="O860" i="6"/>
  <c r="O861" i="6"/>
  <c r="O862" i="6"/>
  <c r="O863" i="6"/>
  <c r="O864" i="6"/>
  <c r="O865" i="6"/>
  <c r="O866" i="6"/>
  <c r="O867" i="6"/>
  <c r="O868" i="6"/>
  <c r="O869" i="6"/>
  <c r="O870" i="6"/>
  <c r="O871" i="6"/>
  <c r="O872" i="6"/>
  <c r="O873" i="6"/>
  <c r="O874" i="6"/>
  <c r="O875" i="6"/>
  <c r="O876" i="6"/>
  <c r="O877" i="6"/>
  <c r="O878" i="6"/>
  <c r="O879" i="6"/>
  <c r="O880" i="6"/>
  <c r="O881" i="6"/>
  <c r="O882" i="6"/>
  <c r="O883" i="6"/>
  <c r="O884" i="6"/>
  <c r="O885" i="6"/>
  <c r="O886" i="6"/>
  <c r="O887" i="6"/>
  <c r="O888" i="6"/>
  <c r="O889" i="6"/>
  <c r="O890" i="6"/>
  <c r="O891" i="6"/>
  <c r="O892" i="6"/>
  <c r="O893" i="6"/>
  <c r="O894" i="6"/>
  <c r="O895" i="6"/>
  <c r="O896" i="6"/>
  <c r="O897" i="6"/>
  <c r="O898" i="6"/>
  <c r="O899" i="6"/>
  <c r="O900" i="6"/>
  <c r="O901" i="6"/>
  <c r="O902" i="6"/>
  <c r="O903" i="6"/>
  <c r="O904" i="6"/>
  <c r="O905" i="6"/>
  <c r="O906" i="6"/>
  <c r="O907" i="6"/>
  <c r="O908" i="6"/>
  <c r="O909" i="6"/>
  <c r="O910" i="6"/>
  <c r="O911" i="6"/>
  <c r="O912" i="6"/>
  <c r="O913" i="6"/>
  <c r="O914" i="6"/>
  <c r="O915" i="6"/>
  <c r="O916" i="6"/>
  <c r="O917" i="6"/>
  <c r="O918" i="6"/>
  <c r="O919" i="6"/>
  <c r="O920" i="6"/>
  <c r="O921" i="6"/>
  <c r="O922" i="6"/>
  <c r="O923" i="6"/>
  <c r="O924" i="6"/>
  <c r="O925" i="6"/>
  <c r="O926" i="6"/>
  <c r="O927" i="6"/>
  <c r="O928" i="6"/>
  <c r="O929" i="6"/>
  <c r="O930" i="6"/>
  <c r="O931" i="6"/>
  <c r="O932" i="6"/>
  <c r="O933" i="6"/>
  <c r="O934" i="6"/>
  <c r="O935" i="6"/>
  <c r="O936" i="6"/>
  <c r="O937" i="6"/>
  <c r="O938" i="6"/>
  <c r="O939" i="6"/>
  <c r="O940" i="6"/>
  <c r="O941" i="6"/>
  <c r="O942" i="6"/>
  <c r="O943" i="6"/>
  <c r="O944" i="6"/>
  <c r="O945" i="6"/>
  <c r="O946" i="6"/>
  <c r="O947" i="6"/>
  <c r="O948" i="6"/>
  <c r="O949" i="6"/>
  <c r="O950" i="6"/>
  <c r="O951" i="6"/>
  <c r="O952" i="6"/>
  <c r="O953" i="6"/>
  <c r="O954" i="6"/>
  <c r="O955" i="6"/>
  <c r="O956" i="6"/>
  <c r="O957" i="6"/>
  <c r="O958" i="6"/>
  <c r="O959" i="6"/>
  <c r="O960" i="6"/>
  <c r="O961" i="6"/>
  <c r="O962" i="6"/>
  <c r="O963" i="6"/>
  <c r="O964" i="6"/>
  <c r="O965" i="6"/>
  <c r="O966" i="6"/>
  <c r="O967" i="6"/>
  <c r="O968" i="6"/>
  <c r="O969" i="6"/>
  <c r="O970" i="6"/>
  <c r="O971" i="6"/>
  <c r="O972" i="6"/>
  <c r="O973" i="6"/>
  <c r="O974" i="6"/>
  <c r="O975" i="6"/>
  <c r="O976" i="6"/>
  <c r="O977" i="6"/>
  <c r="O978" i="6"/>
  <c r="O979" i="6"/>
  <c r="O980" i="6"/>
  <c r="O981" i="6"/>
  <c r="O982" i="6"/>
  <c r="O983" i="6"/>
  <c r="O984" i="6"/>
  <c r="O985" i="6"/>
  <c r="O986" i="6"/>
  <c r="O987" i="6"/>
  <c r="O988" i="6"/>
  <c r="O989" i="6"/>
  <c r="O990" i="6"/>
  <c r="O991" i="6"/>
  <c r="O992" i="6"/>
  <c r="O993" i="6"/>
  <c r="O994" i="6"/>
  <c r="O995" i="6"/>
  <c r="O996" i="6"/>
  <c r="O997" i="6"/>
  <c r="O998" i="6"/>
  <c r="O999" i="6"/>
  <c r="O1000" i="6"/>
  <c r="O1001" i="6"/>
  <c r="O1002" i="6"/>
  <c r="O1003" i="6"/>
  <c r="O1004" i="6"/>
  <c r="O1005" i="6"/>
  <c r="O1006" i="6"/>
  <c r="O1007" i="6"/>
  <c r="O1008" i="6"/>
  <c r="O1009" i="6"/>
  <c r="O1010" i="6"/>
  <c r="O1011" i="6"/>
  <c r="O1012" i="6"/>
  <c r="O1013" i="6"/>
  <c r="O1014" i="6"/>
  <c r="O1015" i="6"/>
  <c r="O1016" i="6"/>
  <c r="O1017" i="6"/>
  <c r="O1018" i="6"/>
  <c r="O1019" i="6"/>
  <c r="O1020" i="6"/>
  <c r="O1021" i="6"/>
  <c r="O1022" i="6"/>
  <c r="O1023" i="6"/>
  <c r="O1024" i="6"/>
  <c r="O1025" i="6"/>
  <c r="O1026" i="6"/>
  <c r="O1027" i="6"/>
  <c r="O1028" i="6"/>
  <c r="O1029" i="6"/>
  <c r="O1030" i="6"/>
  <c r="O1031" i="6"/>
  <c r="O1032" i="6"/>
  <c r="O1033" i="6"/>
  <c r="O1034" i="6"/>
  <c r="O1035" i="6"/>
  <c r="O1036" i="6"/>
  <c r="O1037" i="6"/>
  <c r="O1038" i="6"/>
  <c r="O1039" i="6"/>
  <c r="O1040" i="6"/>
  <c r="O1041" i="6"/>
  <c r="O1042" i="6"/>
  <c r="O1043" i="6"/>
  <c r="O1044" i="6"/>
  <c r="O1045" i="6"/>
  <c r="O1046" i="6"/>
  <c r="O1047" i="6"/>
  <c r="O1048" i="6"/>
  <c r="O1049" i="6"/>
  <c r="O1050" i="6"/>
  <c r="O1051" i="6"/>
  <c r="O1052" i="6"/>
  <c r="O1053" i="6"/>
  <c r="O1054" i="6"/>
  <c r="O1055" i="6"/>
  <c r="O1056" i="6"/>
  <c r="O1057" i="6"/>
  <c r="O1058" i="6"/>
  <c r="O1059" i="6"/>
  <c r="O1060" i="6"/>
  <c r="O1061" i="6"/>
  <c r="O1062" i="6"/>
  <c r="O1063" i="6"/>
  <c r="O1064" i="6"/>
  <c r="O1065" i="6"/>
  <c r="O1066" i="6"/>
  <c r="O1067" i="6"/>
  <c r="O1068" i="6"/>
  <c r="O1069" i="6"/>
  <c r="O1070" i="6"/>
  <c r="O1071" i="6"/>
  <c r="O1072" i="6"/>
  <c r="O1073" i="6"/>
  <c r="O1074" i="6"/>
  <c r="O1075" i="6"/>
  <c r="O1076" i="6"/>
  <c r="O1077" i="6"/>
  <c r="O1078" i="6"/>
  <c r="O1079" i="6"/>
  <c r="O1080" i="6"/>
  <c r="O1081" i="6"/>
  <c r="O1082" i="6"/>
  <c r="O1083" i="6"/>
  <c r="O1084" i="6"/>
  <c r="O1085" i="6"/>
  <c r="O1086" i="6"/>
  <c r="O1087" i="6"/>
  <c r="O1088" i="6"/>
  <c r="O1089" i="6"/>
  <c r="O1090" i="6"/>
  <c r="O1091" i="6"/>
  <c r="O1092" i="6"/>
  <c r="O1093" i="6"/>
  <c r="O1094" i="6"/>
  <c r="O1095" i="6"/>
  <c r="O1096" i="6"/>
  <c r="O1097" i="6"/>
  <c r="O1098" i="6"/>
  <c r="O1099" i="6"/>
  <c r="O1100" i="6"/>
  <c r="O1101" i="6"/>
  <c r="O1102" i="6"/>
  <c r="O1103" i="6"/>
  <c r="O1104" i="6"/>
  <c r="O1105" i="6"/>
  <c r="O1106" i="6"/>
  <c r="O1107" i="6"/>
  <c r="O1108" i="6"/>
  <c r="O1109" i="6"/>
  <c r="O1110" i="6"/>
  <c r="O1111" i="6"/>
  <c r="O1112" i="6"/>
  <c r="O1113" i="6"/>
  <c r="O1114" i="6"/>
  <c r="O1115" i="6"/>
  <c r="O1116" i="6"/>
  <c r="O1117" i="6"/>
  <c r="O1118" i="6"/>
  <c r="O1119" i="6"/>
  <c r="O1120" i="6"/>
  <c r="O1121" i="6"/>
  <c r="O1122" i="6"/>
  <c r="O1123" i="6"/>
  <c r="O1124" i="6"/>
  <c r="O1125" i="6"/>
  <c r="O1126" i="6"/>
  <c r="O1127" i="6"/>
  <c r="O1128" i="6"/>
  <c r="O1129" i="6"/>
  <c r="O1130" i="6"/>
  <c r="O1131" i="6"/>
  <c r="O1132" i="6"/>
  <c r="O1133" i="6"/>
  <c r="O1134" i="6"/>
  <c r="O1135" i="6"/>
  <c r="O1136" i="6"/>
  <c r="O1137" i="6"/>
  <c r="O1138" i="6"/>
  <c r="O1139" i="6"/>
  <c r="O1140" i="6"/>
  <c r="O1141" i="6"/>
  <c r="O1142" i="6"/>
  <c r="O1143" i="6"/>
  <c r="O1144" i="6"/>
  <c r="O1145" i="6"/>
  <c r="O1146" i="6"/>
  <c r="O1147" i="6"/>
  <c r="O1148" i="6"/>
  <c r="O1149" i="6"/>
  <c r="O1150" i="6"/>
  <c r="O1151" i="6"/>
  <c r="O1152" i="6"/>
  <c r="O1153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D72" i="10"/>
  <c r="D73" i="10"/>
  <c r="C73" i="10"/>
  <c r="C72" i="10"/>
  <c r="B73" i="10"/>
  <c r="B72" i="10"/>
  <c r="B69" i="10"/>
  <c r="D69" i="10" s="1"/>
  <c r="B70" i="10"/>
  <c r="B71" i="10"/>
  <c r="D71" i="10"/>
  <c r="D52" i="10"/>
  <c r="D53" i="10"/>
  <c r="B53" i="10"/>
  <c r="B52" i="10"/>
  <c r="D70" i="10"/>
  <c r="B68" i="10"/>
  <c r="D68" i="10" s="1"/>
  <c r="B65" i="10"/>
  <c r="D65" i="10" s="1"/>
  <c r="D62" i="10"/>
  <c r="B62" i="10"/>
  <c r="D59" i="10"/>
  <c r="B59" i="10" a="1"/>
  <c r="B59" i="10"/>
  <c r="D56" i="10"/>
  <c r="B56" i="10"/>
  <c r="D50" i="10"/>
  <c r="D51" i="10"/>
  <c r="B51" i="10"/>
  <c r="B50" i="10"/>
  <c r="B47" i="10"/>
  <c r="D47" i="10" s="1"/>
  <c r="B44" i="10"/>
  <c r="D44" i="10" s="1"/>
  <c r="B41" i="10" a="1"/>
  <c r="B41" i="10" s="1"/>
  <c r="D41" i="10" s="1"/>
  <c r="D34" i="10"/>
  <c r="D35" i="10"/>
  <c r="D36" i="10"/>
  <c r="D37" i="10"/>
  <c r="D38" i="10"/>
  <c r="B38" i="10" a="1"/>
  <c r="B38" i="10" s="1"/>
  <c r="B37" i="10" a="1"/>
  <c r="B37" i="10" s="1"/>
  <c r="B36" i="10" a="1"/>
  <c r="B36" i="10" s="1"/>
  <c r="B35" i="10" a="1"/>
  <c r="B35" i="10" s="1"/>
  <c r="B34" i="10" a="1"/>
  <c r="B34" i="10" s="1"/>
  <c r="B33" i="10" a="1"/>
  <c r="B33" i="10" s="1"/>
  <c r="D33" i="10" s="1"/>
  <c r="B32" i="10" a="1"/>
  <c r="B32" i="10" s="1"/>
  <c r="D32" i="10" s="1"/>
  <c r="B31" i="10" a="1"/>
  <c r="B31" i="10" s="1"/>
  <c r="D31" i="10" s="1"/>
  <c r="D23" i="10"/>
  <c r="D24" i="10"/>
  <c r="D25" i="10"/>
  <c r="D26" i="10"/>
  <c r="D27" i="10"/>
  <c r="D28" i="10"/>
  <c r="B28" i="10"/>
  <c r="B27" i="10"/>
  <c r="B26" i="10"/>
  <c r="B25" i="10"/>
  <c r="B24" i="10"/>
  <c r="B23" i="10"/>
  <c r="B22" i="10"/>
  <c r="D22" i="10" s="1"/>
  <c r="D19" i="10"/>
  <c r="B19" i="10"/>
  <c r="D18" i="10"/>
  <c r="B18" i="10"/>
  <c r="B17" i="10"/>
  <c r="D17" i="10" s="1"/>
  <c r="D16" i="10"/>
  <c r="B16" i="10"/>
  <c r="D15" i="10"/>
  <c r="B15" i="10"/>
  <c r="D14" i="10"/>
  <c r="B14" i="10"/>
  <c r="D13" i="10"/>
  <c r="B13" i="10"/>
  <c r="B10" i="10"/>
  <c r="D10" i="10" s="1"/>
  <c r="B9" i="10"/>
  <c r="D9" i="10" s="1"/>
  <c r="B8" i="10"/>
  <c r="D8" i="10" s="1"/>
  <c r="D6" i="10"/>
  <c r="B7" i="10"/>
  <c r="D7" i="10" s="1"/>
  <c r="B4" i="10"/>
  <c r="D4" i="10" s="1"/>
  <c r="B5" i="10"/>
  <c r="D5" i="10" s="1"/>
  <c r="B6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<sst xmlns="http://schemas.openxmlformats.org/spreadsheetml/2006/main" count="34267" uniqueCount="5092">
  <si>
    <t>Regions</t>
  </si>
  <si>
    <t>ProductID</t>
  </si>
  <si>
    <t>ProductName</t>
  </si>
  <si>
    <t>TherapeuticArea</t>
  </si>
  <si>
    <t>ListPriceTRY</t>
  </si>
  <si>
    <t>P001</t>
  </si>
  <si>
    <t>Cardiovan</t>
  </si>
  <si>
    <t>Cardiology</t>
  </si>
  <si>
    <t>P002</t>
  </si>
  <si>
    <t>GlucoRelief</t>
  </si>
  <si>
    <t>Diabetes</t>
  </si>
  <si>
    <t>P003</t>
  </si>
  <si>
    <t>RespiraX</t>
  </si>
  <si>
    <t>Respiratory</t>
  </si>
  <si>
    <t>P004</t>
  </si>
  <si>
    <t>NeuroCalm</t>
  </si>
  <si>
    <t>Neurology</t>
  </si>
  <si>
    <t>RegionID</t>
  </si>
  <si>
    <t>Region</t>
  </si>
  <si>
    <t>R01</t>
  </si>
  <si>
    <t>Marmara</t>
  </si>
  <si>
    <t>R02</t>
  </si>
  <si>
    <t>Aegean</t>
  </si>
  <si>
    <t>R03</t>
  </si>
  <si>
    <t>Central Anatolia</t>
  </si>
  <si>
    <t>R04</t>
  </si>
  <si>
    <t>Mediterranean</t>
  </si>
  <si>
    <t>RepID</t>
  </si>
  <si>
    <t>RepName</t>
  </si>
  <si>
    <t>TerritoryID</t>
  </si>
  <si>
    <t>HireDate</t>
  </si>
  <si>
    <t>ActiveFlag</t>
  </si>
  <si>
    <t>REP01</t>
  </si>
  <si>
    <t>Sales Rep 01</t>
  </si>
  <si>
    <t>T01</t>
  </si>
  <si>
    <t>REP02</t>
  </si>
  <si>
    <t>Sales Rep 02</t>
  </si>
  <si>
    <t>T02</t>
  </si>
  <si>
    <t>REP03</t>
  </si>
  <si>
    <t>Sales Rep 03</t>
  </si>
  <si>
    <t>T03</t>
  </si>
  <si>
    <t>REP04</t>
  </si>
  <si>
    <t>Sales Rep 04</t>
  </si>
  <si>
    <t>T04</t>
  </si>
  <si>
    <t>REP05</t>
  </si>
  <si>
    <t>Sales Rep 05</t>
  </si>
  <si>
    <t>T05</t>
  </si>
  <si>
    <t>REP06</t>
  </si>
  <si>
    <t>Sales Rep 06</t>
  </si>
  <si>
    <t>T06</t>
  </si>
  <si>
    <t>REP07</t>
  </si>
  <si>
    <t>Sales Rep 07</t>
  </si>
  <si>
    <t>T07</t>
  </si>
  <si>
    <t>REP08</t>
  </si>
  <si>
    <t>Sales Rep 08</t>
  </si>
  <si>
    <t>T08</t>
  </si>
  <si>
    <t>REP09</t>
  </si>
  <si>
    <t>Sales Rep 09</t>
  </si>
  <si>
    <t>T09</t>
  </si>
  <si>
    <t>REP10</t>
  </si>
  <si>
    <t>Sales Rep 10</t>
  </si>
  <si>
    <t>T10</t>
  </si>
  <si>
    <t>REP11</t>
  </si>
  <si>
    <t>Sales Rep 11</t>
  </si>
  <si>
    <t>T11</t>
  </si>
  <si>
    <t>REP12</t>
  </si>
  <si>
    <t>Sales Rep 12</t>
  </si>
  <si>
    <t>T12</t>
  </si>
  <si>
    <t>HCPID</t>
  </si>
  <si>
    <t>HCPName</t>
  </si>
  <si>
    <t>Specialty</t>
  </si>
  <si>
    <t>Segment</t>
  </si>
  <si>
    <t>PotentialScore</t>
  </si>
  <si>
    <t>EngagementScore</t>
  </si>
  <si>
    <t>TargetFlag</t>
  </si>
  <si>
    <t>HCP001</t>
  </si>
  <si>
    <t>HCP 001</t>
  </si>
  <si>
    <t>B</t>
  </si>
  <si>
    <t>HCP002</t>
  </si>
  <si>
    <t>HCP 002</t>
  </si>
  <si>
    <t>Endocrinology</t>
  </si>
  <si>
    <t>A</t>
  </si>
  <si>
    <t>HCP003</t>
  </si>
  <si>
    <t>HCP 003</t>
  </si>
  <si>
    <t>Internal Medicine</t>
  </si>
  <si>
    <t>HCP004</t>
  </si>
  <si>
    <t>HCP 004</t>
  </si>
  <si>
    <t>C</t>
  </si>
  <si>
    <t>HCP005</t>
  </si>
  <si>
    <t>HCP 005</t>
  </si>
  <si>
    <t>HCP006</t>
  </si>
  <si>
    <t>HCP 006</t>
  </si>
  <si>
    <t>HCP007</t>
  </si>
  <si>
    <t>HCP 007</t>
  </si>
  <si>
    <t>HCP008</t>
  </si>
  <si>
    <t>HCP 008</t>
  </si>
  <si>
    <t>HCP009</t>
  </si>
  <si>
    <t>HCP 009</t>
  </si>
  <si>
    <t>Pulmonology</t>
  </si>
  <si>
    <t>HCP010</t>
  </si>
  <si>
    <t>HCP 010</t>
  </si>
  <si>
    <t>HCP011</t>
  </si>
  <si>
    <t>HCP 011</t>
  </si>
  <si>
    <t>HCP012</t>
  </si>
  <si>
    <t>HCP 012</t>
  </si>
  <si>
    <t>HCP013</t>
  </si>
  <si>
    <t>HCP 013</t>
  </si>
  <si>
    <t>HCP014</t>
  </si>
  <si>
    <t>HCP 014</t>
  </si>
  <si>
    <t>HCP015</t>
  </si>
  <si>
    <t>HCP 015</t>
  </si>
  <si>
    <t>HCP016</t>
  </si>
  <si>
    <t>HCP 016</t>
  </si>
  <si>
    <t>HCP017</t>
  </si>
  <si>
    <t>HCP 017</t>
  </si>
  <si>
    <t>HCP018</t>
  </si>
  <si>
    <t>HCP 018</t>
  </si>
  <si>
    <t>General Practice</t>
  </si>
  <si>
    <t>HCP019</t>
  </si>
  <si>
    <t>HCP 019</t>
  </si>
  <si>
    <t>HCP020</t>
  </si>
  <si>
    <t>HCP 020</t>
  </si>
  <si>
    <t>HCP021</t>
  </si>
  <si>
    <t>HCP 021</t>
  </si>
  <si>
    <t>HCP022</t>
  </si>
  <si>
    <t>HCP 022</t>
  </si>
  <si>
    <t>HCP023</t>
  </si>
  <si>
    <t>HCP 023</t>
  </si>
  <si>
    <t>HCP024</t>
  </si>
  <si>
    <t>HCP 024</t>
  </si>
  <si>
    <t>HCP025</t>
  </si>
  <si>
    <t>HCP 025</t>
  </si>
  <si>
    <t>HCP026</t>
  </si>
  <si>
    <t>HCP 026</t>
  </si>
  <si>
    <t>HCP027</t>
  </si>
  <si>
    <t>HCP 027</t>
  </si>
  <si>
    <t>HCP028</t>
  </si>
  <si>
    <t>HCP 028</t>
  </si>
  <si>
    <t>HCP029</t>
  </si>
  <si>
    <t>HCP 029</t>
  </si>
  <si>
    <t>HCP030</t>
  </si>
  <si>
    <t>HCP 030</t>
  </si>
  <si>
    <t>HCP031</t>
  </si>
  <si>
    <t>HCP 031</t>
  </si>
  <si>
    <t>HCP032</t>
  </si>
  <si>
    <t>HCP 032</t>
  </si>
  <si>
    <t>HCP033</t>
  </si>
  <si>
    <t>HCP 033</t>
  </si>
  <si>
    <t>HCP034</t>
  </si>
  <si>
    <t>HCP 034</t>
  </si>
  <si>
    <t>HCP035</t>
  </si>
  <si>
    <t>HCP 035</t>
  </si>
  <si>
    <t>HCP036</t>
  </si>
  <si>
    <t>HCP 036</t>
  </si>
  <si>
    <t>HCP037</t>
  </si>
  <si>
    <t>HCP 037</t>
  </si>
  <si>
    <t>HCP038</t>
  </si>
  <si>
    <t>HCP 038</t>
  </si>
  <si>
    <t>HCP039</t>
  </si>
  <si>
    <t>HCP 039</t>
  </si>
  <si>
    <t>HCP040</t>
  </si>
  <si>
    <t>HCP 040</t>
  </si>
  <si>
    <t>HCP041</t>
  </si>
  <si>
    <t>HCP 041</t>
  </si>
  <si>
    <t>HCP042</t>
  </si>
  <si>
    <t>HCP 042</t>
  </si>
  <si>
    <t>HCP043</t>
  </si>
  <si>
    <t>HCP 043</t>
  </si>
  <si>
    <t>HCP044</t>
  </si>
  <si>
    <t>HCP 044</t>
  </si>
  <si>
    <t>HCP045</t>
  </si>
  <si>
    <t>HCP 045</t>
  </si>
  <si>
    <t>HCP046</t>
  </si>
  <si>
    <t>HCP 046</t>
  </si>
  <si>
    <t>HCP047</t>
  </si>
  <si>
    <t>HCP 047</t>
  </si>
  <si>
    <t>HCP048</t>
  </si>
  <si>
    <t>HCP 048</t>
  </si>
  <si>
    <t>HCP049</t>
  </si>
  <si>
    <t>HCP 049</t>
  </si>
  <si>
    <t>HCP050</t>
  </si>
  <si>
    <t>HCP 050</t>
  </si>
  <si>
    <t>HCP051</t>
  </si>
  <si>
    <t>HCP 051</t>
  </si>
  <si>
    <t>HCP052</t>
  </si>
  <si>
    <t>HCP 052</t>
  </si>
  <si>
    <t>HCP053</t>
  </si>
  <si>
    <t>HCP 053</t>
  </si>
  <si>
    <t>HCP054</t>
  </si>
  <si>
    <t>HCP 054</t>
  </si>
  <si>
    <t>HCP055</t>
  </si>
  <si>
    <t>HCP 055</t>
  </si>
  <si>
    <t>HCP056</t>
  </si>
  <si>
    <t>HCP 056</t>
  </si>
  <si>
    <t>HCP057</t>
  </si>
  <si>
    <t>HCP 057</t>
  </si>
  <si>
    <t>HCP058</t>
  </si>
  <si>
    <t>HCP 058</t>
  </si>
  <si>
    <t>HCP059</t>
  </si>
  <si>
    <t>HCP 059</t>
  </si>
  <si>
    <t>HCP060</t>
  </si>
  <si>
    <t>HCP 060</t>
  </si>
  <si>
    <t>HCP061</t>
  </si>
  <si>
    <t>HCP 061</t>
  </si>
  <si>
    <t>HCP062</t>
  </si>
  <si>
    <t>HCP 062</t>
  </si>
  <si>
    <t>HCP063</t>
  </si>
  <si>
    <t>HCP 063</t>
  </si>
  <si>
    <t>HCP064</t>
  </si>
  <si>
    <t>HCP 064</t>
  </si>
  <si>
    <t>HCP065</t>
  </si>
  <si>
    <t>HCP 065</t>
  </si>
  <si>
    <t>HCP066</t>
  </si>
  <si>
    <t>HCP 066</t>
  </si>
  <si>
    <t>HCP067</t>
  </si>
  <si>
    <t>HCP 067</t>
  </si>
  <si>
    <t>HCP068</t>
  </si>
  <si>
    <t>HCP 068</t>
  </si>
  <si>
    <t>HCP069</t>
  </si>
  <si>
    <t>HCP 069</t>
  </si>
  <si>
    <t>HCP070</t>
  </si>
  <si>
    <t>HCP 070</t>
  </si>
  <si>
    <t>HCP071</t>
  </si>
  <si>
    <t>HCP 071</t>
  </si>
  <si>
    <t>HCP072</t>
  </si>
  <si>
    <t>HCP 072</t>
  </si>
  <si>
    <t>HCP073</t>
  </si>
  <si>
    <t>HCP 073</t>
  </si>
  <si>
    <t>HCP074</t>
  </si>
  <si>
    <t>HCP 074</t>
  </si>
  <si>
    <t>HCP075</t>
  </si>
  <si>
    <t>HCP 075</t>
  </si>
  <si>
    <t>HCP076</t>
  </si>
  <si>
    <t>HCP 076</t>
  </si>
  <si>
    <t>HCP077</t>
  </si>
  <si>
    <t>HCP 077</t>
  </si>
  <si>
    <t>HCP078</t>
  </si>
  <si>
    <t>HCP 078</t>
  </si>
  <si>
    <t>HCP079</t>
  </si>
  <si>
    <t>HCP 079</t>
  </si>
  <si>
    <t>HCP080</t>
  </si>
  <si>
    <t>HCP 080</t>
  </si>
  <si>
    <t>HCP081</t>
  </si>
  <si>
    <t>HCP 081</t>
  </si>
  <si>
    <t>HCP082</t>
  </si>
  <si>
    <t>HCP 082</t>
  </si>
  <si>
    <t>HCP083</t>
  </si>
  <si>
    <t>HCP 083</t>
  </si>
  <si>
    <t>HCP084</t>
  </si>
  <si>
    <t>HCP 084</t>
  </si>
  <si>
    <t>HCP085</t>
  </si>
  <si>
    <t>HCP 085</t>
  </si>
  <si>
    <t>HCP086</t>
  </si>
  <si>
    <t>HCP 086</t>
  </si>
  <si>
    <t>HCP087</t>
  </si>
  <si>
    <t>HCP 087</t>
  </si>
  <si>
    <t>HCP088</t>
  </si>
  <si>
    <t>HCP 088</t>
  </si>
  <si>
    <t>HCP089</t>
  </si>
  <si>
    <t>HCP 089</t>
  </si>
  <si>
    <t>HCP090</t>
  </si>
  <si>
    <t>HCP 090</t>
  </si>
  <si>
    <t>HCP091</t>
  </si>
  <si>
    <t>HCP 091</t>
  </si>
  <si>
    <t>HCP092</t>
  </si>
  <si>
    <t>HCP 092</t>
  </si>
  <si>
    <t>HCP093</t>
  </si>
  <si>
    <t>HCP 093</t>
  </si>
  <si>
    <t>HCP094</t>
  </si>
  <si>
    <t>HCP 094</t>
  </si>
  <si>
    <t>HCP095</t>
  </si>
  <si>
    <t>HCP 095</t>
  </si>
  <si>
    <t>HCP096</t>
  </si>
  <si>
    <t>HCP 096</t>
  </si>
  <si>
    <t>HCP097</t>
  </si>
  <si>
    <t>HCP 097</t>
  </si>
  <si>
    <t>HCP098</t>
  </si>
  <si>
    <t>HCP 098</t>
  </si>
  <si>
    <t>HCP099</t>
  </si>
  <si>
    <t>HCP 099</t>
  </si>
  <si>
    <t>HCP100</t>
  </si>
  <si>
    <t>HCP 100</t>
  </si>
  <si>
    <t>HCP101</t>
  </si>
  <si>
    <t>HCP 101</t>
  </si>
  <si>
    <t>HCP102</t>
  </si>
  <si>
    <t>HCP 102</t>
  </si>
  <si>
    <t>HCP103</t>
  </si>
  <si>
    <t>HCP 103</t>
  </si>
  <si>
    <t>HCP104</t>
  </si>
  <si>
    <t>HCP 104</t>
  </si>
  <si>
    <t>HCP105</t>
  </si>
  <si>
    <t>HCP 105</t>
  </si>
  <si>
    <t>HCP106</t>
  </si>
  <si>
    <t>HCP 106</t>
  </si>
  <si>
    <t>HCP107</t>
  </si>
  <si>
    <t>HCP 107</t>
  </si>
  <si>
    <t>HCP108</t>
  </si>
  <si>
    <t>HCP 108</t>
  </si>
  <si>
    <t>HCP109</t>
  </si>
  <si>
    <t>HCP 109</t>
  </si>
  <si>
    <t>HCP110</t>
  </si>
  <si>
    <t>HCP 110</t>
  </si>
  <si>
    <t>HCP111</t>
  </si>
  <si>
    <t>HCP 111</t>
  </si>
  <si>
    <t>HCP112</t>
  </si>
  <si>
    <t>HCP 112</t>
  </si>
  <si>
    <t>HCP113</t>
  </si>
  <si>
    <t>HCP 113</t>
  </si>
  <si>
    <t>HCP114</t>
  </si>
  <si>
    <t>HCP 114</t>
  </si>
  <si>
    <t>HCP115</t>
  </si>
  <si>
    <t>HCP 115</t>
  </si>
  <si>
    <t>HCP116</t>
  </si>
  <si>
    <t>HCP 116</t>
  </si>
  <si>
    <t>HCP117</t>
  </si>
  <si>
    <t>HCP 117</t>
  </si>
  <si>
    <t>HCP118</t>
  </si>
  <si>
    <t>HCP 118</t>
  </si>
  <si>
    <t>HCP119</t>
  </si>
  <si>
    <t>HCP 119</t>
  </si>
  <si>
    <t>HCP120</t>
  </si>
  <si>
    <t>HCP 120</t>
  </si>
  <si>
    <t>HCP121</t>
  </si>
  <si>
    <t>HCP 121</t>
  </si>
  <si>
    <t>HCP122</t>
  </si>
  <si>
    <t>HCP 122</t>
  </si>
  <si>
    <t>HCP123</t>
  </si>
  <si>
    <t>HCP 123</t>
  </si>
  <si>
    <t>HCP124</t>
  </si>
  <si>
    <t>HCP 124</t>
  </si>
  <si>
    <t>HCP125</t>
  </si>
  <si>
    <t>HCP 125</t>
  </si>
  <si>
    <t>HCP126</t>
  </si>
  <si>
    <t>HCP 126</t>
  </si>
  <si>
    <t>HCP127</t>
  </si>
  <si>
    <t>HCP 127</t>
  </si>
  <si>
    <t>HCP128</t>
  </si>
  <si>
    <t>HCP 128</t>
  </si>
  <si>
    <t>HCP129</t>
  </si>
  <si>
    <t>HCP 129</t>
  </si>
  <si>
    <t>HCP130</t>
  </si>
  <si>
    <t>HCP 130</t>
  </si>
  <si>
    <t>HCP131</t>
  </si>
  <si>
    <t>HCP 131</t>
  </si>
  <si>
    <t>HCP132</t>
  </si>
  <si>
    <t>HCP 132</t>
  </si>
  <si>
    <t>HCP133</t>
  </si>
  <si>
    <t>HCP 133</t>
  </si>
  <si>
    <t>HCP134</t>
  </si>
  <si>
    <t>HCP 134</t>
  </si>
  <si>
    <t>HCP135</t>
  </si>
  <si>
    <t>HCP 135</t>
  </si>
  <si>
    <t>HCP136</t>
  </si>
  <si>
    <t>HCP 136</t>
  </si>
  <si>
    <t>HCP137</t>
  </si>
  <si>
    <t>HCP 137</t>
  </si>
  <si>
    <t>HCP138</t>
  </si>
  <si>
    <t>HCP 138</t>
  </si>
  <si>
    <t>HCP139</t>
  </si>
  <si>
    <t>HCP 139</t>
  </si>
  <si>
    <t>HCP140</t>
  </si>
  <si>
    <t>HCP 140</t>
  </si>
  <si>
    <t>HCP141</t>
  </si>
  <si>
    <t>HCP 141</t>
  </si>
  <si>
    <t>HCP142</t>
  </si>
  <si>
    <t>HCP 142</t>
  </si>
  <si>
    <t>HCP143</t>
  </si>
  <si>
    <t>HCP 143</t>
  </si>
  <si>
    <t>HCP144</t>
  </si>
  <si>
    <t>HCP 144</t>
  </si>
  <si>
    <t>HCP145</t>
  </si>
  <si>
    <t>HCP 145</t>
  </si>
  <si>
    <t>HCP146</t>
  </si>
  <si>
    <t>HCP 146</t>
  </si>
  <si>
    <t>HCP147</t>
  </si>
  <si>
    <t>HCP 147</t>
  </si>
  <si>
    <t>HCP148</t>
  </si>
  <si>
    <t>HCP 148</t>
  </si>
  <si>
    <t>HCP149</t>
  </si>
  <si>
    <t>HCP 149</t>
  </si>
  <si>
    <t>HCP150</t>
  </si>
  <si>
    <t>HCP 150</t>
  </si>
  <si>
    <t>SalesID</t>
  </si>
  <si>
    <t>Month</t>
  </si>
  <si>
    <t>Units</t>
  </si>
  <si>
    <t>GrossSalesTRY</t>
  </si>
  <si>
    <t>DiscountTRY</t>
  </si>
  <si>
    <t>ReturnsTRY</t>
  </si>
  <si>
    <t>NetSalesTRY</t>
  </si>
  <si>
    <t>TargetTRY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</si>
  <si>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</si>
  <si>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</si>
  <si>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</si>
  <si>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</si>
  <si>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</si>
  <si>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</si>
  <si>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</si>
  <si>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</si>
  <si>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</si>
  <si>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</si>
  <si>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</si>
  <si>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</si>
  <si>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</si>
  <si>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</si>
  <si>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</si>
  <si>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</si>
  <si>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</si>
  <si>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</si>
  <si>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</si>
  <si>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</si>
  <si>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</si>
  <si>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</si>
  <si>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</si>
  <si>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</si>
  <si>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</si>
  <si>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</si>
  <si>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</si>
  <si>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</si>
  <si>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</si>
  <si>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</si>
  <si>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</si>
  <si>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</si>
  <si>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</si>
  <si>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</si>
  <si>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</si>
  <si>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</si>
  <si>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</si>
  <si>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</si>
  <si>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</si>
  <si>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</si>
  <si>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</si>
  <si>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</si>
  <si>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</si>
  <si>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</si>
  <si>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</si>
  <si>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</si>
  <si>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</si>
  <si>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</si>
  <si>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</si>
  <si>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</si>
  <si>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</si>
  <si>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</si>
  <si>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</si>
  <si>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</si>
  <si>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</si>
  <si>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</si>
  <si>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</si>
  <si>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</si>
  <si>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</si>
  <si>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</si>
  <si>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</si>
  <si>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</si>
  <si>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</si>
  <si>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</si>
  <si>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</si>
  <si>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</si>
  <si>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</si>
  <si>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</si>
  <si>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</si>
  <si>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</si>
  <si>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</si>
  <si>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</si>
  <si>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</si>
  <si>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</si>
  <si>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</si>
  <si>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</si>
  <si>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</si>
  <si>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</si>
  <si>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</si>
  <si>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</si>
  <si>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</si>
  <si>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</si>
  <si>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</si>
  <si>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</si>
  <si>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</si>
  <si>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</si>
  <si>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</si>
  <si>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</si>
  <si>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</si>
  <si>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</si>
  <si>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</si>
  <si>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</si>
  <si>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</si>
  <si>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</si>
  <si>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</si>
  <si>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</si>
  <si>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</si>
  <si>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</si>
  <si>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</si>
  <si>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</si>
  <si>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</si>
  <si>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</si>
  <si>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</si>
  <si>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</si>
  <si>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</si>
  <si>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</si>
  <si>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</si>
  <si>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</si>
  <si>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</si>
  <si>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</si>
  <si>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</si>
  <si>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</si>
  <si>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</si>
  <si>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</si>
  <si>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</si>
  <si>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</si>
  <si>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</si>
  <si>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</si>
  <si>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</si>
  <si>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</si>
  <si>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</si>
  <si>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</si>
  <si>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</si>
  <si>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</si>
  <si>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</si>
  <si>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</si>
  <si>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</si>
  <si>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</si>
  <si>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</si>
  <si>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</si>
  <si>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</si>
  <si>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</si>
  <si>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</si>
  <si>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</si>
  <si>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</si>
  <si>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</si>
  <si>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</si>
  <si>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</si>
  <si>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</si>
  <si>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</si>
  <si>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</si>
  <si>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</si>
  <si>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</si>
  <si>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</si>
  <si>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</si>
  <si>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</si>
  <si>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</si>
  <si>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</si>
  <si>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</si>
  <si>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</si>
  <si>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</si>
  <si>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</si>
  <si>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</si>
  <si>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</si>
  <si>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</si>
  <si>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</si>
  <si>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</si>
  <si>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</si>
  <si>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</si>
  <si>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</si>
  <si>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</si>
  <si>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</si>
  <si>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</si>
  <si>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</si>
  <si>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</si>
  <si>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</si>
  <si>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</si>
  <si>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</si>
  <si>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</si>
  <si>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</si>
  <si>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</si>
  <si>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</si>
  <si>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</si>
  <si>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</si>
  <si>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</si>
  <si>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</si>
  <si>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</si>
  <si>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</si>
  <si>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</si>
  <si>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</si>
  <si>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</si>
  <si>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</si>
  <si>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</si>
  <si>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</si>
  <si>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</si>
  <si>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</si>
  <si>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</si>
  <si>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</si>
  <si>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</si>
  <si>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</si>
  <si>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</si>
  <si>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</si>
  <si>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</si>
  <si>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</si>
  <si>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</si>
  <si>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</si>
  <si>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</si>
  <si>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</si>
  <si>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</si>
  <si>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</si>
  <si>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</si>
  <si>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</si>
  <si>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</si>
  <si>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</si>
  <si>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</si>
  <si>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</si>
  <si>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</si>
  <si>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</si>
  <si>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</si>
  <si>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</si>
  <si>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</si>
  <si>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</si>
  <si>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</si>
  <si>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</si>
  <si>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</si>
  <si>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</si>
  <si>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</si>
  <si>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</si>
  <si>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</si>
  <si>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</si>
  <si>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</si>
  <si>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</si>
  <si>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</si>
  <si>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</si>
  <si>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</si>
  <si>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</si>
  <si>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</si>
  <si>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</si>
  <si>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</si>
  <si>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</si>
  <si>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</si>
  <si>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</si>
  <si>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</si>
  <si>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</si>
  <si>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</si>
  <si>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</si>
  <si>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</si>
  <si>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</si>
  <si>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</si>
  <si>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</si>
  <si>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</si>
  <si>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</si>
  <si>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</si>
  <si>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</si>
  <si>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</si>
  <si>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</si>
  <si>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</si>
  <si>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</si>
  <si>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</si>
  <si>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</si>
  <si>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</si>
  <si>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</si>
  <si>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</si>
  <si>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</si>
  <si>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</si>
  <si>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</si>
  <si>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</si>
  <si>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</si>
  <si>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</si>
  <si>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</si>
  <si>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</si>
  <si>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</si>
  <si>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</si>
  <si>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</si>
  <si>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</si>
  <si>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</si>
  <si>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</si>
  <si>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</si>
  <si>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</si>
  <si>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</si>
  <si>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</si>
  <si>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</si>
  <si>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</si>
  <si>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</si>
  <si>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</si>
  <si>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</si>
  <si>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</si>
  <si>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</si>
  <si>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</si>
  <si>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</si>
  <si>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</si>
  <si>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</si>
  <si>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</si>
  <si>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</si>
  <si>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</si>
  <si>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</si>
  <si>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</si>
  <si>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</si>
  <si>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</si>
  <si>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</si>
  <si>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</si>
  <si>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</si>
  <si>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</si>
  <si>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</si>
  <si>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</si>
  <si>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</si>
  <si>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</si>
  <si>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</si>
  <si>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</si>
  <si>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</si>
  <si>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</si>
  <si>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</si>
  <si>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</si>
  <si>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</si>
  <si>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</si>
  <si>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</si>
  <si>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</si>
  <si>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</si>
  <si>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</si>
  <si>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</si>
  <si>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</si>
  <si>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</si>
  <si>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</si>
  <si>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</si>
  <si>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</si>
  <si>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</si>
  <si>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</si>
  <si>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</si>
  <si>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</si>
  <si>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</si>
  <si>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</si>
  <si>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</si>
  <si>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</si>
  <si>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</si>
  <si>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</si>
  <si>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</si>
  <si>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</si>
  <si>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</si>
  <si>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</si>
  <si>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</si>
  <si>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</si>
  <si>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</si>
  <si>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</si>
  <si>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</si>
  <si>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</si>
  <si>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</si>
  <si>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</si>
  <si>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</si>
  <si>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</si>
  <si>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</si>
  <si>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</si>
  <si>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</si>
  <si>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</si>
  <si>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</si>
  <si>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</si>
  <si>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</si>
  <si>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</si>
  <si>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</si>
  <si>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</si>
  <si>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</si>
  <si>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</si>
  <si>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</si>
  <si>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</si>
  <si>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</si>
  <si>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</si>
  <si>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</si>
  <si>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</si>
  <si>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</si>
  <si>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</si>
  <si>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</si>
  <si>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</si>
  <si>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</si>
  <si>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</si>
  <si>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</si>
  <si>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</si>
  <si>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</si>
  <si>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</si>
  <si>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</si>
  <si>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</si>
  <si>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</si>
  <si>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</si>
  <si>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</si>
  <si>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</si>
  <si>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</si>
  <si>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</si>
  <si>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</si>
  <si>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</si>
  <si>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</si>
  <si>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</si>
  <si>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</si>
  <si>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</si>
  <si>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</si>
  <si>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</si>
  <si>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</si>
  <si>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</si>
  <si>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</si>
  <si>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</si>
  <si>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</si>
  <si>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</si>
  <si>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</si>
  <si>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</si>
  <si>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</si>
  <si>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</si>
  <si>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</si>
  <si>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</si>
  <si>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</si>
  <si>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</si>
  <si>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</si>
  <si>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</si>
  <si>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</si>
  <si>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</si>
  <si>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</si>
  <si>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</si>
  <si>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</si>
  <si>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</si>
  <si>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</si>
  <si>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</si>
  <si>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</si>
  <si>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</si>
  <si>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</si>
  <si>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</si>
  <si>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</si>
  <si>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</si>
  <si>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</si>
  <si>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</si>
  <si>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</si>
  <si>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</si>
  <si>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</si>
  <si>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</si>
  <si>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</si>
  <si>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</si>
  <si>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</si>
  <si>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</si>
  <si>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</si>
  <si>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</si>
  <si>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</si>
  <si>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</si>
  <si>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</si>
  <si>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</si>
  <si>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</si>
  <si>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</si>
  <si>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</si>
  <si>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</si>
  <si>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</si>
  <si>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</si>
  <si>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</si>
  <si>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</si>
  <si>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</si>
  <si>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</si>
  <si>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</si>
  <si>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</si>
  <si>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</si>
  <si>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</si>
  <si>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</si>
  <si>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</si>
  <si>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</si>
  <si>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</si>
  <si>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</si>
  <si>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</si>
  <si>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</si>
  <si>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</si>
  <si>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</si>
  <si>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</si>
  <si>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</si>
  <si>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</si>
  <si>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</si>
  <si>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</si>
  <si>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</si>
  <si>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</si>
  <si>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</si>
  <si>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</si>
  <si>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</si>
  <si>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</si>
  <si>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</si>
  <si>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</si>
  <si>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</si>
  <si>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</si>
  <si>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</si>
  <si>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</si>
  <si>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</si>
  <si>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</si>
  <si>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</si>
  <si>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</si>
  <si>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</si>
  <si>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</si>
  <si>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</si>
  <si>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</si>
  <si>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</si>
  <si>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</si>
  <si>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</si>
  <si>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</si>
  <si>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</si>
  <si>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</si>
  <si>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</si>
  <si>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</si>
  <si>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</si>
  <si>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</si>
  <si>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</si>
  <si>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</si>
  <si>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</si>
  <si>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</si>
  <si>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</si>
  <si>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</si>
  <si>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</si>
  <si>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</si>
  <si>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</si>
  <si>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</si>
  <si>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</si>
  <si>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</si>
  <si>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</si>
  <si>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</si>
  <si>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</si>
  <si>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</si>
  <si>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</si>
  <si>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</si>
  <si>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</si>
  <si>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</si>
  <si>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</si>
  <si>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</si>
  <si>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</si>
  <si>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</si>
  <si>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</si>
  <si>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</si>
  <si>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</si>
  <si>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</si>
  <si>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</si>
  <si>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</si>
  <si>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</si>
  <si>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</si>
  <si>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</si>
  <si>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</si>
  <si>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</si>
  <si>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</si>
  <si>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</si>
  <si>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</si>
  <si>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</si>
  <si>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</si>
  <si>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</si>
  <si>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</si>
  <si>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</si>
  <si>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</si>
  <si>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</si>
  <si>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</si>
  <si>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</si>
  <si>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</si>
  <si>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</si>
  <si>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</si>
  <si>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</si>
  <si>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</si>
  <si>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</si>
  <si>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</si>
  <si>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</si>
  <si>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</si>
  <si>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</si>
  <si>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</si>
  <si>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</si>
  <si>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</si>
  <si>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</si>
  <si>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</si>
  <si>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</si>
  <si>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</si>
  <si>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</si>
  <si>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</si>
  <si>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</si>
  <si>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</si>
  <si>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</si>
  <si>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</si>
  <si>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</si>
  <si>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</si>
  <si>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</si>
  <si>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</si>
  <si>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</si>
  <si>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</si>
  <si>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</si>
  <si>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</si>
  <si>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</si>
  <si>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</si>
  <si>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</si>
  <si>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</si>
  <si>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</si>
  <si>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</si>
  <si>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</si>
  <si>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</si>
  <si>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</si>
  <si>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</si>
  <si>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</si>
  <si>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</si>
  <si>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</si>
  <si>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</si>
  <si>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</si>
  <si>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</si>
  <si>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</si>
  <si>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</si>
  <si>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</si>
  <si>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</si>
  <si>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</si>
  <si>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</si>
  <si>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</si>
  <si>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</si>
  <si>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</si>
  <si>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</si>
  <si>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</si>
  <si>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</si>
  <si>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</si>
  <si>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</si>
  <si>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</si>
  <si>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</si>
  <si>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</si>
  <si>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</si>
  <si>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</si>
  <si>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</si>
  <si>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</si>
  <si>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</si>
  <si>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</si>
  <si>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</si>
  <si>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</si>
  <si>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</si>
  <si>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</si>
  <si>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</si>
  <si>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</si>
  <si>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</si>
  <si>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</si>
  <si>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</si>
  <si>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</si>
  <si>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</si>
  <si>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</si>
  <si>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</si>
  <si>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</si>
  <si>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</si>
  <si>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</si>
  <si>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</si>
  <si>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</si>
  <si>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</si>
  <si>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</si>
  <si>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</si>
  <si>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</si>
  <si>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</si>
  <si>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</si>
  <si>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</si>
  <si>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</si>
  <si>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</si>
  <si>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</si>
  <si>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</si>
  <si>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</si>
  <si>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</si>
  <si>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</si>
  <si>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</si>
  <si>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</si>
  <si>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</si>
  <si>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</si>
  <si>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</si>
  <si>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</si>
  <si>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</si>
  <si>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</si>
  <si>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</si>
  <si>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</si>
  <si>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</si>
  <si>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</si>
  <si>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</si>
  <si>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</si>
  <si>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</si>
  <si>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</si>
  <si>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</si>
  <si>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</si>
  <si>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</si>
  <si>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</si>
  <si>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</si>
  <si>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</si>
  <si>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</si>
  <si>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</si>
  <si>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</si>
  <si>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</si>
  <si>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</si>
  <si>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</si>
  <si>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</si>
  <si>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</si>
  <si>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</si>
  <si>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</si>
  <si>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</si>
  <si>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</si>
  <si>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</si>
  <si>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</si>
  <si>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</si>
  <si>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</si>
  <si>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</si>
  <si>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</si>
  <si>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</si>
  <si>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</si>
  <si>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</si>
  <si>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</si>
  <si>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</si>
  <si>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</si>
  <si>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</si>
  <si>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</si>
  <si>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</si>
  <si>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</si>
  <si>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</si>
  <si>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</si>
  <si>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</si>
  <si>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</si>
  <si>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</si>
  <si>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</si>
  <si>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</si>
  <si>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</si>
  <si>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</si>
  <si>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</si>
  <si>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</si>
  <si>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</si>
  <si>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</si>
  <si>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</si>
  <si>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</si>
  <si>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</si>
  <si>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</si>
  <si>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</si>
  <si>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</si>
  <si>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</si>
  <si>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</si>
  <si>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</si>
  <si>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</si>
  <si>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</si>
  <si>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</si>
  <si>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</si>
  <si>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</si>
  <si>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</si>
  <si>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</si>
  <si>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</si>
  <si>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</si>
  <si>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</si>
  <si>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</si>
  <si>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</si>
  <si>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</si>
  <si>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</si>
  <si>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</si>
  <si>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</si>
  <si>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</si>
  <si>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</si>
  <si>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</si>
  <si>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</si>
  <si>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</si>
  <si>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</si>
  <si>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</si>
  <si>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</si>
  <si>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</si>
  <si>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</si>
  <si>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</si>
  <si>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</si>
  <si>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</si>
  <si>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</si>
  <si>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</si>
  <si>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</si>
  <si>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</si>
  <si>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</si>
  <si>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</si>
  <si>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</si>
  <si>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</si>
  <si>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</si>
  <si>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</si>
  <si>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</si>
  <si>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</si>
  <si>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</si>
  <si>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</si>
  <si>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</si>
  <si>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</si>
  <si>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</si>
  <si>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</si>
  <si>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</si>
  <si>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</si>
  <si>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</si>
  <si>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</si>
  <si>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</si>
  <si>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</si>
  <si>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</si>
  <si>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</si>
  <si>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</si>
  <si>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</si>
  <si>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</si>
  <si>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</si>
  <si>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</si>
  <si>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</si>
  <si>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</si>
  <si>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</si>
  <si>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</si>
  <si>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</si>
  <si>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</si>
  <si>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</si>
  <si>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</si>
  <si>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</si>
  <si>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</si>
  <si>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</si>
  <si>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</si>
  <si>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</si>
  <si>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</si>
  <si>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</si>
  <si>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</si>
  <si>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</si>
  <si>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</si>
  <si>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</si>
  <si>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</si>
  <si>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</si>
  <si>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</si>
  <si>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</si>
  <si>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</si>
  <si>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</si>
  <si>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</si>
  <si>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</si>
  <si>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</si>
  <si>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</si>
  <si>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</si>
  <si>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</si>
  <si>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</si>
  <si>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</si>
  <si>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</si>
  <si>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</si>
  <si>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</si>
  <si>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</si>
  <si>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</si>
  <si>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</si>
  <si>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</si>
  <si>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</si>
  <si>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</si>
  <si>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</si>
  <si>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</si>
  <si>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</si>
  <si>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</si>
  <si>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</si>
  <si>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</si>
  <si>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</si>
  <si>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</si>
  <si>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</si>
  <si>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</si>
  <si>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</si>
  <si>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</si>
  <si>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</si>
  <si>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</si>
  <si>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</si>
  <si>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</si>
  <si>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</si>
  <si>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</si>
  <si>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</si>
  <si>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</si>
  <si>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</si>
  <si>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</si>
  <si>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</si>
  <si>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</si>
  <si>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</si>
  <si>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</si>
  <si>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</si>
  <si>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</si>
  <si>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</si>
  <si>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</si>
  <si>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</si>
  <si>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</si>
  <si>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</si>
  <si>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</si>
  <si>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</si>
  <si>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</si>
  <si>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</si>
  <si>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</si>
  <si>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</si>
  <si>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</si>
  <si>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</si>
  <si>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</si>
  <si>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</si>
  <si>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</si>
  <si>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</si>
  <si>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</si>
  <si>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</si>
  <si>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</si>
  <si>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</si>
  <si>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</si>
  <si>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</si>
  <si>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</si>
  <si>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</si>
  <si>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</si>
  <si>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</si>
  <si>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</si>
  <si>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</si>
  <si>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</si>
  <si>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</si>
  <si>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</si>
  <si>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</si>
  <si>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</si>
  <si>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</si>
  <si>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</si>
  <si>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</si>
  <si>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</si>
  <si>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</si>
  <si>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</si>
  <si>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</si>
  <si>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</si>
  <si>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</si>
  <si>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</si>
  <si>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</si>
  <si>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</si>
  <si>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</si>
  <si>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</si>
  <si>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</si>
  <si>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</si>
  <si>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</si>
  <si>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</si>
  <si>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</si>
  <si>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</si>
  <si>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</si>
  <si>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</si>
  <si>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</si>
  <si>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</si>
  <si>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</si>
  <si>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</si>
  <si>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</si>
  <si>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</si>
  <si>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</si>
  <si>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</si>
  <si>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</si>
  <si>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</si>
  <si>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</si>
  <si>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</si>
  <si>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</si>
  <si>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</si>
  <si>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</si>
  <si>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</si>
  <si>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</si>
  <si>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</si>
  <si>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</si>
  <si>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</si>
  <si>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</si>
  <si>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</si>
  <si>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</si>
  <si>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</si>
  <si>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</si>
  <si>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</si>
  <si>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</si>
  <si>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</si>
  <si>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</si>
  <si>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</si>
  <si>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</si>
  <si>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</si>
  <si>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</si>
  <si>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</si>
  <si>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</si>
  <si>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</si>
  <si>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</si>
  <si>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</si>
  <si>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</si>
  <si>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</si>
  <si>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</si>
  <si>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</si>
  <si>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</si>
  <si>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</si>
  <si>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</si>
  <si>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</si>
  <si>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</si>
  <si>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</si>
  <si>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</si>
  <si>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</si>
  <si>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</si>
  <si>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</si>
  <si>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</si>
  <si>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</si>
  <si>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</si>
  <si>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</si>
  <si>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</si>
  <si>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</si>
  <si>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</si>
  <si>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</si>
  <si>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</si>
  <si>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</si>
  <si>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</si>
  <si>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</si>
  <si>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</si>
  <si>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</si>
  <si>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</si>
  <si>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</si>
  <si>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</si>
  <si>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</si>
  <si>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</si>
  <si>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</si>
  <si>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</si>
  <si>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</si>
  <si>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</si>
  <si>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</si>
  <si>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</si>
  <si>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</si>
  <si>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</si>
  <si>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</si>
  <si>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</si>
  <si>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</si>
  <si>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</si>
  <si>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</si>
  <si>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</si>
  <si>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</si>
  <si>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</si>
  <si>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</si>
  <si>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</si>
  <si>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</si>
  <si>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</si>
  <si>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</si>
  <si>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</si>
  <si>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</si>
  <si>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</si>
  <si>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</si>
  <si>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</si>
  <si>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</si>
  <si>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</si>
  <si>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</si>
  <si>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</si>
  <si>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</si>
  <si>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</si>
  <si>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</si>
  <si>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</si>
  <si>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</si>
  <si>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</si>
  <si>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</si>
  <si>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</si>
  <si>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</si>
  <si>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</si>
  <si>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</si>
  <si>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</si>
  <si>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</si>
  <si>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</si>
  <si>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</si>
  <si>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</si>
  <si>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</si>
  <si>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</si>
  <si>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</si>
  <si>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</si>
  <si>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</si>
  <si>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</si>
  <si>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</si>
  <si>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</si>
  <si>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</si>
  <si>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</si>
  <si>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</si>
  <si>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</si>
  <si>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</si>
  <si>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</si>
  <si>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</si>
  <si>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</si>
  <si>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</si>
  <si>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</si>
  <si>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</si>
  <si>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</si>
  <si>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</si>
  <si>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</si>
  <si>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</si>
  <si>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</si>
  <si>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</si>
  <si>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</si>
  <si>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</si>
  <si>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</si>
  <si>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</si>
  <si>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</si>
  <si>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</si>
  <si>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</si>
  <si>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</si>
  <si>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</si>
  <si>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</si>
  <si>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</si>
  <si>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</si>
  <si>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</si>
  <si>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</si>
  <si>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</si>
  <si>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</si>
  <si>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</si>
  <si>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</si>
  <si>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</si>
  <si>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</si>
  <si>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</si>
  <si>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</si>
  <si>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</si>
  <si>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</si>
  <si>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</si>
  <si>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</si>
  <si>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</si>
  <si>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</si>
  <si>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</si>
  <si>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</si>
  <si>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</si>
  <si>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</si>
  <si>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</si>
  <si>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</si>
  <si>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</si>
  <si>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</si>
  <si>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</si>
  <si>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</si>
  <si>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</si>
  <si>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</si>
  <si>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</si>
  <si>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</si>
  <si>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</si>
  <si>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</si>
  <si>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</si>
  <si>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</si>
  <si>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</si>
  <si>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</si>
  <si>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</si>
  <si>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</si>
  <si>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</si>
  <si>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</si>
  <si>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</si>
  <si>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</si>
  <si>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</si>
  <si>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</si>
  <si>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</si>
  <si>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</si>
  <si>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</si>
  <si>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</si>
  <si>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</si>
  <si>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</si>
  <si>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</si>
  <si>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</si>
  <si>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</si>
  <si>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</si>
  <si>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</si>
  <si>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</si>
  <si>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</si>
  <si>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</si>
  <si>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</si>
  <si>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</si>
  <si>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</si>
  <si>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</si>
  <si>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</si>
  <si>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</si>
  <si>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</si>
  <si>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</si>
  <si>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</si>
  <si>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</si>
  <si>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</si>
  <si>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</si>
  <si>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</si>
  <si>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</si>
  <si>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</si>
  <si>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</si>
  <si>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</si>
  <si>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</si>
  <si>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</si>
  <si>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</si>
  <si>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</si>
  <si>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</si>
  <si>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</si>
  <si>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</si>
  <si>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</si>
  <si>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</si>
  <si>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</si>
  <si>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</si>
  <si>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</si>
  <si>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</si>
  <si>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</si>
  <si>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</si>
  <si>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</si>
  <si>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</si>
  <si>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</si>
  <si>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</si>
  <si>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</si>
  <si>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</si>
  <si>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</si>
  <si>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</si>
  <si>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</si>
  <si>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</si>
  <si>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</si>
  <si>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</si>
  <si>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</si>
  <si>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</si>
  <si>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MarketID</t>
  </si>
  <si>
    <t>TotalMarketSalesTRY</t>
  </si>
  <si>
    <t>CompetitorXSalesTRY</t>
  </si>
  <si>
    <t>M0001</t>
  </si>
  <si>
    <t>M0025</t>
  </si>
  <si>
    <t>M0049</t>
  </si>
  <si>
    <t>M0073</t>
  </si>
  <si>
    <t>M0097</t>
  </si>
  <si>
    <t>M0121</t>
  </si>
  <si>
    <t>M0145</t>
  </si>
  <si>
    <t>M0169</t>
  </si>
  <si>
    <t>M0193</t>
  </si>
  <si>
    <t>M0217</t>
  </si>
  <si>
    <t>M0241</t>
  </si>
  <si>
    <t>M0265</t>
  </si>
  <si>
    <t>M0289</t>
  </si>
  <si>
    <t>M0313</t>
  </si>
  <si>
    <t>M0337</t>
  </si>
  <si>
    <t>M0361</t>
  </si>
  <si>
    <t>M0003</t>
  </si>
  <si>
    <t>M0027</t>
  </si>
  <si>
    <t>M0051</t>
  </si>
  <si>
    <t>M0075</t>
  </si>
  <si>
    <t>M0099</t>
  </si>
  <si>
    <t>M0123</t>
  </si>
  <si>
    <t>M0147</t>
  </si>
  <si>
    <t>M0171</t>
  </si>
  <si>
    <t>M0195</t>
  </si>
  <si>
    <t>M0219</t>
  </si>
  <si>
    <t>M0243</t>
  </si>
  <si>
    <t>M0267</t>
  </si>
  <si>
    <t>M0291</t>
  </si>
  <si>
    <t>M0315</t>
  </si>
  <si>
    <t>M0339</t>
  </si>
  <si>
    <t>M0363</t>
  </si>
  <si>
    <t>M0005</t>
  </si>
  <si>
    <t>M0029</t>
  </si>
  <si>
    <t>M0053</t>
  </si>
  <si>
    <t>M0077</t>
  </si>
  <si>
    <t>M0101</t>
  </si>
  <si>
    <t>M0125</t>
  </si>
  <si>
    <t>M0149</t>
  </si>
  <si>
    <t>M0173</t>
  </si>
  <si>
    <t>M0197</t>
  </si>
  <si>
    <t>M0221</t>
  </si>
  <si>
    <t>M0245</t>
  </si>
  <si>
    <t>M0269</t>
  </si>
  <si>
    <t>M0293</t>
  </si>
  <si>
    <t>M0317</t>
  </si>
  <si>
    <t>M0341</t>
  </si>
  <si>
    <t>M0365</t>
  </si>
  <si>
    <t>M0007</t>
  </si>
  <si>
    <t>M0031</t>
  </si>
  <si>
    <t>M0055</t>
  </si>
  <si>
    <t>M0079</t>
  </si>
  <si>
    <t>M0103</t>
  </si>
  <si>
    <t>M0127</t>
  </si>
  <si>
    <t>M0151</t>
  </si>
  <si>
    <t>M0175</t>
  </si>
  <si>
    <t>M0199</t>
  </si>
  <si>
    <t>M0223</t>
  </si>
  <si>
    <t>M0247</t>
  </si>
  <si>
    <t>M0271</t>
  </si>
  <si>
    <t>M0295</t>
  </si>
  <si>
    <t>M0319</t>
  </si>
  <si>
    <t>M0343</t>
  </si>
  <si>
    <t>M0367</t>
  </si>
  <si>
    <t>M0009</t>
  </si>
  <si>
    <t>M0033</t>
  </si>
  <si>
    <t>M0057</t>
  </si>
  <si>
    <t>M0081</t>
  </si>
  <si>
    <t>M0105</t>
  </si>
  <si>
    <t>M0129</t>
  </si>
  <si>
    <t>M0153</t>
  </si>
  <si>
    <t>M0177</t>
  </si>
  <si>
    <t>M0201</t>
  </si>
  <si>
    <t>M0225</t>
  </si>
  <si>
    <t>M0249</t>
  </si>
  <si>
    <t>M0273</t>
  </si>
  <si>
    <t>M0297</t>
  </si>
  <si>
    <t>M0321</t>
  </si>
  <si>
    <t>M0345</t>
  </si>
  <si>
    <t>M0369</t>
  </si>
  <si>
    <t>M0011</t>
  </si>
  <si>
    <t>M0035</t>
  </si>
  <si>
    <t>M0059</t>
  </si>
  <si>
    <t>M0083</t>
  </si>
  <si>
    <t>M0107</t>
  </si>
  <si>
    <t>M0131</t>
  </si>
  <si>
    <t>M0155</t>
  </si>
  <si>
    <t>M0179</t>
  </si>
  <si>
    <t>M0203</t>
  </si>
  <si>
    <t>M0227</t>
  </si>
  <si>
    <t>M0251</t>
  </si>
  <si>
    <t>M0275</t>
  </si>
  <si>
    <t>M0299</t>
  </si>
  <si>
    <t>M0323</t>
  </si>
  <si>
    <t>M0347</t>
  </si>
  <si>
    <t>M0371</t>
  </si>
  <si>
    <t>M0013</t>
  </si>
  <si>
    <t>M0037</t>
  </si>
  <si>
    <t>M0061</t>
  </si>
  <si>
    <t>M0085</t>
  </si>
  <si>
    <t>M0109</t>
  </si>
  <si>
    <t>M0133</t>
  </si>
  <si>
    <t>M0157</t>
  </si>
  <si>
    <t>M0181</t>
  </si>
  <si>
    <t>M0205</t>
  </si>
  <si>
    <t>M0229</t>
  </si>
  <si>
    <t>M0253</t>
  </si>
  <si>
    <t>M0277</t>
  </si>
  <si>
    <t>M0301</t>
  </si>
  <si>
    <t>M0325</t>
  </si>
  <si>
    <t>M0349</t>
  </si>
  <si>
    <t>M0373</t>
  </si>
  <si>
    <t>M0015</t>
  </si>
  <si>
    <t>M0039</t>
  </si>
  <si>
    <t>M0063</t>
  </si>
  <si>
    <t>M0087</t>
  </si>
  <si>
    <t>M0111</t>
  </si>
  <si>
    <t>M0135</t>
  </si>
  <si>
    <t>M0159</t>
  </si>
  <si>
    <t>M0183</t>
  </si>
  <si>
    <t>M0207</t>
  </si>
  <si>
    <t>M0231</t>
  </si>
  <si>
    <t>M0255</t>
  </si>
  <si>
    <t>M0279</t>
  </si>
  <si>
    <t>M0303</t>
  </si>
  <si>
    <t>M0327</t>
  </si>
  <si>
    <t>M0351</t>
  </si>
  <si>
    <t>M0375</t>
  </si>
  <si>
    <t>M0017</t>
  </si>
  <si>
    <t>M0041</t>
  </si>
  <si>
    <t>M0065</t>
  </si>
  <si>
    <t>M0089</t>
  </si>
  <si>
    <t>M0113</t>
  </si>
  <si>
    <t>M0137</t>
  </si>
  <si>
    <t>M0161</t>
  </si>
  <si>
    <t>M0185</t>
  </si>
  <si>
    <t>M0209</t>
  </si>
  <si>
    <t>M0233</t>
  </si>
  <si>
    <t>M0257</t>
  </si>
  <si>
    <t>M0281</t>
  </si>
  <si>
    <t>M0305</t>
  </si>
  <si>
    <t>M0329</t>
  </si>
  <si>
    <t>M0353</t>
  </si>
  <si>
    <t>M0377</t>
  </si>
  <si>
    <t>M0019</t>
  </si>
  <si>
    <t>M0043</t>
  </si>
  <si>
    <t>M0067</t>
  </si>
  <si>
    <t>M0091</t>
  </si>
  <si>
    <t>M0115</t>
  </si>
  <si>
    <t>M0139</t>
  </si>
  <si>
    <t>M0163</t>
  </si>
  <si>
    <t>M0187</t>
  </si>
  <si>
    <t>M0211</t>
  </si>
  <si>
    <t>M0235</t>
  </si>
  <si>
    <t>M0259</t>
  </si>
  <si>
    <t>M0283</t>
  </si>
  <si>
    <t>M0307</t>
  </si>
  <si>
    <t>M0331</t>
  </si>
  <si>
    <t>M0355</t>
  </si>
  <si>
    <t>M0379</t>
  </si>
  <si>
    <t>M0021</t>
  </si>
  <si>
    <t>M0045</t>
  </si>
  <si>
    <t>M0069</t>
  </si>
  <si>
    <t>M0093</t>
  </si>
  <si>
    <t>M0117</t>
  </si>
  <si>
    <t>M0141</t>
  </si>
  <si>
    <t>M0165</t>
  </si>
  <si>
    <t>M0189</t>
  </si>
  <si>
    <t>M0213</t>
  </si>
  <si>
    <t>M0237</t>
  </si>
  <si>
    <t>M0261</t>
  </si>
  <si>
    <t>M0285</t>
  </si>
  <si>
    <t>M0309</t>
  </si>
  <si>
    <t>M0333</t>
  </si>
  <si>
    <t>M0357</t>
  </si>
  <si>
    <t>M0381</t>
  </si>
  <si>
    <t>M0023</t>
  </si>
  <si>
    <t>M0047</t>
  </si>
  <si>
    <t>M0071</t>
  </si>
  <si>
    <t>M0095</t>
  </si>
  <si>
    <t>M0119</t>
  </si>
  <si>
    <t>M0143</t>
  </si>
  <si>
    <t>M0167</t>
  </si>
  <si>
    <t>M0191</t>
  </si>
  <si>
    <t>M0215</t>
  </si>
  <si>
    <t>M0239</t>
  </si>
  <si>
    <t>M0263</t>
  </si>
  <si>
    <t>M0287</t>
  </si>
  <si>
    <t>M0311</t>
  </si>
  <si>
    <t>M0335</t>
  </si>
  <si>
    <t>M0359</t>
  </si>
  <si>
    <t>M0383</t>
  </si>
  <si>
    <t>M0002</t>
  </si>
  <si>
    <t>M0026</t>
  </si>
  <si>
    <t>M0050</t>
  </si>
  <si>
    <t>M0074</t>
  </si>
  <si>
    <t>M0098</t>
  </si>
  <si>
    <t>M0122</t>
  </si>
  <si>
    <t>M0146</t>
  </si>
  <si>
    <t>M0170</t>
  </si>
  <si>
    <t>M0194</t>
  </si>
  <si>
    <t>M0218</t>
  </si>
  <si>
    <t>M0242</t>
  </si>
  <si>
    <t>M0266</t>
  </si>
  <si>
    <t>M0290</t>
  </si>
  <si>
    <t>M0314</t>
  </si>
  <si>
    <t>M0338</t>
  </si>
  <si>
    <t>M0362</t>
  </si>
  <si>
    <t>M0004</t>
  </si>
  <si>
    <t>M0028</t>
  </si>
  <si>
    <t>M0052</t>
  </si>
  <si>
    <t>M0076</t>
  </si>
  <si>
    <t>M0100</t>
  </si>
  <si>
    <t>M0124</t>
  </si>
  <si>
    <t>M0148</t>
  </si>
  <si>
    <t>M0172</t>
  </si>
  <si>
    <t>M0196</t>
  </si>
  <si>
    <t>M0220</t>
  </si>
  <si>
    <t>M0244</t>
  </si>
  <si>
    <t>M0268</t>
  </si>
  <si>
    <t>M0292</t>
  </si>
  <si>
    <t>M0316</t>
  </si>
  <si>
    <t>M0340</t>
  </si>
  <si>
    <t>M0364</t>
  </si>
  <si>
    <t>M0006</t>
  </si>
  <si>
    <t>M0030</t>
  </si>
  <si>
    <t>M0054</t>
  </si>
  <si>
    <t>M0078</t>
  </si>
  <si>
    <t>M0102</t>
  </si>
  <si>
    <t>M0126</t>
  </si>
  <si>
    <t>M0150</t>
  </si>
  <si>
    <t>M0174</t>
  </si>
  <si>
    <t>M0198</t>
  </si>
  <si>
    <t>M0222</t>
  </si>
  <si>
    <t>M0246</t>
  </si>
  <si>
    <t>M0270</t>
  </si>
  <si>
    <t>M0294</t>
  </si>
  <si>
    <t>M0318</t>
  </si>
  <si>
    <t>M0342</t>
  </si>
  <si>
    <t>M0366</t>
  </si>
  <si>
    <t>M0008</t>
  </si>
  <si>
    <t>M0032</t>
  </si>
  <si>
    <t>M0056</t>
  </si>
  <si>
    <t>M0080</t>
  </si>
  <si>
    <t>M0104</t>
  </si>
  <si>
    <t>M0128</t>
  </si>
  <si>
    <t>M0152</t>
  </si>
  <si>
    <t>M0176</t>
  </si>
  <si>
    <t>M0200</t>
  </si>
  <si>
    <t>M0224</t>
  </si>
  <si>
    <t>M0248</t>
  </si>
  <si>
    <t>M0272</t>
  </si>
  <si>
    <t>M0296</t>
  </si>
  <si>
    <t>M0320</t>
  </si>
  <si>
    <t>M0344</t>
  </si>
  <si>
    <t>M0368</t>
  </si>
  <si>
    <t>M0010</t>
  </si>
  <si>
    <t>M0034</t>
  </si>
  <si>
    <t>M0058</t>
  </si>
  <si>
    <t>M0082</t>
  </si>
  <si>
    <t>M0106</t>
  </si>
  <si>
    <t>M0130</t>
  </si>
  <si>
    <t>M0154</t>
  </si>
  <si>
    <t>M0178</t>
  </si>
  <si>
    <t>M0202</t>
  </si>
  <si>
    <t>M0226</t>
  </si>
  <si>
    <t>M0250</t>
  </si>
  <si>
    <t>M0274</t>
  </si>
  <si>
    <t>M0298</t>
  </si>
  <si>
    <t>M0322</t>
  </si>
  <si>
    <t>M0346</t>
  </si>
  <si>
    <t>M0370</t>
  </si>
  <si>
    <t>M0012</t>
  </si>
  <si>
    <t>M0036</t>
  </si>
  <si>
    <t>M0060</t>
  </si>
  <si>
    <t>M0084</t>
  </si>
  <si>
    <t>M0108</t>
  </si>
  <si>
    <t>M0132</t>
  </si>
  <si>
    <t>M0156</t>
  </si>
  <si>
    <t>M0180</t>
  </si>
  <si>
    <t>M0204</t>
  </si>
  <si>
    <t>M0228</t>
  </si>
  <si>
    <t>M0252</t>
  </si>
  <si>
    <t>M0276</t>
  </si>
  <si>
    <t>M0300</t>
  </si>
  <si>
    <t>M0324</t>
  </si>
  <si>
    <t>M0348</t>
  </si>
  <si>
    <t>M0372</t>
  </si>
  <si>
    <t>M0014</t>
  </si>
  <si>
    <t>M0038</t>
  </si>
  <si>
    <t>M0062</t>
  </si>
  <si>
    <t>M0086</t>
  </si>
  <si>
    <t>M0110</t>
  </si>
  <si>
    <t>M0134</t>
  </si>
  <si>
    <t>M0158</t>
  </si>
  <si>
    <t>M0182</t>
  </si>
  <si>
    <t>M0206</t>
  </si>
  <si>
    <t>M0230</t>
  </si>
  <si>
    <t>M0254</t>
  </si>
  <si>
    <t>M0278</t>
  </si>
  <si>
    <t>M0302</t>
  </si>
  <si>
    <t>M0326</t>
  </si>
  <si>
    <t>M0350</t>
  </si>
  <si>
    <t>M0374</t>
  </si>
  <si>
    <t>M0016</t>
  </si>
  <si>
    <t>M0040</t>
  </si>
  <si>
    <t>M0064</t>
  </si>
  <si>
    <t>M0088</t>
  </si>
  <si>
    <t>M0112</t>
  </si>
  <si>
    <t>M0136</t>
  </si>
  <si>
    <t>M0160</t>
  </si>
  <si>
    <t>M0184</t>
  </si>
  <si>
    <t>M0208</t>
  </si>
  <si>
    <t>M0232</t>
  </si>
  <si>
    <t>M0256</t>
  </si>
  <si>
    <t>M0280</t>
  </si>
  <si>
    <t>M0304</t>
  </si>
  <si>
    <t>M0328</t>
  </si>
  <si>
    <t>M0352</t>
  </si>
  <si>
    <t>M0376</t>
  </si>
  <si>
    <t>M0018</t>
  </si>
  <si>
    <t>M0042</t>
  </si>
  <si>
    <t>M0066</t>
  </si>
  <si>
    <t>M0090</t>
  </si>
  <si>
    <t>M0114</t>
  </si>
  <si>
    <t>M0138</t>
  </si>
  <si>
    <t>M0162</t>
  </si>
  <si>
    <t>M0186</t>
  </si>
  <si>
    <t>M0210</t>
  </si>
  <si>
    <t>M0234</t>
  </si>
  <si>
    <t>M0258</t>
  </si>
  <si>
    <t>M0282</t>
  </si>
  <si>
    <t>M0306</t>
  </si>
  <si>
    <t>M0330</t>
  </si>
  <si>
    <t>M0354</t>
  </si>
  <si>
    <t>M0378</t>
  </si>
  <si>
    <t>M0020</t>
  </si>
  <si>
    <t>M0044</t>
  </si>
  <si>
    <t>M0068</t>
  </si>
  <si>
    <t>M0092</t>
  </si>
  <si>
    <t>M0116</t>
  </si>
  <si>
    <t>M0140</t>
  </si>
  <si>
    <t>M0164</t>
  </si>
  <si>
    <t>M0188</t>
  </si>
  <si>
    <t>M0212</t>
  </si>
  <si>
    <t>M0236</t>
  </si>
  <si>
    <t>M0260</t>
  </si>
  <si>
    <t>M0284</t>
  </si>
  <si>
    <t>M0308</t>
  </si>
  <si>
    <t>M0332</t>
  </si>
  <si>
    <t>M0356</t>
  </si>
  <si>
    <t>M0380</t>
  </si>
  <si>
    <t>M0022</t>
  </si>
  <si>
    <t>M0046</t>
  </si>
  <si>
    <t>M0070</t>
  </si>
  <si>
    <t>M0094</t>
  </si>
  <si>
    <t>M0118</t>
  </si>
  <si>
    <t>M0142</t>
  </si>
  <si>
    <t>M0166</t>
  </si>
  <si>
    <t>M0190</t>
  </si>
  <si>
    <t>M0214</t>
  </si>
  <si>
    <t>M0238</t>
  </si>
  <si>
    <t>M0262</t>
  </si>
  <si>
    <t>M0286</t>
  </si>
  <si>
    <t>M0310</t>
  </si>
  <si>
    <t>M0334</t>
  </si>
  <si>
    <t>M0358</t>
  </si>
  <si>
    <t>M0382</t>
  </si>
  <si>
    <t>M0024</t>
  </si>
  <si>
    <t>M0048</t>
  </si>
  <si>
    <t>M0072</t>
  </si>
  <si>
    <t>M0096</t>
  </si>
  <si>
    <t>M0120</t>
  </si>
  <si>
    <t>M0144</t>
  </si>
  <si>
    <t>M0168</t>
  </si>
  <si>
    <t>M0192</t>
  </si>
  <si>
    <t>M0216</t>
  </si>
  <si>
    <t>M0240</t>
  </si>
  <si>
    <t>M0264</t>
  </si>
  <si>
    <t>M0288</t>
  </si>
  <si>
    <t>M0312</t>
  </si>
  <si>
    <t>M0336</t>
  </si>
  <si>
    <t>M0360</t>
  </si>
  <si>
    <t>M0384</t>
  </si>
  <si>
    <t>CallID</t>
  </si>
  <si>
    <t>CallDate</t>
  </si>
  <si>
    <t>CallStatus</t>
  </si>
  <si>
    <t>Channel</t>
  </si>
  <si>
    <t>DurationMin</t>
  </si>
  <si>
    <t>C00001</t>
  </si>
  <si>
    <t>Completed</t>
  </si>
  <si>
    <t>Face-to-Face</t>
  </si>
  <si>
    <t>C00002</t>
  </si>
  <si>
    <t>Phone</t>
  </si>
  <si>
    <t>C00003</t>
  </si>
  <si>
    <t>C00004</t>
  </si>
  <si>
    <t>C00005</t>
  </si>
  <si>
    <t>Cancelled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</si>
  <si>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</si>
  <si>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</si>
  <si>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</si>
  <si>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</si>
  <si>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</si>
  <si>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</si>
  <si>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</si>
  <si>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</si>
  <si>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</si>
  <si>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</si>
  <si>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</si>
  <si>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Video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</si>
  <si>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</si>
  <si>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</si>
  <si>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</si>
  <si>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</si>
  <si>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</si>
  <si>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</si>
  <si>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</si>
  <si>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</si>
  <si>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</si>
  <si>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</si>
  <si>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</si>
  <si>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</si>
  <si>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</si>
  <si>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</si>
  <si>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</si>
  <si>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</si>
  <si>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</si>
  <si>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</si>
  <si>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</si>
  <si>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</si>
  <si>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</si>
  <si>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</si>
  <si>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</si>
  <si>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</si>
  <si>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</si>
  <si>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</si>
  <si>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</si>
  <si>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</si>
  <si>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</si>
  <si>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</si>
  <si>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</si>
  <si>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</si>
  <si>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</si>
  <si>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</si>
  <si>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</si>
  <si>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</si>
  <si>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</si>
  <si>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</si>
  <si>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</si>
  <si>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</si>
  <si>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Planned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</si>
  <si>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</si>
  <si>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</si>
  <si>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</si>
  <si>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</si>
  <si>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</si>
  <si>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</si>
  <si>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</si>
  <si>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</si>
  <si>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</si>
  <si>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</si>
  <si>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</si>
  <si>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</si>
  <si>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</si>
  <si>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</si>
  <si>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</si>
  <si>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</si>
  <si>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</si>
  <si>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</si>
  <si>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</si>
  <si>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</si>
  <si>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</si>
  <si>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</si>
  <si>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</si>
  <si>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</si>
  <si>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</si>
  <si>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</si>
  <si>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</si>
  <si>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</si>
  <si>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</si>
  <si>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</si>
  <si>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</si>
  <si>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</si>
  <si>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</si>
  <si>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</si>
  <si>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</si>
  <si>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</si>
  <si>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</si>
  <si>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</si>
  <si>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</si>
  <si>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</si>
  <si>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</si>
  <si>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</si>
  <si>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</si>
  <si>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</si>
  <si>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</si>
  <si>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</si>
  <si>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</si>
  <si>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</si>
  <si>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</si>
  <si>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</si>
  <si>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</si>
  <si>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</si>
  <si>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</si>
  <si>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</si>
  <si>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</si>
  <si>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</si>
  <si>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</si>
  <si>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</si>
  <si>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</si>
  <si>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</si>
  <si>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</si>
  <si>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</si>
  <si>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</si>
  <si>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</si>
  <si>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</si>
  <si>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</si>
  <si>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</si>
  <si>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</si>
  <si>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</si>
  <si>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</si>
  <si>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</si>
  <si>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</si>
  <si>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</si>
  <si>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</si>
  <si>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</si>
  <si>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</si>
  <si>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</si>
  <si>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</si>
  <si>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</si>
  <si>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</si>
  <si>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</si>
  <si>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</si>
  <si>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</si>
  <si>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</si>
  <si>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</si>
  <si>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</si>
  <si>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</si>
  <si>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</si>
  <si>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</si>
  <si>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</si>
  <si>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</si>
  <si>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</si>
  <si>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</si>
  <si>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</si>
  <si>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</si>
  <si>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</si>
  <si>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</si>
  <si>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</si>
  <si>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</si>
  <si>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</si>
  <si>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</si>
  <si>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</si>
  <si>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</si>
  <si>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</si>
  <si>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</si>
  <si>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</si>
  <si>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</si>
  <si>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</si>
  <si>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</si>
  <si>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</si>
  <si>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</si>
  <si>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</si>
  <si>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</si>
  <si>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</si>
  <si>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</si>
  <si>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</si>
  <si>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</si>
  <si>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</si>
  <si>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</si>
  <si>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</si>
  <si>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</si>
  <si>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</si>
  <si>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</si>
  <si>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</si>
  <si>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</si>
  <si>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</si>
  <si>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</si>
  <si>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</si>
  <si>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</si>
  <si>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</si>
  <si>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</si>
  <si>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</si>
  <si>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</si>
  <si>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</si>
  <si>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</si>
  <si>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</si>
  <si>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</si>
  <si>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</si>
  <si>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</si>
  <si>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</si>
  <si>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</si>
  <si>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</si>
  <si>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</si>
  <si>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</si>
  <si>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</si>
  <si>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</si>
  <si>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</si>
  <si>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</si>
  <si>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</si>
  <si>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</si>
  <si>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</si>
  <si>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</si>
  <si>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</si>
  <si>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</si>
  <si>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</si>
  <si>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</si>
  <si>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</si>
  <si>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</si>
  <si>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</si>
  <si>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</si>
  <si>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</si>
  <si>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</si>
  <si>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</si>
  <si>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</si>
  <si>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</si>
  <si>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</si>
  <si>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</si>
  <si>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</si>
  <si>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</si>
  <si>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</si>
  <si>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</si>
  <si>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</si>
  <si>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</si>
  <si>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</si>
  <si>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</si>
  <si>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</si>
  <si>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</si>
  <si>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</si>
  <si>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</si>
  <si>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</si>
  <si>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</si>
  <si>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</si>
  <si>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</si>
  <si>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</si>
  <si>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</si>
  <si>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</si>
  <si>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</si>
  <si>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</si>
  <si>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</si>
  <si>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</si>
  <si>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</si>
  <si>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</si>
  <si>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</si>
  <si>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</si>
  <si>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</si>
  <si>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</si>
  <si>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</si>
  <si>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</si>
  <si>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</si>
  <si>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</si>
  <si>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</si>
  <si>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</si>
  <si>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</si>
  <si>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</si>
  <si>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</si>
  <si>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</si>
  <si>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</si>
  <si>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</si>
  <si>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</si>
  <si>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</si>
  <si>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</si>
  <si>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</si>
  <si>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</si>
  <si>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</si>
  <si>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</si>
  <si>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</si>
  <si>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</si>
  <si>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</si>
  <si>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</si>
  <si>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</si>
  <si>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</si>
  <si>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</si>
  <si>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</si>
  <si>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</si>
  <si>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</si>
  <si>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</si>
  <si>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</si>
  <si>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</si>
  <si>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</si>
  <si>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</si>
  <si>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</si>
  <si>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</si>
  <si>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</si>
  <si>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</si>
  <si>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</si>
  <si>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</si>
  <si>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</si>
  <si>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</si>
  <si>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</si>
  <si>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</si>
  <si>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</si>
  <si>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</si>
  <si>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</si>
  <si>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</si>
  <si>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</si>
  <si>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</si>
  <si>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</si>
  <si>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</si>
  <si>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</si>
  <si>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</si>
  <si>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</si>
  <si>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</si>
  <si>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</si>
  <si>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</si>
  <si>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</si>
  <si>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</si>
  <si>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</si>
  <si>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</si>
  <si>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</si>
  <si>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</si>
  <si>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</si>
  <si>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</si>
  <si>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</si>
  <si>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</si>
  <si>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</si>
  <si>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</si>
  <si>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</si>
  <si>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</si>
  <si>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</si>
  <si>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</si>
  <si>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</si>
  <si>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</si>
  <si>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</si>
  <si>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</si>
  <si>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</si>
  <si>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</si>
  <si>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</si>
  <si>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</si>
  <si>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</si>
  <si>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</si>
  <si>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</si>
  <si>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</si>
  <si>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</si>
  <si>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</si>
  <si>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</si>
  <si>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</si>
  <si>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</si>
  <si>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</si>
  <si>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</si>
  <si>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</si>
  <si>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</si>
  <si>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</si>
  <si>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</si>
  <si>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</si>
  <si>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</si>
  <si>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</si>
  <si>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</si>
  <si>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</si>
  <si>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</si>
  <si>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</si>
  <si>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</si>
  <si>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</si>
  <si>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</si>
  <si>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</si>
  <si>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</si>
  <si>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</si>
  <si>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</si>
  <si>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</si>
  <si>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</si>
  <si>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</si>
  <si>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</si>
  <si>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</si>
  <si>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</si>
  <si>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</si>
  <si>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</si>
  <si>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</si>
  <si>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</si>
  <si>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</si>
  <si>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</si>
  <si>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</si>
  <si>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</si>
  <si>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</si>
  <si>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</si>
  <si>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</si>
  <si>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</si>
  <si>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</si>
  <si>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</si>
  <si>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</si>
  <si>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</si>
  <si>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</si>
  <si>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</si>
  <si>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</si>
  <si>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</si>
  <si>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</si>
  <si>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</si>
  <si>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</si>
  <si>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</si>
  <si>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</si>
  <si>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</si>
  <si>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</si>
  <si>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</si>
  <si>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</si>
  <si>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</si>
  <si>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</si>
  <si>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</si>
  <si>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</si>
  <si>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</si>
  <si>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</si>
  <si>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</si>
  <si>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</si>
  <si>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</si>
  <si>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</si>
  <si>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</si>
  <si>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</si>
  <si>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</si>
  <si>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</si>
  <si>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</si>
  <si>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</si>
  <si>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</si>
  <si>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</si>
  <si>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</si>
  <si>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</si>
  <si>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</si>
  <si>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</si>
  <si>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</si>
  <si>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</si>
  <si>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</si>
  <si>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</si>
  <si>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</si>
  <si>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</si>
  <si>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</si>
  <si>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</si>
  <si>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</si>
  <si>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</si>
  <si>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</si>
  <si>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</si>
  <si>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</si>
  <si>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</si>
  <si>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</si>
  <si>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</si>
  <si>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</si>
  <si>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</si>
  <si>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</si>
  <si>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</si>
  <si>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</si>
  <si>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</si>
  <si>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</si>
  <si>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</si>
  <si>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</si>
  <si>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</si>
  <si>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</si>
  <si>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</si>
  <si>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</si>
  <si>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</si>
  <si>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</si>
  <si>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</si>
  <si>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</si>
  <si>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</si>
  <si>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</si>
  <si>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</si>
  <si>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</si>
  <si>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</si>
  <si>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</si>
  <si>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</si>
  <si>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</si>
  <si>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</si>
  <si>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</si>
  <si>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</si>
  <si>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</si>
  <si>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</si>
  <si>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</si>
  <si>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</si>
  <si>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</si>
  <si>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</si>
  <si>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</si>
  <si>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</si>
  <si>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</si>
  <si>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</si>
  <si>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</si>
  <si>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</si>
  <si>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</si>
  <si>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</si>
  <si>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</si>
  <si>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</si>
  <si>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</si>
  <si>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</si>
  <si>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</si>
  <si>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</si>
  <si>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</si>
  <si>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</si>
  <si>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</si>
  <si>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</si>
  <si>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</si>
  <si>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</si>
  <si>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</si>
  <si>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</si>
  <si>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</si>
  <si>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</si>
  <si>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</si>
  <si>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</si>
  <si>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</si>
  <si>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</si>
  <si>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</si>
  <si>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</si>
  <si>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</si>
  <si>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</si>
  <si>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</si>
  <si>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</si>
  <si>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</si>
  <si>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</si>
  <si>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</si>
  <si>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</si>
  <si>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</si>
  <si>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</si>
  <si>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</si>
  <si>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</si>
  <si>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</si>
  <si>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</si>
  <si>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</si>
  <si>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</si>
  <si>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</si>
  <si>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</si>
  <si>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</si>
  <si>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</si>
  <si>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</si>
  <si>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</si>
  <si>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</si>
  <si>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</si>
  <si>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</si>
  <si>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</si>
  <si>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</si>
  <si>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</si>
  <si>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</si>
  <si>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</si>
  <si>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</si>
  <si>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</si>
  <si>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</si>
  <si>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</si>
  <si>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</si>
  <si>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</si>
  <si>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</si>
  <si>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</si>
  <si>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</si>
  <si>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</si>
  <si>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</si>
  <si>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</si>
  <si>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</si>
  <si>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</si>
  <si>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</si>
  <si>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</si>
  <si>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</si>
  <si>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</si>
  <si>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</si>
  <si>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</si>
  <si>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</si>
  <si>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</si>
  <si>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</si>
  <si>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</si>
  <si>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</si>
  <si>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</si>
  <si>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</si>
  <si>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</si>
  <si>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</si>
  <si>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</si>
  <si>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</si>
  <si>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</si>
  <si>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</si>
  <si>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</si>
  <si>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</si>
  <si>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</si>
  <si>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</si>
  <si>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</si>
  <si>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</si>
  <si>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</si>
  <si>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</si>
  <si>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</si>
  <si>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</si>
  <si>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</si>
  <si>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</si>
  <si>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</si>
  <si>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</si>
  <si>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</si>
  <si>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</si>
  <si>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</si>
  <si>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</si>
  <si>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</si>
  <si>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</si>
  <si>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</si>
  <si>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</si>
  <si>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</si>
  <si>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</si>
  <si>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</si>
  <si>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</si>
  <si>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</si>
  <si>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</si>
  <si>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</si>
  <si>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</si>
  <si>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</si>
  <si>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</si>
  <si>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</si>
  <si>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</si>
  <si>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</si>
  <si>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</si>
  <si>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</si>
  <si>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</si>
  <si>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</si>
  <si>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</si>
  <si>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</si>
  <si>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</si>
  <si>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</si>
  <si>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</si>
  <si>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</si>
  <si>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</si>
  <si>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</si>
  <si>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</si>
  <si>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</si>
  <si>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</si>
  <si>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</si>
  <si>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</si>
  <si>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</si>
  <si>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</si>
  <si>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</si>
  <si>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</si>
  <si>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</si>
  <si>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</si>
  <si>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</si>
  <si>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</si>
  <si>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</si>
  <si>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</si>
  <si>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</si>
  <si>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</si>
  <si>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</si>
  <si>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</si>
  <si>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</si>
  <si>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</si>
  <si>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</si>
  <si>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</si>
  <si>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</si>
  <si>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</si>
  <si>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</si>
  <si>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</si>
  <si>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</si>
  <si>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</si>
  <si>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</si>
  <si>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</si>
  <si>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</si>
  <si>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</si>
  <si>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</si>
  <si>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</si>
  <si>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</si>
  <si>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</si>
  <si>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</si>
  <si>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</si>
  <si>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</si>
  <si>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</si>
  <si>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</si>
  <si>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</si>
  <si>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</si>
  <si>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</si>
  <si>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</si>
  <si>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</si>
  <si>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</si>
  <si>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</si>
  <si>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</si>
  <si>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</si>
  <si>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</si>
  <si>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</si>
  <si>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</si>
  <si>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</si>
  <si>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</si>
  <si>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</si>
  <si>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</si>
  <si>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</si>
  <si>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</si>
  <si>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</si>
  <si>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</si>
  <si>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</si>
  <si>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</si>
  <si>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</si>
  <si>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</si>
  <si>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</si>
  <si>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</si>
  <si>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</si>
  <si>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</si>
  <si>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</si>
  <si>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</si>
  <si>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</si>
  <si>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</si>
  <si>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</si>
  <si>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</si>
  <si>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</si>
  <si>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</si>
  <si>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</si>
  <si>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</si>
  <si>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</si>
  <si>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</si>
  <si>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</si>
  <si>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</si>
  <si>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</si>
  <si>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</si>
  <si>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</si>
  <si>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</si>
  <si>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</si>
  <si>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</si>
  <si>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</si>
  <si>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</si>
  <si>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</si>
  <si>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</si>
  <si>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</si>
  <si>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</si>
  <si>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</si>
  <si>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</si>
  <si>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</si>
  <si>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</si>
  <si>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</si>
  <si>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</si>
  <si>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</si>
  <si>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</si>
  <si>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</si>
  <si>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</si>
  <si>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</si>
  <si>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</si>
  <si>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</si>
  <si>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</si>
  <si>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</si>
  <si>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</si>
  <si>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</si>
  <si>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</si>
  <si>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</si>
  <si>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</si>
  <si>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</si>
  <si>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</si>
  <si>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</si>
  <si>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</si>
  <si>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</si>
  <si>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</si>
  <si>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</si>
  <si>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</si>
  <si>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</si>
  <si>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</si>
  <si>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</si>
  <si>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</si>
  <si>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</si>
  <si>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</si>
  <si>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</si>
  <si>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</si>
  <si>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</si>
  <si>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</si>
  <si>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</si>
  <si>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</si>
  <si>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</si>
  <si>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</si>
  <si>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</si>
  <si>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</si>
  <si>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</si>
  <si>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</si>
  <si>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</si>
  <si>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</si>
  <si>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</si>
  <si>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</si>
  <si>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</si>
  <si>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</si>
  <si>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</si>
  <si>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</si>
  <si>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</si>
  <si>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</si>
  <si>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</si>
  <si>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</si>
  <si>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</si>
  <si>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</si>
  <si>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</si>
  <si>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</si>
  <si>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</si>
  <si>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</si>
  <si>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</si>
  <si>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</si>
  <si>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</si>
  <si>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</si>
  <si>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</si>
  <si>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</si>
  <si>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</si>
  <si>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</si>
  <si>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</si>
  <si>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</si>
  <si>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</si>
  <si>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</si>
  <si>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</si>
  <si>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</si>
  <si>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</si>
  <si>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</si>
  <si>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</si>
  <si>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</si>
  <si>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</si>
  <si>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</si>
  <si>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</si>
  <si>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</si>
  <si>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</si>
  <si>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</si>
  <si>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</si>
  <si>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</si>
  <si>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</si>
  <si>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</si>
  <si>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</si>
  <si>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</si>
  <si>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</si>
  <si>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</si>
  <si>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</si>
  <si>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</si>
  <si>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</si>
  <si>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</si>
  <si>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</si>
  <si>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</si>
  <si>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</si>
  <si>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</si>
  <si>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</si>
  <si>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</si>
  <si>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</si>
  <si>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</si>
  <si>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</si>
  <si>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</si>
  <si>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</si>
  <si>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</si>
  <si>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</si>
  <si>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</si>
  <si>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</si>
  <si>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</si>
  <si>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</si>
  <si>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</si>
  <si>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</si>
  <si>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</si>
  <si>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</si>
  <si>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</si>
  <si>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</si>
  <si>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</si>
  <si>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</si>
  <si>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</si>
  <si>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</si>
  <si>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</si>
  <si>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</si>
  <si>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</si>
  <si>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</si>
  <si>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</si>
  <si>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</si>
  <si>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</si>
  <si>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</si>
  <si>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</si>
  <si>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</si>
  <si>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</si>
  <si>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</si>
  <si>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</si>
  <si>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</si>
  <si>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</si>
  <si>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</si>
  <si>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</si>
  <si>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</si>
  <si>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</si>
  <si>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</si>
  <si>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</si>
  <si>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</si>
  <si>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</si>
  <si>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</si>
  <si>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</si>
  <si>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</si>
  <si>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</si>
  <si>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</si>
  <si>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</si>
  <si>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</si>
  <si>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</si>
  <si>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</si>
  <si>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</si>
  <si>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</si>
  <si>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</si>
  <si>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</si>
  <si>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</si>
  <si>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</si>
  <si>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</si>
  <si>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</si>
  <si>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</si>
  <si>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</si>
  <si>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</si>
  <si>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</si>
  <si>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</si>
  <si>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</si>
  <si>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</si>
  <si>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</si>
  <si>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</si>
  <si>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</si>
  <si>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</si>
  <si>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</si>
  <si>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</si>
  <si>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</si>
  <si>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</si>
  <si>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</si>
  <si>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</si>
  <si>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</si>
  <si>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</si>
  <si>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</si>
  <si>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</si>
  <si>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</si>
  <si>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</si>
  <si>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</si>
  <si>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</si>
  <si>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</si>
  <si>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</si>
  <si>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</si>
  <si>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</si>
  <si>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</si>
  <si>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</si>
  <si>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</si>
  <si>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</si>
  <si>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</si>
  <si>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</si>
  <si>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</si>
  <si>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</si>
  <si>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</si>
  <si>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</si>
  <si>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</si>
  <si>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</si>
  <si>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</si>
  <si>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</si>
  <si>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</si>
  <si>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</si>
  <si>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</si>
  <si>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</si>
  <si>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</si>
  <si>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</si>
  <si>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</si>
  <si>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</si>
  <si>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</si>
  <si>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</si>
  <si>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</si>
  <si>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</si>
  <si>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</si>
  <si>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</si>
  <si>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</si>
  <si>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</si>
  <si>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</si>
  <si>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</si>
  <si>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</si>
  <si>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</si>
  <si>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</si>
  <si>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</si>
  <si>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</si>
  <si>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</si>
  <si>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</si>
  <si>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</si>
  <si>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</si>
  <si>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</si>
  <si>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</si>
  <si>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</si>
  <si>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</si>
  <si>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</si>
  <si>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</si>
  <si>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</si>
  <si>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</si>
  <si>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</si>
  <si>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</si>
  <si>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</si>
  <si>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</si>
  <si>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</si>
  <si>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</si>
  <si>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</si>
  <si>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</si>
  <si>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</si>
  <si>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</si>
  <si>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</si>
  <si>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</si>
  <si>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</si>
  <si>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</si>
  <si>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</si>
  <si>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</si>
  <si>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</si>
  <si>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</si>
  <si>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</si>
  <si>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</si>
  <si>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</si>
  <si>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</si>
  <si>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</si>
  <si>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</si>
  <si>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</si>
  <si>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</si>
  <si>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</si>
  <si>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</si>
  <si>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</si>
  <si>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</si>
  <si>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</si>
  <si>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</si>
  <si>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</si>
  <si>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</si>
  <si>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</si>
  <si>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</si>
  <si>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</si>
  <si>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</si>
  <si>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</si>
  <si>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</si>
  <si>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</si>
  <si>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</si>
  <si>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</si>
  <si>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</si>
  <si>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</si>
  <si>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</si>
  <si>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</si>
  <si>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</si>
  <si>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</si>
  <si>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</si>
  <si>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</si>
  <si>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</si>
  <si>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</si>
  <si>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</si>
  <si>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</si>
  <si>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</si>
  <si>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</si>
  <si>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</si>
  <si>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</si>
  <si>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</si>
  <si>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</si>
  <si>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</si>
  <si>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</si>
  <si>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</si>
  <si>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</si>
  <si>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</si>
  <si>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</si>
  <si>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</si>
  <si>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</si>
  <si>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</si>
  <si>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</si>
  <si>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</si>
  <si>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</si>
  <si>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</si>
  <si>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</si>
  <si>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</si>
  <si>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</si>
  <si>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</si>
  <si>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</si>
  <si>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</si>
  <si>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</si>
  <si>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</si>
  <si>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</si>
  <si>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</si>
  <si>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</si>
  <si>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</si>
  <si>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</si>
  <si>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</si>
  <si>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</si>
  <si>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</si>
  <si>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</si>
  <si>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</si>
  <si>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</si>
  <si>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</si>
  <si>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</si>
  <si>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</si>
  <si>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</si>
  <si>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</si>
  <si>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</si>
  <si>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</si>
  <si>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</si>
  <si>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</si>
  <si>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</si>
  <si>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</si>
  <si>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</si>
  <si>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</si>
  <si>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</si>
  <si>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</si>
  <si>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</si>
  <si>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</si>
  <si>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</si>
  <si>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</si>
  <si>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</si>
  <si>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</si>
  <si>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</si>
  <si>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</si>
  <si>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</si>
  <si>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</si>
  <si>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</si>
  <si>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</si>
  <si>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</si>
  <si>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</si>
  <si>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</si>
  <si>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</si>
  <si>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</si>
  <si>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</si>
  <si>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</si>
  <si>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</si>
  <si>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</si>
  <si>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</si>
  <si>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</si>
  <si>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</si>
  <si>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</si>
  <si>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</si>
  <si>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</si>
  <si>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</si>
  <si>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</si>
  <si>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</si>
  <si>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</si>
  <si>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</si>
  <si>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</si>
  <si>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</si>
  <si>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</si>
  <si>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</si>
  <si>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</si>
  <si>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</si>
  <si>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</si>
  <si>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</si>
  <si>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</si>
  <si>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</si>
  <si>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</si>
  <si>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</si>
  <si>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</si>
  <si>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</si>
  <si>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</si>
  <si>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</si>
  <si>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</si>
  <si>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</si>
  <si>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</si>
  <si>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</si>
  <si>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</si>
  <si>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</si>
  <si>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</si>
  <si>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</si>
  <si>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</si>
  <si>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</si>
  <si>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</si>
  <si>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</si>
  <si>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</si>
  <si>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</si>
  <si>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</si>
  <si>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</si>
  <si>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</si>
  <si>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</si>
  <si>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</si>
  <si>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</si>
  <si>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</si>
  <si>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</si>
  <si>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</si>
  <si>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</si>
  <si>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</si>
  <si>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</si>
  <si>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</si>
  <si>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</si>
  <si>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</si>
  <si>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</si>
  <si>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</si>
  <si>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</si>
  <si>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</si>
  <si>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</si>
  <si>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</si>
  <si>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</si>
  <si>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</si>
  <si>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</si>
  <si>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</si>
  <si>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</si>
  <si>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</si>
  <si>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</si>
  <si>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</si>
  <si>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</si>
  <si>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</si>
  <si>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</si>
  <si>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</si>
  <si>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</si>
  <si>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</si>
  <si>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</si>
  <si>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</si>
  <si>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</si>
  <si>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</si>
  <si>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</si>
  <si>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</si>
  <si>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</si>
  <si>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</si>
  <si>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</si>
  <si>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</si>
  <si>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</si>
  <si>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</si>
  <si>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</si>
  <si>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</si>
  <si>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</si>
  <si>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</si>
  <si>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</si>
  <si>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</si>
  <si>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</si>
  <si>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</si>
  <si>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</si>
  <si>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</si>
  <si>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</si>
  <si>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</si>
  <si>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</si>
  <si>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</si>
  <si>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</si>
  <si>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</si>
  <si>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</si>
  <si>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</si>
  <si>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</si>
  <si>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</si>
  <si>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</si>
  <si>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</si>
  <si>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</si>
  <si>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</si>
  <si>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</si>
  <si>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</si>
  <si>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</si>
  <si>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</si>
  <si>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</si>
  <si>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</si>
  <si>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</si>
  <si>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</si>
  <si>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</si>
  <si>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</si>
  <si>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</si>
  <si>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</si>
  <si>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</si>
  <si>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</si>
  <si>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</si>
  <si>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</si>
  <si>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</si>
  <si>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</si>
  <si>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</si>
  <si>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</si>
  <si>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</si>
  <si>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</si>
  <si>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</si>
  <si>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</si>
  <si>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</si>
  <si>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</si>
  <si>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</si>
  <si>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</si>
  <si>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</si>
  <si>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</si>
  <si>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</si>
  <si>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</si>
  <si>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</si>
  <si>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</si>
  <si>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</si>
  <si>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</si>
  <si>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</si>
  <si>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</si>
  <si>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</si>
  <si>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</si>
  <si>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</si>
  <si>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</si>
  <si>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</si>
  <si>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</si>
  <si>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</si>
  <si>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</si>
  <si>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</si>
  <si>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</si>
  <si>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</si>
  <si>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</si>
  <si>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</si>
  <si>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</si>
  <si>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</si>
  <si>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</si>
  <si>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</si>
  <si>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</si>
  <si>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</si>
  <si>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</si>
  <si>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</si>
  <si>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</si>
  <si>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</si>
  <si>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</si>
  <si>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</si>
  <si>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</si>
  <si>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</si>
  <si>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</si>
  <si>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</si>
  <si>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</si>
  <si>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</si>
  <si>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</si>
  <si>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</si>
  <si>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</si>
  <si>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</si>
  <si>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</si>
  <si>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</si>
  <si>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</si>
  <si>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</si>
  <si>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</si>
  <si>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</si>
  <si>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</si>
  <si>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</si>
  <si>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</si>
  <si>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</si>
  <si>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</si>
  <si>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</si>
  <si>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</si>
  <si>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</si>
  <si>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</si>
  <si>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</si>
  <si>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</si>
  <si>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</si>
  <si>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</si>
  <si>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</si>
  <si>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</si>
  <si>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</si>
  <si>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</si>
  <si>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</si>
  <si>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</si>
  <si>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</si>
  <si>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</si>
  <si>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</si>
  <si>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</si>
  <si>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</si>
  <si>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</si>
  <si>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</si>
  <si>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</si>
  <si>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</si>
  <si>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</si>
  <si>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</si>
  <si>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</si>
  <si>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</si>
  <si>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</si>
  <si>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</si>
  <si>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</si>
  <si>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</si>
  <si>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</si>
  <si>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</si>
  <si>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</si>
  <si>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</si>
  <si>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</si>
  <si>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</si>
  <si>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</si>
  <si>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</si>
  <si>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</si>
  <si>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</si>
  <si>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</si>
  <si>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</si>
  <si>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</si>
  <si>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</si>
  <si>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</si>
  <si>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</si>
  <si>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</si>
  <si>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</si>
  <si>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</si>
  <si>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</si>
  <si>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</si>
  <si>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</si>
  <si>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</si>
  <si>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</si>
  <si>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</si>
  <si>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</si>
  <si>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</si>
  <si>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</si>
  <si>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</si>
  <si>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</si>
  <si>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</si>
  <si>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</si>
  <si>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</si>
  <si>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</si>
  <si>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</si>
  <si>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</si>
  <si>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</si>
  <si>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</si>
  <si>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</si>
  <si>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</si>
  <si>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</si>
  <si>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</si>
  <si>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</si>
  <si>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</si>
  <si>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</si>
  <si>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</si>
  <si>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</si>
  <si>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</si>
  <si>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</si>
  <si>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</si>
  <si>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</si>
  <si>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</si>
  <si>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</si>
  <si>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</si>
  <si>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</si>
  <si>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</si>
  <si>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</si>
  <si>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</si>
  <si>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</si>
  <si>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</si>
  <si>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</si>
  <si>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</si>
  <si>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</si>
  <si>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</si>
  <si>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</si>
  <si>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</si>
  <si>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</si>
  <si>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</si>
  <si>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</si>
  <si>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</si>
  <si>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</si>
  <si>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</si>
  <si>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</si>
  <si>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</si>
  <si>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</si>
  <si>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</si>
  <si>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</si>
  <si>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</si>
  <si>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</si>
  <si>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</si>
  <si>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</si>
  <si>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</si>
  <si>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</si>
  <si>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</si>
  <si>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</si>
  <si>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</si>
  <si>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</si>
  <si>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</si>
  <si>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</si>
  <si>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</si>
  <si>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</si>
  <si>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</si>
  <si>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</si>
  <si>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</si>
  <si>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</si>
  <si>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</si>
  <si>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</si>
  <si>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</si>
  <si>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</si>
  <si>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</si>
  <si>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</si>
  <si>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</si>
  <si>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</si>
  <si>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</si>
  <si>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</si>
  <si>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</si>
  <si>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</si>
  <si>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</si>
  <si>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</si>
  <si>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</si>
  <si>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</si>
  <si>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</si>
  <si>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</si>
  <si>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</si>
  <si>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</si>
  <si>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</si>
  <si>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</si>
  <si>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</si>
  <si>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</si>
  <si>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</si>
  <si>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</si>
  <si>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</si>
  <si>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</si>
  <si>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</si>
  <si>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</si>
  <si>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</si>
  <si>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</si>
  <si>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</si>
  <si>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</si>
  <si>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</si>
  <si>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</si>
  <si>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</si>
  <si>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</si>
  <si>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</si>
  <si>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</si>
  <si>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</si>
  <si>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</si>
  <si>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</si>
  <si>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</si>
  <si>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</si>
  <si>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</si>
  <si>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</si>
  <si>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</si>
  <si>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</si>
  <si>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</si>
  <si>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</si>
  <si>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</si>
  <si>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</si>
  <si>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</si>
  <si>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</si>
  <si>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</si>
  <si>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</si>
  <si>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</si>
  <si>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</si>
  <si>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</si>
  <si>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</si>
  <si>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</si>
  <si>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</si>
  <si>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</si>
  <si>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</si>
  <si>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</si>
  <si>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</si>
  <si>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</si>
  <si>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</si>
  <si>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</si>
  <si>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</si>
  <si>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</si>
  <si>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</si>
  <si>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</si>
  <si>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</si>
  <si>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</si>
  <si>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</si>
  <si>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</si>
  <si>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</si>
  <si>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</si>
  <si>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</si>
  <si>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</si>
  <si>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</si>
  <si>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</si>
  <si>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</si>
  <si>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</si>
  <si>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</si>
  <si>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</si>
  <si>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</si>
  <si>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</si>
  <si>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</si>
  <si>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</si>
  <si>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</si>
  <si>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</si>
  <si>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</si>
  <si>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</si>
  <si>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</si>
  <si>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</si>
  <si>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</si>
  <si>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</si>
  <si>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</si>
  <si>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</si>
  <si>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</si>
  <si>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</si>
  <si>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</si>
  <si>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</si>
  <si>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</si>
  <si>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</si>
  <si>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</si>
  <si>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</si>
  <si>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</si>
  <si>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</si>
  <si>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</si>
  <si>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</si>
  <si>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</si>
  <si>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</si>
  <si>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</si>
  <si>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</si>
  <si>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</si>
  <si>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</si>
  <si>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</si>
  <si>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</si>
  <si>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</si>
  <si>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</si>
  <si>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</si>
  <si>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</si>
  <si>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</si>
  <si>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</si>
  <si>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</si>
  <si>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</si>
  <si>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</si>
  <si>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</si>
  <si>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</si>
  <si>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</si>
  <si>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</si>
  <si>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</si>
  <si>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</si>
  <si>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</si>
  <si>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</si>
  <si>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</si>
  <si>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</si>
  <si>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</si>
  <si>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</si>
  <si>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</si>
  <si>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</si>
  <si>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</si>
  <si>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</si>
  <si>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</si>
  <si>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</si>
  <si>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</si>
  <si>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</si>
  <si>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</si>
  <si>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</si>
  <si>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</si>
  <si>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</si>
  <si>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</si>
  <si>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</si>
  <si>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</si>
  <si>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</si>
  <si>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</si>
  <si>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</si>
  <si>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</si>
  <si>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</si>
  <si>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</si>
  <si>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</si>
  <si>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</si>
  <si>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</si>
  <si>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</si>
  <si>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</si>
  <si>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</si>
  <si>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</si>
  <si>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</si>
  <si>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</si>
  <si>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</si>
  <si>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</si>
  <si>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</si>
  <si>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</si>
  <si>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</si>
  <si>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</si>
  <si>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</si>
  <si>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</si>
  <si>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</si>
  <si>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</si>
  <si>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</si>
  <si>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</si>
  <si>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</si>
  <si>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</si>
  <si>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</si>
  <si>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</si>
  <si>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</si>
  <si>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</si>
  <si>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</si>
  <si>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</si>
  <si>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</si>
  <si>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</si>
  <si>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</si>
  <si>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</si>
  <si>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</si>
  <si>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</si>
  <si>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</si>
  <si>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</si>
  <si>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</si>
  <si>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</si>
  <si>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</si>
  <si>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</si>
  <si>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</si>
  <si>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</si>
  <si>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</si>
  <si>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</si>
  <si>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</si>
  <si>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</si>
  <si>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</si>
  <si>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</si>
  <si>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</si>
  <si>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</si>
  <si>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</si>
  <si>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</si>
  <si>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</si>
  <si>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</si>
  <si>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</si>
  <si>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</si>
  <si>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</si>
  <si>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</si>
  <si>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</si>
  <si>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</si>
  <si>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</si>
  <si>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</si>
  <si>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</si>
  <si>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</si>
  <si>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</si>
  <si>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</si>
  <si>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</si>
  <si>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</si>
  <si>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</si>
  <si>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</si>
  <si>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</si>
  <si>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</si>
  <si>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</si>
  <si>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</si>
  <si>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</si>
  <si>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</si>
  <si>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</si>
  <si>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</si>
  <si>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</si>
  <si>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</si>
  <si>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</si>
  <si>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</si>
  <si>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</si>
  <si>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</si>
  <si>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</si>
  <si>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</si>
  <si>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</si>
  <si>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</si>
  <si>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</si>
  <si>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</si>
  <si>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</si>
  <si>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</si>
  <si>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</si>
  <si>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</si>
  <si>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</si>
  <si>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</si>
  <si>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</si>
  <si>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</si>
  <si>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</si>
  <si>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</si>
  <si>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</si>
  <si>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</si>
  <si>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</si>
  <si>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</si>
  <si>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</si>
  <si>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</si>
  <si>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</si>
  <si>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</si>
  <si>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</si>
  <si>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</si>
  <si>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</si>
  <si>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</si>
  <si>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</si>
  <si>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</si>
  <si>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</si>
  <si>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</si>
  <si>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</si>
  <si>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</si>
  <si>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</si>
  <si>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</si>
  <si>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</si>
  <si>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</si>
  <si>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</si>
  <si>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</si>
  <si>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</si>
  <si>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</si>
  <si>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</si>
  <si>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</si>
  <si>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</si>
  <si>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</si>
  <si>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</si>
  <si>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</si>
  <si>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</si>
  <si>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</si>
  <si>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</si>
  <si>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</si>
  <si>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</si>
  <si>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</si>
  <si>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</si>
  <si>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</si>
  <si>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</si>
  <si>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</si>
  <si>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</si>
  <si>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</si>
  <si>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</si>
  <si>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</si>
  <si>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</si>
  <si>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</si>
  <si>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</si>
  <si>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</si>
  <si>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</si>
  <si>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</si>
  <si>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</si>
  <si>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</si>
  <si>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</si>
  <si>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</si>
  <si>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</si>
  <si>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</si>
  <si>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</si>
  <si>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</si>
  <si>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</si>
  <si>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</si>
  <si>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</si>
  <si>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</si>
  <si>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</si>
  <si>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</si>
  <si>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</si>
  <si>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</si>
  <si>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</si>
  <si>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</si>
  <si>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</si>
  <si>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</si>
  <si>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</si>
  <si>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</si>
  <si>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</si>
  <si>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</si>
  <si>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</si>
  <si>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</si>
  <si>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</si>
  <si>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</si>
  <si>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</si>
  <si>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</si>
  <si>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</si>
  <si>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</si>
  <si>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</si>
  <si>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</si>
  <si>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</si>
  <si>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</si>
  <si>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</si>
  <si>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</si>
  <si>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</si>
  <si>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</si>
  <si>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</si>
  <si>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</si>
  <si>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</si>
  <si>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</si>
  <si>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</si>
  <si>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</si>
  <si>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</si>
  <si>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</si>
  <si>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</si>
  <si>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</si>
  <si>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</si>
  <si>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</si>
  <si>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</si>
  <si>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</si>
  <si>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</si>
  <si>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</si>
  <si>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</si>
  <si>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</si>
  <si>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</si>
  <si>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</si>
  <si>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</si>
  <si>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</si>
  <si>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</si>
  <si>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</si>
  <si>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</si>
  <si>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</si>
  <si>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</si>
  <si>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</si>
  <si>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</si>
  <si>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</si>
  <si>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</si>
  <si>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</si>
  <si>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</si>
  <si>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</si>
  <si>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</si>
  <si>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</si>
  <si>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</si>
  <si>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</si>
  <si>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</si>
  <si>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</si>
  <si>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</si>
  <si>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</si>
  <si>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</si>
  <si>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</si>
  <si>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</si>
  <si>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</si>
  <si>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</si>
  <si>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</si>
  <si>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</si>
  <si>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</si>
  <si>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</si>
  <si>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</si>
  <si>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</si>
  <si>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</si>
  <si>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</si>
  <si>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</si>
  <si>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</si>
  <si>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</si>
  <si>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</si>
  <si>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</si>
  <si>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</si>
  <si>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</si>
  <si>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</si>
  <si>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</si>
  <si>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</si>
  <si>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</si>
  <si>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</si>
  <si>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</si>
  <si>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</si>
  <si>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</si>
  <si>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</si>
  <si>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</si>
  <si>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</si>
  <si>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</si>
  <si>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</si>
  <si>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</si>
  <si>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</si>
  <si>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</si>
  <si>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</si>
  <si>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</si>
  <si>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</si>
  <si>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</si>
  <si>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</si>
  <si>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</si>
  <si>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</si>
  <si>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</si>
  <si>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</si>
  <si>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</si>
  <si>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</si>
  <si>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</si>
  <si>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</si>
  <si>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</si>
  <si>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</si>
  <si>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</si>
  <si>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</si>
  <si>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</si>
  <si>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</si>
  <si>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</si>
  <si>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</si>
  <si>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</si>
  <si>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</si>
  <si>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</si>
  <si>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</si>
  <si>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</si>
  <si>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</si>
  <si>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</si>
  <si>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</si>
  <si>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</si>
  <si>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</si>
  <si>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</si>
  <si>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</si>
  <si>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</si>
  <si>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</si>
  <si>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</si>
  <si>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</si>
  <si>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</si>
  <si>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</si>
  <si>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</si>
  <si>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</si>
  <si>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</si>
  <si>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</si>
  <si>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</si>
  <si>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</si>
  <si>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</si>
  <si>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</si>
  <si>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</si>
  <si>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</si>
  <si>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</si>
  <si>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</si>
  <si>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</si>
  <si>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</si>
  <si>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</si>
  <si>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</si>
  <si>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</si>
  <si>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</si>
  <si>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</si>
  <si>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</si>
  <si>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</si>
  <si>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</si>
  <si>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</si>
  <si>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</si>
  <si>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</si>
  <si>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</si>
  <si>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</si>
  <si>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</si>
  <si>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</si>
  <si>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</si>
  <si>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</si>
  <si>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</si>
  <si>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</si>
  <si>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</si>
  <si>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</si>
  <si>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</si>
  <si>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</si>
  <si>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</si>
  <si>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</si>
  <si>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</si>
  <si>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</si>
  <si>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</si>
  <si>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</si>
  <si>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</si>
  <si>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</si>
  <si>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</si>
  <si>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</si>
  <si>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</si>
  <si>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</si>
  <si>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</si>
  <si>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</si>
  <si>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</si>
  <si>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</si>
  <si>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</si>
  <si>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</si>
  <si>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</si>
  <si>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</si>
  <si>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</si>
  <si>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</si>
  <si>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</si>
  <si>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</si>
  <si>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</si>
  <si>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</si>
  <si>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</si>
  <si>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</si>
  <si>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</si>
  <si>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</si>
  <si>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</si>
  <si>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</si>
  <si>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</si>
  <si>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</si>
  <si>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</si>
  <si>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</si>
  <si>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</si>
  <si>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</si>
  <si>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</si>
  <si>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</si>
  <si>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</si>
  <si>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</si>
  <si>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</si>
  <si>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</si>
  <si>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</si>
  <si>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</si>
  <si>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</si>
  <si>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</si>
  <si>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</si>
  <si>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</si>
  <si>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</si>
  <si>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</si>
  <si>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</si>
  <si>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</si>
  <si>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</si>
  <si>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</si>
  <si>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</si>
  <si>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</si>
  <si>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</si>
  <si>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</si>
  <si>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</si>
  <si>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</si>
  <si>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</si>
  <si>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</si>
  <si>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</si>
  <si>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</si>
  <si>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</si>
  <si>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</si>
  <si>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</si>
  <si>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</si>
  <si>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</si>
  <si>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</si>
  <si>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</si>
  <si>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</si>
  <si>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</si>
  <si>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</si>
  <si>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</si>
  <si>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</si>
  <si>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</si>
  <si>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</si>
  <si>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</si>
  <si>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</si>
  <si>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</si>
  <si>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</si>
  <si>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</si>
  <si>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</si>
  <si>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</si>
  <si>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</si>
  <si>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</si>
  <si>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</si>
  <si>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</si>
  <si>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</si>
  <si>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</si>
  <si>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</si>
  <si>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</si>
  <si>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</si>
  <si>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</si>
  <si>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</si>
  <si>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</si>
  <si>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</si>
  <si>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</si>
  <si>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</si>
  <si>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</si>
  <si>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</si>
  <si>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</si>
  <si>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</si>
  <si>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</si>
  <si>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</si>
  <si>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</si>
  <si>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</si>
  <si>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</si>
  <si>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</si>
  <si>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</si>
  <si>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</si>
  <si>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</si>
  <si>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</si>
  <si>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</si>
  <si>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</si>
  <si>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</si>
  <si>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</si>
  <si>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</si>
  <si>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</si>
  <si>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</si>
  <si>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</si>
  <si>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</si>
  <si>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</si>
  <si>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</si>
  <si>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</si>
  <si>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</si>
  <si>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</si>
  <si>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</si>
  <si>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</si>
  <si>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</si>
  <si>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</si>
  <si>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</si>
  <si>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</si>
  <si>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</si>
  <si>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</si>
  <si>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</si>
  <si>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</si>
  <si>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</si>
  <si>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</si>
  <si>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</si>
  <si>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</si>
  <si>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</si>
  <si>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</si>
  <si>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</si>
  <si>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</si>
  <si>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</si>
  <si>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</si>
  <si>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</si>
  <si>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</si>
  <si>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</si>
  <si>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</si>
  <si>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</si>
  <si>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</si>
  <si>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</si>
  <si>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</si>
  <si>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</si>
  <si>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</si>
  <si>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</si>
  <si>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</si>
  <si>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</si>
  <si>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</si>
  <si>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</si>
  <si>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</si>
  <si>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</si>
  <si>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</si>
  <si>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</si>
  <si>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</si>
  <si>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</si>
  <si>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</si>
  <si>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</si>
  <si>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</si>
  <si>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</si>
  <si>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</si>
  <si>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</si>
  <si>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</si>
  <si>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</si>
  <si>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</si>
  <si>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</si>
  <si>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</si>
  <si>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</si>
  <si>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</si>
  <si>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</si>
  <si>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</si>
  <si>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</si>
  <si>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</si>
  <si>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</si>
  <si>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</si>
  <si>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</si>
  <si>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</si>
  <si>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</si>
  <si>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</si>
  <si>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</si>
  <si>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</si>
  <si>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</si>
  <si>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</si>
  <si>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</si>
  <si>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</si>
  <si>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</si>
  <si>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</si>
  <si>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</si>
  <si>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</si>
  <si>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</si>
  <si>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</si>
  <si>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</si>
  <si>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</si>
  <si>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</si>
  <si>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</si>
  <si>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</si>
  <si>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</si>
  <si>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</si>
  <si>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</si>
  <si>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</si>
  <si>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</si>
  <si>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</si>
  <si>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</si>
  <si>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</si>
  <si>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</si>
  <si>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</si>
  <si>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</si>
  <si>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</si>
  <si>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</si>
  <si>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</si>
  <si>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</si>
  <si>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</si>
  <si>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</si>
  <si>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</si>
  <si>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</si>
  <si>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</si>
  <si>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</si>
  <si>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</si>
  <si>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</si>
  <si>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</si>
  <si>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</si>
  <si>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</si>
  <si>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</si>
  <si>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</si>
  <si>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</si>
  <si>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</si>
  <si>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</si>
  <si>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</si>
  <si>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</si>
  <si>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</si>
  <si>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</si>
  <si>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</si>
  <si>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</si>
  <si>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</si>
  <si>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</si>
  <si>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</si>
  <si>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</si>
  <si>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</si>
  <si>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</si>
  <si>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</si>
  <si>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</si>
  <si>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</si>
  <si>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</si>
  <si>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</si>
  <si>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</si>
  <si>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</si>
  <si>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</si>
  <si>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</si>
  <si>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</si>
  <si>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</si>
  <si>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</si>
  <si>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</si>
  <si>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</si>
  <si>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</si>
  <si>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</si>
  <si>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</si>
  <si>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</si>
  <si>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</si>
  <si>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</si>
  <si>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</si>
  <si>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</si>
  <si>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</si>
  <si>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</si>
  <si>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</si>
  <si>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</si>
  <si>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</si>
  <si>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</si>
  <si>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</si>
  <si>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</si>
  <si>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</si>
  <si>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</si>
  <si>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</si>
  <si>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</si>
  <si>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</si>
  <si>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</si>
  <si>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</si>
  <si>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</si>
  <si>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</si>
  <si>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</si>
  <si>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</si>
  <si>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</si>
  <si>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</si>
  <si>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</si>
  <si>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</si>
  <si>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</si>
  <si>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</si>
  <si>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</si>
  <si>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</si>
  <si>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</si>
  <si>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</si>
  <si>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</si>
  <si>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</si>
  <si>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</si>
  <si>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</si>
  <si>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</si>
  <si>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</si>
  <si>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</si>
  <si>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</si>
  <si>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</si>
  <si>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</si>
  <si>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</si>
  <si>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</si>
  <si>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</si>
  <si>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</si>
  <si>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</si>
  <si>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</si>
  <si>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</si>
  <si>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</si>
  <si>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</si>
  <si>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</si>
  <si>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</si>
  <si>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</si>
  <si>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</si>
  <si>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</si>
  <si>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</si>
  <si>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</si>
  <si>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</si>
  <si>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</si>
  <si>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</si>
  <si>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</si>
  <si>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</si>
  <si>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</si>
  <si>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</si>
  <si>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</si>
  <si>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</si>
  <si>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</si>
  <si>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</si>
  <si>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</si>
  <si>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</si>
  <si>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</si>
  <si>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</si>
  <si>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</si>
  <si>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</si>
  <si>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</si>
  <si>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</si>
  <si>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</si>
  <si>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</si>
  <si>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</si>
  <si>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</si>
  <si>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</si>
  <si>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</si>
  <si>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</si>
  <si>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</si>
  <si>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</si>
  <si>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</si>
  <si>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</si>
  <si>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</si>
  <si>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</si>
  <si>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</si>
  <si>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</si>
  <si>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</si>
  <si>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</si>
  <si>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</si>
  <si>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</si>
  <si>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</si>
  <si>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</si>
  <si>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</si>
  <si>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</si>
  <si>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</si>
  <si>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</si>
  <si>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</si>
  <si>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</si>
  <si>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</si>
  <si>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</si>
  <si>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</si>
  <si>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</si>
  <si>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</si>
  <si>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</si>
  <si>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</si>
  <si>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</si>
  <si>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</si>
  <si>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</si>
  <si>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</si>
  <si>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</si>
  <si>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</si>
  <si>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</si>
  <si>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</si>
  <si>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</si>
  <si>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</si>
  <si>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</si>
  <si>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</si>
  <si>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</si>
  <si>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</si>
  <si>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</si>
  <si>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</si>
  <si>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</si>
  <si>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</si>
  <si>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</si>
  <si>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</si>
  <si>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</si>
  <si>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</si>
  <si>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</si>
  <si>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</si>
  <si>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</si>
  <si>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</si>
  <si>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</si>
  <si>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</si>
  <si>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</si>
  <si>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</si>
  <si>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</si>
  <si>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</si>
  <si>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</si>
  <si>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</si>
  <si>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</si>
  <si>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</si>
  <si>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</si>
  <si>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</si>
  <si>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</si>
  <si>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</si>
  <si>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</si>
  <si>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</si>
  <si>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</si>
  <si>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</si>
  <si>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</si>
  <si>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</si>
  <si>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</si>
  <si>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</si>
  <si>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</si>
  <si>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</si>
  <si>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</si>
  <si>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</si>
  <si>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</si>
  <si>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</si>
  <si>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</si>
  <si>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</si>
  <si>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</si>
  <si>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</si>
  <si>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</si>
  <si>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</si>
  <si>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</si>
  <si>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</si>
  <si>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</si>
  <si>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</si>
  <si>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</si>
  <si>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</si>
  <si>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</si>
  <si>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</si>
  <si>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</si>
  <si>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</si>
  <si>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</si>
  <si>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</si>
  <si>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</si>
  <si>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</si>
  <si>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</si>
  <si>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</si>
  <si>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</si>
  <si>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</si>
  <si>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</si>
  <si>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</si>
  <si>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</si>
  <si>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</si>
  <si>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</si>
  <si>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</si>
  <si>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</si>
  <si>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</si>
  <si>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</si>
  <si>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</si>
  <si>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</si>
  <si>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</si>
  <si>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</si>
  <si>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</si>
  <si>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</si>
  <si>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</si>
  <si>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</si>
  <si>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</si>
  <si>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</si>
  <si>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</si>
  <si>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</si>
  <si>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</si>
  <si>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</si>
  <si>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</si>
  <si>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</si>
  <si>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</si>
  <si>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</si>
  <si>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</si>
  <si>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</si>
  <si>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</si>
  <si>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</si>
  <si>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</si>
  <si>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</si>
  <si>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</si>
  <si>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</si>
  <si>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</si>
  <si>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</si>
  <si>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</si>
  <si>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</si>
  <si>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</si>
  <si>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</si>
  <si>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</si>
  <si>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</si>
  <si>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</si>
  <si>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</si>
  <si>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</si>
  <si>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</si>
  <si>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</si>
  <si>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</si>
  <si>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</si>
  <si>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</si>
  <si>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</si>
  <si>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</si>
  <si>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</si>
  <si>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</si>
  <si>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</si>
  <si>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</si>
  <si>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</si>
  <si>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</si>
  <si>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</si>
  <si>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</si>
  <si>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</si>
  <si>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</si>
  <si>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</si>
  <si>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</si>
  <si>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</si>
  <si>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</si>
  <si>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</si>
  <si>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</si>
  <si>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</si>
  <si>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</si>
  <si>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</si>
  <si>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</si>
  <si>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</si>
  <si>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</si>
  <si>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</si>
  <si>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</si>
  <si>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</si>
  <si>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</si>
  <si>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</si>
  <si>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</si>
  <si>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</si>
  <si>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</si>
  <si>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</si>
  <si>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</si>
  <si>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</si>
  <si>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</si>
  <si>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</si>
  <si>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</si>
  <si>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</si>
  <si>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</si>
  <si>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</si>
  <si>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</si>
  <si>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</si>
  <si>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</si>
  <si>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</si>
  <si>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</si>
  <si>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</si>
  <si>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</si>
  <si>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</si>
  <si>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</si>
  <si>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</si>
  <si>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</si>
  <si>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</si>
  <si>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</si>
  <si>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</si>
  <si>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</si>
  <si>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</si>
  <si>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</si>
  <si>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</si>
  <si>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</si>
  <si>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</si>
  <si>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</si>
  <si>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</si>
  <si>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</si>
  <si>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</si>
  <si>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</si>
  <si>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</si>
  <si>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</si>
  <si>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</si>
  <si>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</si>
  <si>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</si>
  <si>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</si>
  <si>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</si>
  <si>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</si>
  <si>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</si>
  <si>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</si>
  <si>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</si>
  <si>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</si>
  <si>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</si>
  <si>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</si>
  <si>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</si>
  <si>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</si>
  <si>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</si>
  <si>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</si>
  <si>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</si>
  <si>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</si>
  <si>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</si>
  <si>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</si>
  <si>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</si>
  <si>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</si>
  <si>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</si>
  <si>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</si>
  <si>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</si>
  <si>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</si>
  <si>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</si>
  <si>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</si>
  <si>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</si>
  <si>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</si>
  <si>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</si>
  <si>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</si>
  <si>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</si>
  <si>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</si>
  <si>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</si>
  <si>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</si>
  <si>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</si>
  <si>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</si>
  <si>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</si>
  <si>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</si>
  <si>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</si>
  <si>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</si>
  <si>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</si>
  <si>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</si>
  <si>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</si>
  <si>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</si>
  <si>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</si>
  <si>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</si>
  <si>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</si>
  <si>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</si>
  <si>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</si>
  <si>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</si>
  <si>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</si>
  <si>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</si>
  <si>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</si>
  <si>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</si>
  <si>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</si>
  <si>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</si>
  <si>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</si>
  <si>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</si>
  <si>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</si>
  <si>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</si>
  <si>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</si>
  <si>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</si>
  <si>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</si>
  <si>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</si>
  <si>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</si>
  <si>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</si>
  <si>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</si>
  <si>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</si>
  <si>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</si>
  <si>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</si>
  <si>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</si>
  <si>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</si>
  <si>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</si>
  <si>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</si>
  <si>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</si>
  <si>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</si>
  <si>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</si>
  <si>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</si>
  <si>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</si>
  <si>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</si>
  <si>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</si>
  <si>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</si>
  <si>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</si>
  <si>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</si>
  <si>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</si>
  <si>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</si>
  <si>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</si>
  <si>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</si>
  <si>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</si>
  <si>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</si>
  <si>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</si>
  <si>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</si>
  <si>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</si>
  <si>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</si>
  <si>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</si>
  <si>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</si>
  <si>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</si>
  <si>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</si>
  <si>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</si>
  <si>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</si>
  <si>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</si>
  <si>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</si>
  <si>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</si>
  <si>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</si>
  <si>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</si>
  <si>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</si>
  <si>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</si>
  <si>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</si>
  <si>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</si>
  <si>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</si>
  <si>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</si>
  <si>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</si>
  <si>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</si>
  <si>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</si>
  <si>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</si>
  <si>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</si>
  <si>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</si>
  <si>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</si>
  <si>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</si>
  <si>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</si>
  <si>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</si>
  <si>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</si>
  <si>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</si>
  <si>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</si>
  <si>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</si>
  <si>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</si>
  <si>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</si>
  <si>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</si>
  <si>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</si>
  <si>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</si>
  <si>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</si>
  <si>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</si>
  <si>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</si>
  <si>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</si>
  <si>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</si>
  <si>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</si>
  <si>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</si>
  <si>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</si>
  <si>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</si>
  <si>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</si>
  <si>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</si>
  <si>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</si>
  <si>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</si>
  <si>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</si>
  <si>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</si>
  <si>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</si>
  <si>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</si>
  <si>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</si>
  <si>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</si>
  <si>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</si>
  <si>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</si>
  <si>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</si>
  <si>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</si>
  <si>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</si>
  <si>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</si>
  <si>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</si>
  <si>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</si>
  <si>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</si>
  <si>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</si>
  <si>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</si>
  <si>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</si>
  <si>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</si>
  <si>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</si>
  <si>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</si>
  <si>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</si>
  <si>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</si>
  <si>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</si>
  <si>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</si>
  <si>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</si>
  <si>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</si>
  <si>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</si>
  <si>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</si>
  <si>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</si>
  <si>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</si>
  <si>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</si>
  <si>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</si>
  <si>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</si>
  <si>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</si>
  <si>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</si>
  <si>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</si>
  <si>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</si>
  <si>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</si>
  <si>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</si>
  <si>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</si>
  <si>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</si>
  <si>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</si>
  <si>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</si>
  <si>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</si>
  <si>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</si>
  <si>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</si>
  <si>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</si>
  <si>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</si>
  <si>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</si>
  <si>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</si>
  <si>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</si>
  <si>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</si>
  <si>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</si>
  <si>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</si>
  <si>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</si>
  <si>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</si>
  <si>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</si>
  <si>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</si>
  <si>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</si>
  <si>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</si>
  <si>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</si>
  <si>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</si>
  <si>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</si>
  <si>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</si>
  <si>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</si>
  <si>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</si>
  <si>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</si>
  <si>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</si>
  <si>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</si>
  <si>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</si>
  <si>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</si>
  <si>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</si>
  <si>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</si>
  <si>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</si>
  <si>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</si>
  <si>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</si>
  <si>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</si>
  <si>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</si>
  <si>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</si>
  <si>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</si>
  <si>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</si>
  <si>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</si>
  <si>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</si>
  <si>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</si>
  <si>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</si>
  <si>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</si>
  <si>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</si>
  <si>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</si>
  <si>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</si>
  <si>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</si>
  <si>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</si>
  <si>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</si>
  <si>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</si>
  <si>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</si>
  <si>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</si>
  <si>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</si>
  <si>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</si>
  <si>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</si>
  <si>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</si>
  <si>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</si>
  <si>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</si>
  <si>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</si>
  <si>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</si>
  <si>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</si>
  <si>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</si>
  <si>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</si>
  <si>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</si>
  <si>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</si>
  <si>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</si>
  <si>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</si>
  <si>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</si>
  <si>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</si>
  <si>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</si>
  <si>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</si>
  <si>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</si>
  <si>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</si>
  <si>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</si>
  <si>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</si>
  <si>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</si>
  <si>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</si>
  <si>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</si>
  <si>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</si>
  <si>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</si>
  <si>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</si>
  <si>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</si>
  <si>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</si>
  <si>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</si>
  <si>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</si>
  <si>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</si>
  <si>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</si>
  <si>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</si>
  <si>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</si>
  <si>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</si>
  <si>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</si>
  <si>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</si>
  <si>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</si>
  <si>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</si>
  <si>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</si>
  <si>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</si>
  <si>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</si>
  <si>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</si>
  <si>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</si>
  <si>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</si>
  <si>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</si>
  <si>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</si>
  <si>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</si>
  <si>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</si>
  <si>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</si>
  <si>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</si>
  <si>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</si>
  <si>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</si>
  <si>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</si>
  <si>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</si>
  <si>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</si>
  <si>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</si>
  <si>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</si>
  <si>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</si>
  <si>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</si>
  <si>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</si>
  <si>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</si>
  <si>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</si>
  <si>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</si>
  <si>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</si>
  <si>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</si>
  <si>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</si>
  <si>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</si>
  <si>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</si>
  <si>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</si>
  <si>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</si>
  <si>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</si>
  <si>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</si>
  <si>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</si>
  <si>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</si>
  <si>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</si>
  <si>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</si>
  <si>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</si>
  <si>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</si>
  <si>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</si>
  <si>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</si>
  <si>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</si>
  <si>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</si>
  <si>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</si>
  <si>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</si>
  <si>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</si>
  <si>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</si>
  <si>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</si>
  <si>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</si>
  <si>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</si>
  <si>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</si>
  <si>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</si>
  <si>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</si>
  <si>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</si>
  <si>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</si>
  <si>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</si>
  <si>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</si>
  <si>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</si>
  <si>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</si>
  <si>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</si>
  <si>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</si>
  <si>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</si>
  <si>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</si>
  <si>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</si>
  <si>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</si>
  <si>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</si>
  <si>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</si>
  <si>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</si>
  <si>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</si>
  <si>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</si>
  <si>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</si>
  <si>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</si>
  <si>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</si>
  <si>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</si>
  <si>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</si>
  <si>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</si>
  <si>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</si>
  <si>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</si>
  <si>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</si>
  <si>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</si>
  <si>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</si>
  <si>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</si>
  <si>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</si>
  <si>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</si>
  <si>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</si>
  <si>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</si>
  <si>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</si>
  <si>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</si>
  <si>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</si>
  <si>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</si>
  <si>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</si>
  <si>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</si>
  <si>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</si>
  <si>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</si>
  <si>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</si>
  <si>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</si>
  <si>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</si>
  <si>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</si>
  <si>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</si>
  <si>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</si>
  <si>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</si>
  <si>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</si>
  <si>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</si>
  <si>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</si>
  <si>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</si>
  <si>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</si>
  <si>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</si>
  <si>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</si>
  <si>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</si>
  <si>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</si>
  <si>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</si>
  <si>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</si>
  <si>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</si>
  <si>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</si>
  <si>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</si>
  <si>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</si>
  <si>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</si>
  <si>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</si>
  <si>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</si>
  <si>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</si>
  <si>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</si>
  <si>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</si>
  <si>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</si>
  <si>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</si>
  <si>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</si>
  <si>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</si>
  <si>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</si>
  <si>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</si>
  <si>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</si>
  <si>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</si>
  <si>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</si>
  <si>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</si>
  <si>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</si>
  <si>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</si>
  <si>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</si>
  <si>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</si>
  <si>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</si>
  <si>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</si>
  <si>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</si>
  <si>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</si>
  <si>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</si>
  <si>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</si>
  <si>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</si>
  <si>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</si>
  <si>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</si>
  <si>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</si>
  <si>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</si>
  <si>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</si>
  <si>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</si>
  <si>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</si>
  <si>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</si>
  <si>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</si>
  <si>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</si>
  <si>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</si>
  <si>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</si>
  <si>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</si>
  <si>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</si>
  <si>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</si>
  <si>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</si>
  <si>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</si>
  <si>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</si>
  <si>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</si>
  <si>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</si>
  <si>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</si>
  <si>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</si>
  <si>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</si>
  <si>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</si>
  <si>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</si>
  <si>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</si>
  <si>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</si>
  <si>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</si>
  <si>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</si>
  <si>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</si>
  <si>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</si>
  <si>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</si>
  <si>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</si>
  <si>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</si>
  <si>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</si>
  <si>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</si>
  <si>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</si>
  <si>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</si>
  <si>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</si>
  <si>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</si>
  <si>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</si>
  <si>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</si>
  <si>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</si>
  <si>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</si>
  <si>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</si>
  <si>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</si>
  <si>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</si>
  <si>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</si>
  <si>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</si>
  <si>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</si>
  <si>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</si>
  <si>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</si>
  <si>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</si>
  <si>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</si>
  <si>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</si>
  <si>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</si>
  <si>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</si>
  <si>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</si>
  <si>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</si>
  <si>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</si>
  <si>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</si>
  <si>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</si>
  <si>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</si>
  <si>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</si>
  <si>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</si>
  <si>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</si>
  <si>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</si>
  <si>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</si>
  <si>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</si>
  <si>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</si>
  <si>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</si>
  <si>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</si>
  <si>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</si>
  <si>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</si>
  <si>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</si>
  <si>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</si>
  <si>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</si>
  <si>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</si>
  <si>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</si>
  <si>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</si>
  <si>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</si>
  <si>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</si>
  <si>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</si>
  <si>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</si>
  <si>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</si>
  <si>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</si>
  <si>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</si>
  <si>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</si>
  <si>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</si>
  <si>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</si>
  <si>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</si>
  <si>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</si>
  <si>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</si>
  <si>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</si>
  <si>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</si>
  <si>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</si>
  <si>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</si>
  <si>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</si>
  <si>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</si>
  <si>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</si>
  <si>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</si>
  <si>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</si>
  <si>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</si>
  <si>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</si>
  <si>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</si>
  <si>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</si>
  <si>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</si>
  <si>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</si>
  <si>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</si>
  <si>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</si>
  <si>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</si>
  <si>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</si>
  <si>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</si>
  <si>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</si>
  <si>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</si>
  <si>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</si>
  <si>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</si>
  <si>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</si>
  <si>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</si>
  <si>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</si>
  <si>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</si>
  <si>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</si>
  <si>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</si>
  <si>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</si>
  <si>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</si>
  <si>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</si>
  <si>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</si>
  <si>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</si>
  <si>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</si>
  <si>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</si>
  <si>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</si>
  <si>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</si>
  <si>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</si>
  <si>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</si>
  <si>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</si>
  <si>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</si>
  <si>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</si>
  <si>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</si>
  <si>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</si>
  <si>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</si>
  <si>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</si>
  <si>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</si>
  <si>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</si>
  <si>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</si>
  <si>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NovaPharm Data Quality Audit</t>
  </si>
  <si>
    <t>Result</t>
  </si>
  <si>
    <t>Status</t>
  </si>
  <si>
    <t>Product rows</t>
  </si>
  <si>
    <t>Expected</t>
  </si>
  <si>
    <t>sales reps</t>
  </si>
  <si>
    <t>HCP</t>
  </si>
  <si>
    <t>Sales</t>
  </si>
  <si>
    <t>Market</t>
  </si>
  <si>
    <t>Calls</t>
  </si>
  <si>
    <t>Record Count Check</t>
  </si>
  <si>
    <t>Rep</t>
  </si>
  <si>
    <t>Missing Key Checks</t>
  </si>
  <si>
    <t>Referential Integrity Checks</t>
  </si>
  <si>
    <t>Sales → Rep</t>
  </si>
  <si>
    <t>Sales → Product</t>
  </si>
  <si>
    <t>Sales → Region</t>
  </si>
  <si>
    <t>Calls → HCP</t>
  </si>
  <si>
    <t>Calls → Rep</t>
  </si>
  <si>
    <t>Calls → Product</t>
  </si>
  <si>
    <t>Market → Product</t>
  </si>
  <si>
    <t>Market → Region</t>
  </si>
  <si>
    <t>Net Sales</t>
  </si>
  <si>
    <t>Target</t>
  </si>
  <si>
    <t>HCP Scores Checks</t>
  </si>
  <si>
    <t>HCP Score &gt;100</t>
  </si>
  <si>
    <t>HCP Score &lt;0</t>
  </si>
  <si>
    <t>TargetFlag Checks</t>
  </si>
  <si>
    <t>Market Logic Checks</t>
  </si>
  <si>
    <t>Call Status</t>
  </si>
  <si>
    <t>Call Duration Checks</t>
  </si>
  <si>
    <t>Completed calls with invalid duration</t>
  </si>
  <si>
    <t>Date Coverage checks</t>
  </si>
  <si>
    <t>Sales Max Month</t>
  </si>
  <si>
    <t>Sales Min Month</t>
  </si>
  <si>
    <t>Market Min Month</t>
  </si>
  <si>
    <t>Market Max Month</t>
  </si>
  <si>
    <t>EngagementScore &gt; 100</t>
  </si>
  <si>
    <t>EngagementScore &lt; 0</t>
  </si>
  <si>
    <t>Net Sales formula mismatch</t>
  </si>
  <si>
    <t>Duplicate Primary Key Checks</t>
  </si>
  <si>
    <t>Non-positive Units Checks</t>
  </si>
  <si>
    <t>Non-positive Target Checks</t>
  </si>
  <si>
    <t>Competitor Sales &gt; Total Market</t>
  </si>
  <si>
    <t>Invalid Call Status Check</t>
  </si>
  <si>
    <t>Calls Min Date</t>
  </si>
  <si>
    <t>Calls Max Date</t>
  </si>
  <si>
    <t>Blank Products.ProductID</t>
  </si>
  <si>
    <t>Blank Regions.RegionID</t>
  </si>
  <si>
    <t>Blank Sales_Reps.RepID</t>
  </si>
  <si>
    <t>Blank HCP_Master.HCPID</t>
  </si>
  <si>
    <t>Blank Sales_Data.SalesID</t>
  </si>
  <si>
    <t>Blank Market_Data.MarketID</t>
  </si>
  <si>
    <t>Blank CRM_Calls.CallID</t>
  </si>
  <si>
    <t>Year</t>
  </si>
  <si>
    <t>MonthNo</t>
  </si>
  <si>
    <t>AveragePriceTRY</t>
  </si>
  <si>
    <t>AchievementPct</t>
  </si>
  <si>
    <t>TargetVarianceTRY</t>
  </si>
  <si>
    <t>RemainingGapTRY</t>
  </si>
  <si>
    <t>NovaPharm Commercial KPI Summary</t>
  </si>
  <si>
    <t>Selected Year</t>
  </si>
  <si>
    <t>KPI</t>
  </si>
  <si>
    <t>Previous Year</t>
  </si>
  <si>
    <t>Change</t>
  </si>
  <si>
    <t>Total Net Sales</t>
  </si>
  <si>
    <t>Total Target</t>
  </si>
  <si>
    <t>Achievement %</t>
  </si>
  <si>
    <t>Target Variance</t>
  </si>
  <si>
    <t>Remaining Gap</t>
  </si>
  <si>
    <t>Total Units</t>
  </si>
  <si>
    <t>Average Price</t>
  </si>
  <si>
    <t>Market KPIs</t>
  </si>
  <si>
    <t>Total Market Sales</t>
  </si>
  <si>
    <t>Market Share</t>
  </si>
  <si>
    <t>Brand Growth</t>
  </si>
  <si>
    <t>Market Growth</t>
  </si>
  <si>
    <t>Growth Gap</t>
  </si>
  <si>
    <t>Row Labels</t>
  </si>
  <si>
    <t>Grand Total</t>
  </si>
  <si>
    <t>Sum of NetSalesTRY</t>
  </si>
  <si>
    <t>Sum of TargetTRY</t>
  </si>
  <si>
    <t>Sum of Units</t>
  </si>
  <si>
    <t>Initial Business Observations</t>
  </si>
  <si>
    <t>Observation 2 : Market growth was approximately 9.1%, faster than NovaPharm, resulting in a slight decline in market share.</t>
  </si>
  <si>
    <r>
      <rPr>
        <sz val="11"/>
        <rFont val="Carlito"/>
      </rPr>
      <t xml:space="preserve">   Observation 1</t>
    </r>
    <r>
      <rPr>
        <b/>
        <sz val="11"/>
        <rFont val="Carlito"/>
      </rPr>
      <t xml:space="preserve"> : </t>
    </r>
    <r>
      <rPr>
        <sz val="11"/>
        <rFont val="Carlito"/>
      </rPr>
      <t>2025 net sales increased by approximately 7.3% YoY</t>
    </r>
    <r>
      <rPr>
        <b/>
        <sz val="11"/>
        <rFont val="Carlito"/>
      </rPr>
      <t>.</t>
    </r>
  </si>
  <si>
    <t>Observation 3 : Aegean and Cardiovan are the main performance exceptions based on target achievement.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</si>
</sst>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1"/>
      <color theme="1"/>
      <name val="Carlito"/>
    </font>
    <font>
      <b/>
      <sz val="12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4" fontId="0" fillId="0" borderId="0" xfId="0" applyNumberFormat="1" applyFont="1" applyFill="1" applyBorder="1"/>
    <xf numFmtId="0" fontId="1" fillId="3" borderId="1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/>
    <xf numFmtId="2" fontId="1" fillId="2" borderId="0" xfId="0" applyNumberFormat="1" applyFont="1" applyFill="1" applyBorder="1" applyAlignment="1">
      <alignment horizontal="center" vertical="center"/>
    </xf>
    <xf numFmtId="2" fontId="0" fillId="0" borderId="0" xfId="0" applyNumberFormat="1"/>
    <xf numFmtId="1" fontId="1" fillId="2" borderId="0" xfId="0" applyNumberFormat="1" applyFont="1" applyFill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 applyFont="1" applyFill="1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164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4" fillId="4" borderId="2" xfId="0" applyNumberFormat="1" applyFont="1" applyFill="1" applyBorder="1"/>
    <xf numFmtId="10" fontId="4" fillId="4" borderId="3" xfId="0" applyNumberFormat="1" applyFont="1" applyFill="1" applyBorder="1"/>
    <xf numFmtId="0" fontId="0" fillId="0" borderId="0" xfId="0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vertical="center"/>
    </xf>
    <xf numFmtId="43" fontId="0" fillId="0" borderId="0" xfId="2" applyFont="1" applyAlignment="1">
      <alignment horizontal="left"/>
    </xf>
    <xf numFmtId="43" fontId="0" fillId="0" borderId="0" xfId="2" applyFont="1"/>
    <xf numFmtId="2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26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numFmt numFmtId="1" formatCode="0"/>
    </dxf>
    <dxf>
      <numFmt numFmtId="19" formatCode="m/d/yyyy"/>
    </dxf>
    <dxf>
      <numFmt numFmtId="164" formatCode="yyyy\-mm\-dd;@"/>
    </dxf>
    <dxf>
      <numFmt numFmtId="2" formatCode="0.00"/>
    </dxf>
    <dxf>
      <numFmt numFmtId="2" formatCode="0.00"/>
    </dxf>
    <dxf>
      <numFmt numFmtId="164" formatCode="yyyy\-mm\-dd;@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64" formatCode="yyyy\-mm\-dd;@"/>
    </dxf>
    <dxf>
      <numFmt numFmtId="1" formatCode="0"/>
    </dxf>
    <dxf>
      <numFmt numFmtId="1" formatCode="0"/>
    </dxf>
    <dxf>
      <numFmt numFmtId="1" formatCode="0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0</xdr:row>
      <xdr:rowOff>0</xdr:rowOff>
    </xdr:from>
    <xdr:to>
      <xdr:col>12</xdr:col>
      <xdr:colOff>106680</xdr:colOff>
      <xdr:row>15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69B164-EA1B-2C2B-3475-C51C7B715DB3}"/>
            </a:ext>
          </a:extLst>
        </xdr:cNvPr>
        <xdr:cNvSpPr txBox="1"/>
      </xdr:nvSpPr>
      <xdr:spPr>
        <a:xfrm>
          <a:off x="6080760" y="0"/>
          <a:ext cx="3794760" cy="262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b="1">
              <a:latin typeface="Aptos" panose="020B0004020202020204" pitchFamily="34" charset="0"/>
            </a:rPr>
            <a:t>چیزی که در پایان </a:t>
          </a:r>
          <a:r>
            <a:rPr lang="en-US" b="1">
              <a:latin typeface="Aptos" panose="020B0004020202020204" pitchFamily="34" charset="0"/>
            </a:rPr>
            <a:t> P1</a:t>
          </a:r>
          <a:r>
            <a:rPr lang="fa-IR" b="1">
              <a:latin typeface="Aptos" panose="020B0004020202020204" pitchFamily="34" charset="0"/>
            </a:rPr>
            <a:t>باید بتوانی در مصاحبه بگویی</a:t>
          </a:r>
        </a:p>
        <a:p>
          <a:pPr rtl="1"/>
          <a:r>
            <a:rPr lang="fa-IR">
              <a:latin typeface="Aptos" panose="020B0004020202020204" pitchFamily="34" charset="0"/>
            </a:rPr>
            <a:t>اگر از تو بپرسند:</a:t>
          </a:r>
        </a:p>
        <a:p>
          <a:pPr rtl="0"/>
          <a:r>
            <a:rPr lang="en-US">
              <a:latin typeface="Aptos" panose="020B0004020202020204" pitchFamily="34" charset="0"/>
            </a:rPr>
            <a:t>How did you start the project?</a:t>
          </a:r>
        </a:p>
        <a:p>
          <a:pPr rtl="1"/>
          <a:r>
            <a:rPr lang="fa-IR">
              <a:latin typeface="Aptos" panose="020B0004020202020204" pitchFamily="34" charset="0"/>
            </a:rPr>
            <a:t>پاسخ حرفه‌ای می‌تواند این باشد:</a:t>
          </a:r>
        </a:p>
        <a:p>
          <a:pPr rtl="0"/>
          <a:r>
            <a:rPr lang="en-US" b="1">
              <a:latin typeface="Aptos" panose="020B0004020202020204" pitchFamily="34" charset="0"/>
            </a:rPr>
            <a:t>I started by reviewing the dataset grain, primary and foreign keys, and relationships between sales, market, CRM and master-data tables. Before performing any analysis, I created an Excel-based data-quality audit to check key uniqueness, missing identifiers, referential integrity, business-rule consistency and date coverage.</a:t>
          </a:r>
          <a:endParaRPr lang="en-US">
            <a:latin typeface="Aptos" panose="020B0004020202020204" pitchFamily="34" charset="0"/>
          </a:endParaRPr>
        </a:p>
        <a:p>
          <a:pPr rtl="1"/>
          <a:r>
            <a:rPr lang="fa-IR">
              <a:latin typeface="Aptos" panose="020B0004020202020204" pitchFamily="34" charset="0"/>
            </a:rPr>
            <a:t>این یک جمله بسیار بهتر از:</a:t>
          </a:r>
        </a:p>
        <a:p>
          <a:pPr rtl="0"/>
          <a:r>
            <a:rPr lang="en-US">
              <a:latin typeface="Aptos" panose="020B0004020202020204" pitchFamily="34" charset="0"/>
            </a:rPr>
            <a:t>I opened Excel and created some charts.</a:t>
          </a:r>
        </a:p>
        <a:p>
          <a:pPr rtl="1"/>
          <a:r>
            <a:rPr lang="fa-IR">
              <a:latin typeface="Aptos" panose="020B0004020202020204" pitchFamily="34" charset="0"/>
            </a:rPr>
            <a:t>است.</a:t>
          </a:r>
        </a:p>
        <a:p>
          <a:pPr rtl="1"/>
          <a:endParaRPr lang="en-US" sz="1100">
            <a:latin typeface="Aptos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708660</xdr:colOff>
      <xdr:row>11</xdr:row>
      <xdr:rowOff>91440</xdr:rowOff>
    </xdr:from>
    <xdr:to>
      <xdr:col>5</xdr:col>
      <xdr:colOff>373380</xdr:colOff>
      <xdr:row>17</xdr:row>
      <xdr:rowOff>53340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D55175-C9E7-F773-C8B1-7C0B4742A55F}"/>
            </a:ext>
          </a:extLst>
        </xdr:cNvPr>
        <xdr:cNvSpPr txBox="1"/>
      </xdr:nvSpPr>
      <xdr:spPr>
        <a:xfrm>
          <a:off x="708660" y="2019300"/>
          <a:ext cx="5494020" cy="1013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P2 — Excel Commercial Analysis</a:t>
          </a:r>
          <a:endParaRPr lang="en-US" sz="1200"/>
        </a:p>
        <a:p>
          <a:r>
            <a:rPr lang="en-US" sz="1200"/>
            <a:t>Used Excel Tables, XLOOKUP, SUMIFS, calculated KPI columns and PivotTables to analyze sales performance, validate target achievement, compare brand versus market growth, and identify product and regional performance exceptions.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ra" refreshedDate="46279.545831249998" createdVersion="8" refreshedVersion="8" minRefreshableVersion="3" recordCount="1152" xr:uid="{E987B549-2006-4A66-874E-14E6AE2BAFC6}">
  <cacheSource type="worksheet">
    <worksheetSource name="tblSales"/>
  </cacheSource>
  <cacheFields count="20">
    <cacheField name="SalesID" numFmtId="0">
      <sharedItems/>
    </cacheField>
    <cacheField name="Month" numFmtId="164">
      <sharedItems containsSemiMixedTypes="0" containsNonDate="0" containsDate="1" containsString="0" minDate="2024-01-01T00:00:00" maxDate="2025-12-02T00:00:00"/>
    </cacheField>
    <cacheField name="RegionID" numFmtId="0">
      <sharedItems/>
    </cacheField>
    <cacheField name="Region" numFmtId="0">
      <sharedItems count="4">
        <s v="Marmara"/>
        <s v="Aegean"/>
        <s v="Central Anatolia"/>
        <s v="Mediterranean"/>
      </sharedItems>
    </cacheField>
    <cacheField name="TerritoryID" numFmtId="0">
      <sharedItems/>
    </cacheField>
    <cacheField name="RepID" numFmtId="0">
      <sharedItems/>
    </cacheField>
    <cacheField name="ProductID" numFmtId="0">
      <sharedItems/>
    </cacheField>
    <cacheField name="Units" numFmtId="1">
      <sharedItems containsSemiMixedTypes="0" containsString="0" containsNumber="1" containsInteger="1" minValue="64" maxValue="281"/>
    </cacheField>
    <cacheField name="GrossSalesTRY" numFmtId="2">
      <sharedItems containsSemiMixedTypes="0" containsString="0" containsNumber="1" minValue="70338.11" maxValue="192419.61"/>
    </cacheField>
    <cacheField name="DiscountTRY" numFmtId="2">
      <sharedItems containsSemiMixedTypes="0" containsString="0" containsNumber="1" minValue="2962.07" maxValue="12764.66"/>
    </cacheField>
    <cacheField name="ReturnsTRY" numFmtId="2">
      <sharedItems containsSemiMixedTypes="0" containsString="0" containsNumber="1" minValue="308.95999999999998" maxValue="2467.11"/>
    </cacheField>
    <cacheField name="NetSalesTRY" numFmtId="2">
      <sharedItems containsSemiMixedTypes="0" containsString="0" containsNumber="1" minValue="66104.11" maxValue="177926.7"/>
    </cacheField>
    <cacheField name="TargetTRY" numFmtId="2">
      <sharedItems containsSemiMixedTypes="0" containsString="0" containsNumber="1" minValue="68186.39" maxValue="181646.19"/>
    </cacheField>
    <cacheField name="ProductName" numFmtId="2">
      <sharedItems count="4">
        <s v="Cardiovan"/>
        <s v="GlucoRelief"/>
        <s v="RespiraX"/>
        <s v="NeuroCalm"/>
      </sharedItems>
    </cacheField>
    <cacheField name="Year" numFmtId="1">
      <sharedItems containsSemiMixedTypes="0" containsString="0" containsNumber="1" containsInteger="1" minValue="2024" maxValue="2025" count="2">
        <n v="2024"/>
        <n v="2025"/>
      </sharedItems>
    </cacheField>
    <cacheField name="MonthNo" numFmtId="1">
      <sharedItems containsSemiMixedTypes="0" containsString="0" containsNumber="1" containsInteger="1" minValue="1" maxValue="12"/>
    </cacheField>
    <cacheField name="AveragePriceTRY" numFmtId="2">
      <sharedItems containsSemiMixedTypes="0" containsString="0" containsNumber="1" minValue="557.5326315789473" maxValue="1070.1335227272727"/>
    </cacheField>
    <cacheField name="AchievementPct" numFmtId="10">
      <sharedItems containsSemiMixedTypes="0" containsString="0" containsNumber="1" minValue="0.7425404356984372" maxValue="1.09321285772917"/>
    </cacheField>
    <cacheField name="TargetVarianceTRY" numFmtId="2">
      <sharedItems containsSemiMixedTypes="0" containsString="0" containsNumber="1" minValue="-35186.699999999997" maxValue="12249.170000000013"/>
    </cacheField>
    <cacheField name="RemainingGapTRY" numFmtId="2">
      <sharedItems containsSemiMixedTypes="0" containsString="0" containsNumber="1" minValue="0" maxValue="35186.6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2">
  <r>
    <s v="S00001"/>
    <d v="2024-01-01T00:00:00"/>
    <s v="R01"/>
    <x v="0"/>
    <s v="T01"/>
    <s v="REP01"/>
    <s v="P001"/>
    <n v="131"/>
    <n v="126664.43"/>
    <n v="6790.28"/>
    <n v="1599.83"/>
    <n v="118274.33"/>
    <n v="121199"/>
    <x v="0"/>
    <x v="0"/>
    <n v="1"/>
    <n v="902.85748091603057"/>
    <n v="0.97586886030412789"/>
    <n v="-2924.6699999999983"/>
    <n v="2924.6699999999983"/>
  </r>
  <r>
    <s v="S00002"/>
    <d v="2024-01-01T00:00:00"/>
    <s v="R01"/>
    <x v="0"/>
    <s v="T01"/>
    <s v="REP01"/>
    <s v="P002"/>
    <n v="155"/>
    <n v="119510.98"/>
    <n v="5882.56"/>
    <n v="927.54"/>
    <n v="112700.88"/>
    <n v="115580.87"/>
    <x v="1"/>
    <x v="0"/>
    <n v="1"/>
    <n v="727.10245161290322"/>
    <n v="0.97508246823198341"/>
    <n v="-2879.9899999999907"/>
    <n v="2879.9899999999907"/>
  </r>
  <r>
    <s v="S00003"/>
    <d v="2024-01-01T00:00:00"/>
    <s v="R01"/>
    <x v="0"/>
    <s v="T01"/>
    <s v="REP01"/>
    <s v="P003"/>
    <n v="185"/>
    <n v="113698.2"/>
    <n v="8413.91"/>
    <n v="710.15"/>
    <n v="104574.14"/>
    <n v="112871.03"/>
    <x v="2"/>
    <x v="0"/>
    <n v="1"/>
    <n v="565.26562162162156"/>
    <n v="0.92649229833377089"/>
    <n v="-8296.89"/>
    <n v="8296.89"/>
  </r>
  <r>
    <s v="S00004"/>
    <d v="2024-01-01T00:00:00"/>
    <s v="R01"/>
    <x v="0"/>
    <s v="T01"/>
    <s v="REP01"/>
    <s v="P004"/>
    <n v="102"/>
    <n v="111736.02"/>
    <n v="5008.1499999999996"/>
    <n v="536.73"/>
    <n v="106191.14"/>
    <n v="104910.25"/>
    <x v="3"/>
    <x v="0"/>
    <n v="1"/>
    <n v="1041.0896078431372"/>
    <n v="1.0122093885011236"/>
    <n v="1280.8899999999994"/>
    <n v="0"/>
  </r>
  <r>
    <s v="S00005"/>
    <d v="2024-01-01T00:00:00"/>
    <s v="R01"/>
    <x v="0"/>
    <s v="T02"/>
    <s v="REP02"/>
    <s v="P001"/>
    <n v="140"/>
    <n v="138288.82"/>
    <n v="10193.68"/>
    <n v="609.6"/>
    <n v="127485.55"/>
    <n v="125038.9"/>
    <x v="0"/>
    <x v="0"/>
    <n v="1"/>
    <n v="910.61107142857145"/>
    <n v="1.0195671107151456"/>
    <n v="2446.6500000000087"/>
    <n v="0"/>
  </r>
  <r>
    <s v="S00006"/>
    <d v="2024-01-01T00:00:00"/>
    <s v="R01"/>
    <x v="0"/>
    <s v="T02"/>
    <s v="REP02"/>
    <s v="P002"/>
    <n v="161"/>
    <n v="123883.59"/>
    <n v="5820.1"/>
    <n v="1656.55"/>
    <n v="116406.94"/>
    <n v="114943.69"/>
    <x v="1"/>
    <x v="0"/>
    <n v="1"/>
    <n v="723.02447204968951"/>
    <n v="1.0127301463873311"/>
    <n v="1463.25"/>
    <n v="0"/>
  </r>
  <r>
    <s v="S00007"/>
    <d v="2024-01-01T00:00:00"/>
    <s v="R01"/>
    <x v="0"/>
    <s v="T02"/>
    <s v="REP02"/>
    <s v="P003"/>
    <n v="187"/>
    <n v="114288.24"/>
    <n v="4874.68"/>
    <n v="790.97"/>
    <n v="108622.59"/>
    <n v="114956.91"/>
    <x v="2"/>
    <x v="0"/>
    <n v="1"/>
    <n v="580.86946524064172"/>
    <n v="0.94489831015812786"/>
    <n v="-6334.320000000007"/>
    <n v="6334.320000000007"/>
  </r>
  <r>
    <s v="S00008"/>
    <d v="2024-01-01T00:00:00"/>
    <s v="R01"/>
    <x v="0"/>
    <s v="T02"/>
    <s v="REP02"/>
    <s v="P004"/>
    <n v="104"/>
    <n v="113587.74"/>
    <n v="4717.3900000000003"/>
    <n v="1004.18"/>
    <n v="107866.18"/>
    <n v="106772.29"/>
    <x v="3"/>
    <x v="0"/>
    <n v="1"/>
    <n v="1037.1748076923077"/>
    <n v="1.0102450738857431"/>
    <n v="1093.8899999999994"/>
    <n v="0"/>
  </r>
  <r>
    <s v="S00009"/>
    <d v="2024-01-01T00:00:00"/>
    <s v="R01"/>
    <x v="0"/>
    <s v="T03"/>
    <s v="REP03"/>
    <s v="P001"/>
    <n v="148"/>
    <n v="143636.18"/>
    <n v="8973.76"/>
    <n v="1478.47"/>
    <n v="133183.96"/>
    <n v="135751.06"/>
    <x v="0"/>
    <x v="0"/>
    <n v="1"/>
    <n v="899.89162162162154"/>
    <n v="0.98108965042335572"/>
    <n v="-2567.1000000000058"/>
    <n v="2567.1000000000058"/>
  </r>
  <r>
    <s v="S00010"/>
    <d v="2024-01-01T00:00:00"/>
    <s v="R01"/>
    <x v="0"/>
    <s v="T03"/>
    <s v="REP03"/>
    <s v="P002"/>
    <n v="183"/>
    <n v="139703.35"/>
    <n v="5582.63"/>
    <n v="1338.4"/>
    <n v="132782.32"/>
    <n v="128262.58"/>
    <x v="1"/>
    <x v="0"/>
    <n v="1"/>
    <n v="725.58644808743168"/>
    <n v="1.035238180925411"/>
    <n v="4519.7400000000052"/>
    <n v="0"/>
  </r>
  <r>
    <s v="S00011"/>
    <d v="2024-01-01T00:00:00"/>
    <s v="R01"/>
    <x v="0"/>
    <s v="T03"/>
    <s v="REP03"/>
    <s v="P003"/>
    <n v="217"/>
    <n v="135587.93"/>
    <n v="7474.07"/>
    <n v="882.59"/>
    <n v="127231.27"/>
    <n v="125956.12"/>
    <x v="2"/>
    <x v="0"/>
    <n v="1"/>
    <n v="586.31921658986175"/>
    <n v="1.0101237637361329"/>
    <n v="1275.1500000000087"/>
    <n v="0"/>
  </r>
  <r>
    <s v="S00012"/>
    <d v="2024-01-01T00:00:00"/>
    <s v="R01"/>
    <x v="0"/>
    <s v="T03"/>
    <s v="REP03"/>
    <s v="P004"/>
    <n v="112"/>
    <n v="121737.39"/>
    <n v="5741.25"/>
    <n v="918.36"/>
    <n v="115077.78"/>
    <n v="116455.01"/>
    <x v="3"/>
    <x v="0"/>
    <n v="1"/>
    <n v="1027.4801785714285"/>
    <n v="0.98817371618447336"/>
    <n v="-1377.2299999999959"/>
    <n v="1377.2299999999959"/>
  </r>
  <r>
    <s v="S00013"/>
    <d v="2024-01-01T00:00:00"/>
    <s v="R02"/>
    <x v="1"/>
    <s v="T04"/>
    <s v="REP04"/>
    <s v="P001"/>
    <n v="108"/>
    <n v="106368.21"/>
    <n v="3839.27"/>
    <n v="1149.1300000000001"/>
    <n v="101379.81"/>
    <n v="100081"/>
    <x v="0"/>
    <x v="0"/>
    <n v="1"/>
    <n v="938.70194444444439"/>
    <n v="1.0129775881535956"/>
    <n v="1298.8099999999977"/>
    <n v="0"/>
  </r>
  <r>
    <s v="S00014"/>
    <d v="2024-01-01T00:00:00"/>
    <s v="R02"/>
    <x v="1"/>
    <s v="T04"/>
    <s v="REP04"/>
    <s v="P002"/>
    <n v="132"/>
    <n v="100311.16"/>
    <n v="4903.32"/>
    <n v="1161.06"/>
    <n v="94246.77"/>
    <n v="94025.76"/>
    <x v="1"/>
    <x v="0"/>
    <n v="1"/>
    <n v="713.99068181818188"/>
    <n v="1.002350526068601"/>
    <n v="221.01000000000931"/>
    <n v="0"/>
  </r>
  <r>
    <s v="S00015"/>
    <d v="2024-01-01T00:00:00"/>
    <s v="R02"/>
    <x v="1"/>
    <s v="T04"/>
    <s v="REP04"/>
    <s v="P003"/>
    <n v="157"/>
    <n v="96157.119999999995"/>
    <n v="7097.98"/>
    <n v="1059.24"/>
    <n v="87999.9"/>
    <n v="90455.97"/>
    <x v="2"/>
    <x v="0"/>
    <n v="1"/>
    <n v="560.50891719745221"/>
    <n v="0.97284789494822721"/>
    <n v="-2456.070000000007"/>
    <n v="2456.070000000007"/>
  </r>
  <r>
    <s v="S00016"/>
    <d v="2024-01-01T00:00:00"/>
    <s v="R02"/>
    <x v="1"/>
    <s v="T04"/>
    <s v="REP04"/>
    <s v="P004"/>
    <n v="78"/>
    <n v="86208.41"/>
    <n v="3846.54"/>
    <n v="1086.9000000000001"/>
    <n v="81274.98"/>
    <n v="84006.82"/>
    <x v="3"/>
    <x v="0"/>
    <n v="1"/>
    <n v="1041.9869230769229"/>
    <n v="0.96748073549266578"/>
    <n v="-2731.8400000000111"/>
    <n v="2731.8400000000111"/>
  </r>
  <r>
    <s v="S00017"/>
    <d v="2024-01-01T00:00:00"/>
    <s v="R02"/>
    <x v="1"/>
    <s v="T05"/>
    <s v="REP05"/>
    <s v="P001"/>
    <n v="97"/>
    <n v="95318.63"/>
    <n v="5354.09"/>
    <n v="1301.8399999999999"/>
    <n v="88662.7"/>
    <n v="86394.69"/>
    <x v="0"/>
    <x v="0"/>
    <n v="1"/>
    <n v="914.04845360824743"/>
    <n v="1.02625172912826"/>
    <n v="2268.0099999999948"/>
    <n v="0"/>
  </r>
  <r>
    <s v="S00018"/>
    <d v="2024-01-01T00:00:00"/>
    <s v="R02"/>
    <x v="1"/>
    <s v="T05"/>
    <s v="REP05"/>
    <s v="P002"/>
    <n v="113"/>
    <n v="85774.55"/>
    <n v="3585.71"/>
    <n v="392.68"/>
    <n v="81796.160000000003"/>
    <n v="81008.149999999994"/>
    <x v="1"/>
    <x v="0"/>
    <n v="1"/>
    <n v="723.85982300884962"/>
    <n v="1.0097275397598884"/>
    <n v="788.01000000000931"/>
    <n v="0"/>
  </r>
  <r>
    <s v="S00019"/>
    <d v="2024-01-01T00:00:00"/>
    <s v="R02"/>
    <x v="1"/>
    <s v="T05"/>
    <s v="REP05"/>
    <s v="P003"/>
    <n v="130"/>
    <n v="81366.33"/>
    <n v="4620.32"/>
    <n v="462.77"/>
    <n v="76283.25"/>
    <n v="81185.94"/>
    <x v="2"/>
    <x v="0"/>
    <n v="1"/>
    <n v="586.79423076923081"/>
    <n v="0.93961158791780941"/>
    <n v="-4902.6900000000023"/>
    <n v="4902.6900000000023"/>
  </r>
  <r>
    <s v="S00020"/>
    <d v="2024-01-01T00:00:00"/>
    <s v="R02"/>
    <x v="1"/>
    <s v="T05"/>
    <s v="REP05"/>
    <s v="P004"/>
    <n v="77"/>
    <n v="85217.07"/>
    <n v="4715.17"/>
    <n v="789.39"/>
    <n v="79712.5"/>
    <n v="74610.880000000005"/>
    <x v="3"/>
    <x v="0"/>
    <n v="1"/>
    <n v="1035.2272727272727"/>
    <n v="1.0683763547622009"/>
    <n v="5101.6199999999953"/>
    <n v="0"/>
  </r>
  <r>
    <s v="S00021"/>
    <d v="2024-01-01T00:00:00"/>
    <s v="R02"/>
    <x v="1"/>
    <s v="T06"/>
    <s v="REP06"/>
    <s v="P001"/>
    <n v="103"/>
    <n v="99712.1"/>
    <n v="5445.41"/>
    <n v="1078.31"/>
    <n v="93188.38"/>
    <n v="99601.45"/>
    <x v="0"/>
    <x v="0"/>
    <n v="1"/>
    <n v="904.74155339805827"/>
    <n v="0.93561268435349088"/>
    <n v="-6413.0699999999924"/>
    <n v="6413.0699999999924"/>
  </r>
  <r>
    <s v="S00022"/>
    <d v="2024-01-01T00:00:00"/>
    <s v="R02"/>
    <x v="1"/>
    <s v="T06"/>
    <s v="REP06"/>
    <s v="P002"/>
    <n v="128"/>
    <n v="96214.07"/>
    <n v="3768.34"/>
    <n v="463.19"/>
    <n v="91982.53"/>
    <n v="92834.55"/>
    <x v="1"/>
    <x v="0"/>
    <n v="1"/>
    <n v="718.61351562499999"/>
    <n v="0.99082216696262326"/>
    <n v="-852.02000000000407"/>
    <n v="852.02000000000407"/>
  </r>
  <r>
    <s v="S00023"/>
    <d v="2024-01-01T00:00:00"/>
    <s v="R02"/>
    <x v="1"/>
    <s v="T06"/>
    <s v="REP06"/>
    <s v="P003"/>
    <n v="160"/>
    <n v="97984.65"/>
    <n v="4660.71"/>
    <n v="870.85"/>
    <n v="92453.09"/>
    <n v="91977.39"/>
    <x v="2"/>
    <x v="0"/>
    <n v="1"/>
    <n v="577.83181249999996"/>
    <n v="1.0051719232302634"/>
    <n v="475.69999999999709"/>
    <n v="0"/>
  </r>
  <r>
    <s v="S00024"/>
    <d v="2024-01-01T00:00:00"/>
    <s v="R02"/>
    <x v="1"/>
    <s v="T06"/>
    <s v="REP06"/>
    <s v="P004"/>
    <n v="86"/>
    <n v="93822.93"/>
    <n v="3938.94"/>
    <n v="1055.9100000000001"/>
    <n v="88828.08"/>
    <n v="85893.88"/>
    <x v="3"/>
    <x v="0"/>
    <n v="1"/>
    <n v="1032.8846511627908"/>
    <n v="1.0341607574369676"/>
    <n v="2934.1999999999971"/>
    <n v="0"/>
  </r>
  <r>
    <s v="S00025"/>
    <d v="2024-01-01T00:00:00"/>
    <s v="R03"/>
    <x v="2"/>
    <s v="T07"/>
    <s v="REP07"/>
    <s v="P001"/>
    <n v="105"/>
    <n v="102040.76"/>
    <n v="4363.17"/>
    <n v="1347.54"/>
    <n v="96330.04"/>
    <n v="98463.63"/>
    <x v="0"/>
    <x v="0"/>
    <n v="1"/>
    <n v="917.4289523809523"/>
    <n v="0.97833118685549159"/>
    <n v="-2133.5900000000111"/>
    <n v="2133.5900000000111"/>
  </r>
  <r>
    <s v="S00026"/>
    <d v="2024-01-01T00:00:00"/>
    <s v="R03"/>
    <x v="2"/>
    <s v="T07"/>
    <s v="REP07"/>
    <s v="P002"/>
    <n v="135"/>
    <n v="103484.39"/>
    <n v="4041.79"/>
    <n v="984.94"/>
    <n v="98457.65"/>
    <n v="93395.13"/>
    <x v="1"/>
    <x v="0"/>
    <n v="1"/>
    <n v="729.31592592592585"/>
    <n v="1.0542053959344559"/>
    <n v="5062.5199999999895"/>
    <n v="0"/>
  </r>
  <r>
    <s v="S00027"/>
    <d v="2024-01-01T00:00:00"/>
    <s v="R03"/>
    <x v="2"/>
    <s v="T07"/>
    <s v="REP07"/>
    <s v="P003"/>
    <n v="164"/>
    <n v="101029.71"/>
    <n v="5385.26"/>
    <n v="932.59"/>
    <n v="94711.86"/>
    <n v="90207.56"/>
    <x v="2"/>
    <x v="0"/>
    <n v="1"/>
    <n v="577.51134146341462"/>
    <n v="1.0499326220551803"/>
    <n v="4504.3000000000029"/>
    <n v="0"/>
  </r>
  <r>
    <s v="S00028"/>
    <d v="2024-01-01T00:00:00"/>
    <s v="R03"/>
    <x v="2"/>
    <s v="T07"/>
    <s v="REP07"/>
    <s v="P004"/>
    <n v="80"/>
    <n v="88650.55"/>
    <n v="5907.89"/>
    <n v="1056.71"/>
    <n v="81685.95"/>
    <n v="83830.87"/>
    <x v="3"/>
    <x v="0"/>
    <n v="1"/>
    <n v="1021.0743749999999"/>
    <n v="0.97441372134155357"/>
    <n v="-2144.9199999999983"/>
    <n v="2144.9199999999983"/>
  </r>
  <r>
    <s v="S00029"/>
    <d v="2024-01-01T00:00:00"/>
    <s v="R03"/>
    <x v="2"/>
    <s v="T08"/>
    <s v="REP08"/>
    <s v="P001"/>
    <n v="113"/>
    <n v="109321.38"/>
    <n v="6329.85"/>
    <n v="954.53"/>
    <n v="102037"/>
    <n v="99753.62"/>
    <x v="0"/>
    <x v="0"/>
    <n v="1"/>
    <n v="902.98230088495575"/>
    <n v="1.022890196867041"/>
    <n v="2283.3800000000047"/>
    <n v="0"/>
  </r>
  <r>
    <s v="S00030"/>
    <d v="2024-01-01T00:00:00"/>
    <s v="R03"/>
    <x v="2"/>
    <s v="T08"/>
    <s v="REP08"/>
    <s v="P002"/>
    <n v="136"/>
    <n v="103996.12"/>
    <n v="7516.26"/>
    <n v="1071.47"/>
    <n v="95408.39"/>
    <n v="92733.15"/>
    <x v="1"/>
    <x v="0"/>
    <n v="1"/>
    <n v="701.53227941176465"/>
    <n v="1.0288487989462236"/>
    <n v="2675.2400000000052"/>
    <n v="0"/>
  </r>
  <r>
    <s v="S00031"/>
    <d v="2024-01-01T00:00:00"/>
    <s v="R03"/>
    <x v="2"/>
    <s v="T08"/>
    <s v="REP08"/>
    <s v="P003"/>
    <n v="161"/>
    <n v="99171.87"/>
    <n v="6745.67"/>
    <n v="962.78"/>
    <n v="91463.43"/>
    <n v="90487.25"/>
    <x v="2"/>
    <x v="0"/>
    <n v="1"/>
    <n v="568.09583850931676"/>
    <n v="1.0107880391988926"/>
    <n v="976.17999999999302"/>
    <n v="0"/>
  </r>
  <r>
    <s v="S00032"/>
    <d v="2024-01-01T00:00:00"/>
    <s v="R03"/>
    <x v="2"/>
    <s v="T08"/>
    <s v="REP08"/>
    <s v="P004"/>
    <n v="78"/>
    <n v="86972.6"/>
    <n v="5449.86"/>
    <n v="565.41"/>
    <n v="80957.33"/>
    <n v="86572.94"/>
    <x v="3"/>
    <x v="0"/>
    <n v="1"/>
    <n v="1037.9144871794872"/>
    <n v="0.9351343502946764"/>
    <n v="-5615.6100000000006"/>
    <n v="5615.6100000000006"/>
  </r>
  <r>
    <s v="S00033"/>
    <d v="2024-01-01T00:00:00"/>
    <s v="R03"/>
    <x v="2"/>
    <s v="T09"/>
    <s v="REP09"/>
    <s v="P001"/>
    <n v="114"/>
    <n v="113131.51"/>
    <n v="6493.5"/>
    <n v="808.94"/>
    <n v="105829.07"/>
    <n v="102748.48"/>
    <x v="0"/>
    <x v="0"/>
    <n v="1"/>
    <n v="928.3251754385966"/>
    <n v="1.0299818547194082"/>
    <n v="3080.5900000000111"/>
    <n v="0"/>
  </r>
  <r>
    <s v="S00034"/>
    <d v="2024-01-01T00:00:00"/>
    <s v="R03"/>
    <x v="2"/>
    <s v="T09"/>
    <s v="REP09"/>
    <s v="P002"/>
    <n v="126"/>
    <n v="95185.64"/>
    <n v="6842.36"/>
    <n v="384.43"/>
    <n v="87958.85"/>
    <n v="96659.38"/>
    <x v="1"/>
    <x v="0"/>
    <n v="1"/>
    <n v="698.08611111111111"/>
    <n v="0.90998773217870843"/>
    <n v="-8700.5299999999988"/>
    <n v="8700.5299999999988"/>
  </r>
  <r>
    <s v="S00035"/>
    <d v="2024-01-01T00:00:00"/>
    <s v="R03"/>
    <x v="2"/>
    <s v="T09"/>
    <s v="REP09"/>
    <s v="P003"/>
    <n v="170"/>
    <n v="104669.13"/>
    <n v="7817.04"/>
    <n v="1224.56"/>
    <n v="95627.520000000004"/>
    <n v="94093.5"/>
    <x v="2"/>
    <x v="0"/>
    <n v="1"/>
    <n v="562.51482352941184"/>
    <n v="1.0163031452757099"/>
    <n v="1534.0200000000041"/>
    <n v="0"/>
  </r>
  <r>
    <s v="S00036"/>
    <d v="2024-01-01T00:00:00"/>
    <s v="R03"/>
    <x v="2"/>
    <s v="T09"/>
    <s v="REP09"/>
    <s v="P004"/>
    <n v="84"/>
    <n v="93102.43"/>
    <n v="3839.21"/>
    <n v="709.07"/>
    <n v="88554.15"/>
    <n v="87178.68"/>
    <x v="3"/>
    <x v="0"/>
    <n v="1"/>
    <n v="1054.2160714285715"/>
    <n v="1.0157775960819779"/>
    <n v="1375.4700000000012"/>
    <n v="0"/>
  </r>
  <r>
    <s v="S00037"/>
    <d v="2024-01-01T00:00:00"/>
    <s v="R04"/>
    <x v="3"/>
    <s v="T10"/>
    <s v="REP10"/>
    <s v="P001"/>
    <n v="83"/>
    <n v="82215.789999999994"/>
    <n v="3967.27"/>
    <n v="871.39"/>
    <n v="77377.13"/>
    <n v="79761.37"/>
    <x v="0"/>
    <x v="0"/>
    <n v="1"/>
    <n v="932.25457831325309"/>
    <n v="0.97010783540954737"/>
    <n v="-2384.2399999999907"/>
    <n v="2384.2399999999907"/>
  </r>
  <r>
    <s v="S00038"/>
    <d v="2024-01-01T00:00:00"/>
    <s v="R04"/>
    <x v="3"/>
    <s v="T10"/>
    <s v="REP10"/>
    <s v="P002"/>
    <n v="100"/>
    <n v="76000.84"/>
    <n v="4529.4399999999996"/>
    <n v="1024.1600000000001"/>
    <n v="70447.240000000005"/>
    <n v="74435.490000000005"/>
    <x v="1"/>
    <x v="0"/>
    <n v="1"/>
    <n v="704.47240000000011"/>
    <n v="0.94642004774872845"/>
    <n v="-3988.25"/>
    <n v="3988.25"/>
  </r>
  <r>
    <s v="S00039"/>
    <d v="2024-01-01T00:00:00"/>
    <s v="R04"/>
    <x v="3"/>
    <s v="T10"/>
    <s v="REP10"/>
    <s v="P003"/>
    <n v="132"/>
    <n v="81399.37"/>
    <n v="5142.18"/>
    <n v="1030.19"/>
    <n v="75227"/>
    <n v="72802.600000000006"/>
    <x v="2"/>
    <x v="0"/>
    <n v="1"/>
    <n v="569.90151515151513"/>
    <n v="1.0333010084804664"/>
    <n v="2424.3999999999942"/>
    <n v="0"/>
  </r>
  <r>
    <s v="S00040"/>
    <d v="2024-01-01T00:00:00"/>
    <s v="R04"/>
    <x v="3"/>
    <s v="T10"/>
    <s v="REP10"/>
    <s v="P004"/>
    <n v="67"/>
    <n v="73528.509999999995"/>
    <n v="5395.19"/>
    <n v="528.92999999999995"/>
    <n v="67604.399999999994"/>
    <n v="68186.39"/>
    <x v="3"/>
    <x v="0"/>
    <n v="1"/>
    <n v="1009.0208955223879"/>
    <n v="0.99146471898570954"/>
    <n v="-581.99000000000524"/>
    <n v="581.99000000000524"/>
  </r>
  <r>
    <s v="S00041"/>
    <d v="2024-01-01T00:00:00"/>
    <s v="R04"/>
    <x v="3"/>
    <s v="T11"/>
    <s v="REP11"/>
    <s v="P001"/>
    <n v="88"/>
    <n v="85754.82"/>
    <n v="3800.43"/>
    <n v="836.65"/>
    <n v="81117.740000000005"/>
    <n v="79468.12"/>
    <x v="0"/>
    <x v="0"/>
    <n v="1"/>
    <n v="921.79250000000002"/>
    <n v="1.0207582613002548"/>
    <n v="1649.6200000000099"/>
    <n v="0"/>
  </r>
  <r>
    <s v="S00042"/>
    <d v="2024-01-01T00:00:00"/>
    <s v="R04"/>
    <x v="3"/>
    <s v="T11"/>
    <s v="REP11"/>
    <s v="P002"/>
    <n v="101"/>
    <n v="76322.89"/>
    <n v="3155.23"/>
    <n v="911"/>
    <n v="72256.66"/>
    <n v="75080.679999999993"/>
    <x v="1"/>
    <x v="0"/>
    <n v="1"/>
    <n v="715.41247524752475"/>
    <n v="0.96238686170663357"/>
    <n v="-2824.0199999999895"/>
    <n v="2824.0199999999895"/>
  </r>
  <r>
    <s v="S00043"/>
    <d v="2024-01-01T00:00:00"/>
    <s v="R04"/>
    <x v="3"/>
    <s v="T11"/>
    <s v="REP11"/>
    <s v="P003"/>
    <n v="120"/>
    <n v="74010.86"/>
    <n v="5059.37"/>
    <n v="387.87"/>
    <n v="68563.62"/>
    <n v="73987.820000000007"/>
    <x v="2"/>
    <x v="0"/>
    <n v="1"/>
    <n v="571.36349999999993"/>
    <n v="0.92668793323009091"/>
    <n v="-5424.2000000000116"/>
    <n v="5424.2000000000116"/>
  </r>
  <r>
    <s v="S00044"/>
    <d v="2024-01-01T00:00:00"/>
    <s v="R04"/>
    <x v="3"/>
    <s v="T11"/>
    <s v="REP11"/>
    <s v="P004"/>
    <n v="64"/>
    <n v="70338.11"/>
    <n v="3199.78"/>
    <n v="499.08"/>
    <n v="66639.240000000005"/>
    <n v="68232.289999999994"/>
    <x v="3"/>
    <x v="0"/>
    <n v="1"/>
    <n v="1041.2381250000001"/>
    <n v="0.97665254969458026"/>
    <n v="-1593.0499999999884"/>
    <n v="1593.0499999999884"/>
  </r>
  <r>
    <s v="S00045"/>
    <d v="2024-01-01T00:00:00"/>
    <s v="R04"/>
    <x v="3"/>
    <s v="T12"/>
    <s v="REP12"/>
    <s v="P001"/>
    <n v="95"/>
    <n v="92940.77"/>
    <n v="4710.6400000000003"/>
    <n v="797.86"/>
    <n v="87432.27"/>
    <n v="90612.66"/>
    <x v="0"/>
    <x v="0"/>
    <n v="1"/>
    <n v="920.33968421052634"/>
    <n v="0.96490126214151528"/>
    <n v="-3180.3899999999994"/>
    <n v="3180.3899999999994"/>
  </r>
  <r>
    <s v="S00046"/>
    <d v="2024-01-01T00:00:00"/>
    <s v="R04"/>
    <x v="3"/>
    <s v="T12"/>
    <s v="REP12"/>
    <s v="P002"/>
    <n v="120"/>
    <n v="91583.05"/>
    <n v="4611.29"/>
    <n v="493.82"/>
    <n v="86477.94"/>
    <n v="84617.07"/>
    <x v="1"/>
    <x v="0"/>
    <n v="1"/>
    <n v="720.64949999999999"/>
    <n v="1.0219916619660785"/>
    <n v="1860.8699999999953"/>
    <n v="0"/>
  </r>
  <r>
    <s v="S00047"/>
    <d v="2024-01-01T00:00:00"/>
    <s v="R04"/>
    <x v="3"/>
    <s v="T12"/>
    <s v="REP12"/>
    <s v="P003"/>
    <n v="143"/>
    <n v="89256.61"/>
    <n v="4115.82"/>
    <n v="838.58"/>
    <n v="84302.21"/>
    <n v="83435.48"/>
    <x v="2"/>
    <x v="0"/>
    <n v="1"/>
    <n v="589.52594405594414"/>
    <n v="1.0103880267723038"/>
    <n v="866.73000000001048"/>
    <n v="0"/>
  </r>
  <r>
    <s v="S00048"/>
    <d v="2024-01-01T00:00:00"/>
    <s v="R04"/>
    <x v="3"/>
    <s v="T12"/>
    <s v="REP12"/>
    <s v="P004"/>
    <n v="73"/>
    <n v="80475.58"/>
    <n v="5170.17"/>
    <n v="332.31"/>
    <n v="74973.11"/>
    <n v="78593.48"/>
    <x v="3"/>
    <x v="0"/>
    <n v="1"/>
    <n v="1027.0289041095891"/>
    <n v="0.95393549184996018"/>
    <n v="-3620.3699999999953"/>
    <n v="3620.3699999999953"/>
  </r>
  <r>
    <s v="S00049"/>
    <d v="2024-02-01T00:00:00"/>
    <s v="R01"/>
    <x v="0"/>
    <s v="T01"/>
    <s v="REP01"/>
    <s v="P001"/>
    <n v="133"/>
    <n v="130677.55"/>
    <n v="9112.99"/>
    <n v="1553.69"/>
    <n v="120010.87"/>
    <n v="125964.84"/>
    <x v="0"/>
    <x v="0"/>
    <n v="2"/>
    <n v="902.33736842105259"/>
    <n v="0.9527330801198175"/>
    <n v="-5953.9700000000012"/>
    <n v="5953.9700000000012"/>
  </r>
  <r>
    <s v="S00050"/>
    <d v="2024-02-01T00:00:00"/>
    <s v="R01"/>
    <x v="0"/>
    <s v="T01"/>
    <s v="REP01"/>
    <s v="P002"/>
    <n v="170"/>
    <n v="131125.88"/>
    <n v="4746.59"/>
    <n v="971.69"/>
    <n v="125407.61"/>
    <n v="118860.98"/>
    <x v="1"/>
    <x v="0"/>
    <n v="2"/>
    <n v="737.69182352941175"/>
    <n v="1.0550780415911092"/>
    <n v="6546.6300000000047"/>
    <n v="0"/>
  </r>
  <r>
    <s v="S00051"/>
    <d v="2024-02-01T00:00:00"/>
    <s v="R01"/>
    <x v="0"/>
    <s v="T01"/>
    <s v="REP01"/>
    <s v="P003"/>
    <n v="192"/>
    <n v="119682.77"/>
    <n v="5082.8500000000004"/>
    <n v="1530.95"/>
    <n v="113068.98"/>
    <n v="115844.54"/>
    <x v="2"/>
    <x v="0"/>
    <n v="2"/>
    <n v="588.90093749999994"/>
    <n v="0.97604064895937259"/>
    <n v="-2775.5599999999977"/>
    <n v="2775.5599999999977"/>
  </r>
  <r>
    <s v="S00052"/>
    <d v="2024-02-01T00:00:00"/>
    <s v="R01"/>
    <x v="0"/>
    <s v="T01"/>
    <s v="REP01"/>
    <s v="P004"/>
    <n v="108"/>
    <n v="117835.84"/>
    <n v="7598.35"/>
    <n v="695.61"/>
    <n v="109541.88"/>
    <n v="108610.95"/>
    <x v="3"/>
    <x v="0"/>
    <n v="2"/>
    <n v="1014.2766666666668"/>
    <n v="1.0085712352207581"/>
    <n v="930.93000000000757"/>
    <n v="0"/>
  </r>
  <r>
    <s v="S00053"/>
    <d v="2024-02-01T00:00:00"/>
    <s v="R01"/>
    <x v="0"/>
    <s v="T02"/>
    <s v="REP02"/>
    <s v="P001"/>
    <n v="137"/>
    <n v="134226.25"/>
    <n v="7763.68"/>
    <n v="1364.27"/>
    <n v="125098.31"/>
    <n v="126619.62"/>
    <x v="0"/>
    <x v="0"/>
    <n v="2"/>
    <n v="913.12635036496351"/>
    <n v="0.98798519534334417"/>
    <n v="-1521.3099999999977"/>
    <n v="1521.3099999999977"/>
  </r>
  <r>
    <s v="S00054"/>
    <d v="2024-02-01T00:00:00"/>
    <s v="R01"/>
    <x v="0"/>
    <s v="T02"/>
    <s v="REP02"/>
    <s v="P002"/>
    <n v="171"/>
    <n v="131721.74"/>
    <n v="6482.96"/>
    <n v="1314.01"/>
    <n v="123924.76"/>
    <n v="118840.18"/>
    <x v="1"/>
    <x v="0"/>
    <n v="2"/>
    <n v="724.70619883040933"/>
    <n v="1.0427850243915822"/>
    <n v="5084.5800000000017"/>
    <n v="0"/>
  </r>
  <r>
    <s v="S00055"/>
    <d v="2024-02-01T00:00:00"/>
    <s v="R01"/>
    <x v="0"/>
    <s v="T02"/>
    <s v="REP02"/>
    <s v="P003"/>
    <n v="196"/>
    <n v="120027.91"/>
    <n v="7093.55"/>
    <n v="811.02"/>
    <n v="112123.34"/>
    <n v="115442.46"/>
    <x v="2"/>
    <x v="0"/>
    <n v="2"/>
    <n v="572.05785714285707"/>
    <n v="0.97124870693157428"/>
    <n v="-3319.1200000000099"/>
    <n v="3319.1200000000099"/>
  </r>
  <r>
    <s v="S00056"/>
    <d v="2024-02-01T00:00:00"/>
    <s v="R01"/>
    <x v="0"/>
    <s v="T02"/>
    <s v="REP02"/>
    <s v="P004"/>
    <n v="103"/>
    <n v="113073.3"/>
    <n v="4073.35"/>
    <n v="1569.86"/>
    <n v="107430.09"/>
    <n v="108744.43"/>
    <x v="3"/>
    <x v="0"/>
    <n v="2"/>
    <n v="1043.0105825242717"/>
    <n v="0.98791349589123789"/>
    <n v="-1314.3399999999965"/>
    <n v="1314.3399999999965"/>
  </r>
  <r>
    <s v="S00057"/>
    <d v="2024-02-01T00:00:00"/>
    <s v="R01"/>
    <x v="0"/>
    <s v="T03"/>
    <s v="REP03"/>
    <s v="P001"/>
    <n v="147"/>
    <n v="144377.04"/>
    <n v="6073"/>
    <n v="1507.97"/>
    <n v="136796.07999999999"/>
    <n v="136478.87"/>
    <x v="0"/>
    <x v="0"/>
    <n v="2"/>
    <n v="930.5855782312924"/>
    <n v="1.0023242425732275"/>
    <n v="317.20999999999185"/>
    <n v="0"/>
  </r>
  <r>
    <s v="S00058"/>
    <d v="2024-02-01T00:00:00"/>
    <s v="R01"/>
    <x v="0"/>
    <s v="T03"/>
    <s v="REP03"/>
    <s v="P002"/>
    <n v="171"/>
    <n v="131036.09"/>
    <n v="9346.5499999999993"/>
    <n v="767.91"/>
    <n v="120921.63"/>
    <n v="129876.4"/>
    <x v="1"/>
    <x v="0"/>
    <n v="2"/>
    <n v="707.14403508771932"/>
    <n v="0.93105159982876029"/>
    <n v="-8954.7699999999895"/>
    <n v="8954.7699999999895"/>
  </r>
  <r>
    <s v="S00059"/>
    <d v="2024-02-01T00:00:00"/>
    <s v="R01"/>
    <x v="0"/>
    <s v="T03"/>
    <s v="REP03"/>
    <s v="P003"/>
    <n v="211"/>
    <n v="131467.26"/>
    <n v="9528.99"/>
    <n v="991.51"/>
    <n v="120946.76"/>
    <n v="127214.07"/>
    <x v="2"/>
    <x v="0"/>
    <n v="2"/>
    <n v="573.20739336492886"/>
    <n v="0.9507341444228613"/>
    <n v="-6267.3100000000122"/>
    <n v="6267.3100000000122"/>
  </r>
  <r>
    <s v="S00060"/>
    <d v="2024-02-01T00:00:00"/>
    <s v="R01"/>
    <x v="0"/>
    <s v="T03"/>
    <s v="REP03"/>
    <s v="P004"/>
    <n v="118"/>
    <n v="131631.98000000001"/>
    <n v="6114.11"/>
    <n v="1147.45"/>
    <n v="124370.42"/>
    <n v="120592.06"/>
    <x v="3"/>
    <x v="0"/>
    <n v="2"/>
    <n v="1053.9866101694915"/>
    <n v="1.0313317477120798"/>
    <n v="3778.3600000000006"/>
    <n v="0"/>
  </r>
  <r>
    <s v="S00061"/>
    <d v="2024-02-01T00:00:00"/>
    <s v="R02"/>
    <x v="1"/>
    <s v="T04"/>
    <s v="REP04"/>
    <s v="P001"/>
    <n v="105"/>
    <n v="102704.75"/>
    <n v="4464.07"/>
    <n v="1032.8399999999999"/>
    <n v="97207.83"/>
    <n v="101706.51"/>
    <x v="0"/>
    <x v="0"/>
    <n v="2"/>
    <n v="925.78885714285718"/>
    <n v="0.95576802310884534"/>
    <n v="-4498.679999999993"/>
    <n v="4498.679999999993"/>
  </r>
  <r>
    <s v="S00062"/>
    <d v="2024-02-01T00:00:00"/>
    <s v="R02"/>
    <x v="1"/>
    <s v="T04"/>
    <s v="REP04"/>
    <s v="P002"/>
    <n v="134"/>
    <n v="101520.13"/>
    <n v="5490.28"/>
    <n v="978.5"/>
    <n v="95051.35"/>
    <n v="95460.04"/>
    <x v="1"/>
    <x v="0"/>
    <n v="2"/>
    <n v="709.33843283582098"/>
    <n v="0.99571873215221796"/>
    <n v="-408.68999999998778"/>
    <n v="408.68999999998778"/>
  </r>
  <r>
    <s v="S00063"/>
    <d v="2024-02-01T00:00:00"/>
    <s v="R02"/>
    <x v="1"/>
    <s v="T04"/>
    <s v="REP04"/>
    <s v="P003"/>
    <n v="151"/>
    <n v="92570.57"/>
    <n v="3620.64"/>
    <n v="737.76"/>
    <n v="88212.160000000003"/>
    <n v="92357.31"/>
    <x v="2"/>
    <x v="0"/>
    <n v="2"/>
    <n v="584.18649006622513"/>
    <n v="0.95511833335119878"/>
    <n v="-4145.1499999999942"/>
    <n v="4145.1499999999942"/>
  </r>
  <r>
    <s v="S00064"/>
    <d v="2024-02-01T00:00:00"/>
    <s v="R02"/>
    <x v="1"/>
    <s v="T04"/>
    <s v="REP04"/>
    <s v="P004"/>
    <n v="87"/>
    <n v="94851.03"/>
    <n v="6161.2"/>
    <n v="551.70000000000005"/>
    <n v="88138.14"/>
    <n v="87232.19"/>
    <x v="3"/>
    <x v="0"/>
    <n v="2"/>
    <n v="1013.0820689655172"/>
    <n v="1.0103855010403842"/>
    <n v="905.94999999999709"/>
    <n v="0"/>
  </r>
  <r>
    <s v="S00065"/>
    <d v="2024-02-01T00:00:00"/>
    <s v="R02"/>
    <x v="1"/>
    <s v="T05"/>
    <s v="REP05"/>
    <s v="P001"/>
    <n v="102"/>
    <n v="99329.18"/>
    <n v="7113.39"/>
    <n v="823.07"/>
    <n v="91392.71"/>
    <n v="89671.19"/>
    <x v="0"/>
    <x v="0"/>
    <n v="2"/>
    <n v="896.00696078431383"/>
    <n v="1.019198139335499"/>
    <n v="1721.5200000000041"/>
    <n v="0"/>
  </r>
  <r>
    <s v="S00066"/>
    <d v="2024-02-01T00:00:00"/>
    <s v="R02"/>
    <x v="1"/>
    <s v="T05"/>
    <s v="REP05"/>
    <s v="P002"/>
    <n v="120"/>
    <n v="92212.66"/>
    <n v="5055.0600000000004"/>
    <n v="606.86"/>
    <n v="86550.74"/>
    <n v="84792.8"/>
    <x v="1"/>
    <x v="0"/>
    <n v="2"/>
    <n v="721.25616666666667"/>
    <n v="1.0207321848081441"/>
    <n v="1757.9400000000023"/>
    <n v="0"/>
  </r>
  <r>
    <s v="S00067"/>
    <d v="2024-02-01T00:00:00"/>
    <s v="R02"/>
    <x v="1"/>
    <s v="T05"/>
    <s v="REP05"/>
    <s v="P003"/>
    <n v="133"/>
    <n v="81809"/>
    <n v="3691.49"/>
    <n v="718.25"/>
    <n v="77399.259999999995"/>
    <n v="83541.36"/>
    <x v="2"/>
    <x v="0"/>
    <n v="2"/>
    <n v="581.94932330827066"/>
    <n v="0.92647833360625198"/>
    <n v="-6142.1000000000058"/>
    <n v="6142.1000000000058"/>
  </r>
  <r>
    <s v="S00068"/>
    <d v="2024-02-01T00:00:00"/>
    <s v="R02"/>
    <x v="1"/>
    <s v="T05"/>
    <s v="REP05"/>
    <s v="P004"/>
    <n v="72"/>
    <n v="78228.98"/>
    <n v="5170.5600000000004"/>
    <n v="394.27"/>
    <n v="72664.149999999994"/>
    <n v="76976.97"/>
    <x v="3"/>
    <x v="0"/>
    <n v="2"/>
    <n v="1009.2243055555555"/>
    <n v="0.94397259336136496"/>
    <n v="-4312.820000000007"/>
    <n v="4312.820000000007"/>
  </r>
  <r>
    <s v="S00069"/>
    <d v="2024-02-01T00:00:00"/>
    <s v="R02"/>
    <x v="1"/>
    <s v="T06"/>
    <s v="REP06"/>
    <s v="P001"/>
    <n v="105"/>
    <n v="102135.58"/>
    <n v="7463.53"/>
    <n v="967.07"/>
    <n v="93704.97"/>
    <n v="100873.58"/>
    <x v="0"/>
    <x v="0"/>
    <n v="2"/>
    <n v="892.42828571428572"/>
    <n v="0.92893471214167278"/>
    <n v="-7168.6100000000006"/>
    <n v="7168.6100000000006"/>
  </r>
  <r>
    <s v="S00070"/>
    <d v="2024-02-01T00:00:00"/>
    <s v="R02"/>
    <x v="1"/>
    <s v="T06"/>
    <s v="REP06"/>
    <s v="P002"/>
    <n v="125"/>
    <n v="95364.94"/>
    <n v="5544.4"/>
    <n v="1259.03"/>
    <n v="88561.51"/>
    <n v="94696.639999999999"/>
    <x v="1"/>
    <x v="0"/>
    <n v="2"/>
    <n v="708.49207999999999"/>
    <n v="0.93521280163689013"/>
    <n v="-6135.1300000000047"/>
    <n v="6135.1300000000047"/>
  </r>
  <r>
    <s v="S00071"/>
    <d v="2024-02-01T00:00:00"/>
    <s v="R02"/>
    <x v="1"/>
    <s v="T06"/>
    <s v="REP06"/>
    <s v="P003"/>
    <n v="163"/>
    <n v="101591.09"/>
    <n v="6811.92"/>
    <n v="612.62"/>
    <n v="94166.55"/>
    <n v="92869.06"/>
    <x v="2"/>
    <x v="0"/>
    <n v="2"/>
    <n v="577.70889570552151"/>
    <n v="1.0139711761915109"/>
    <n v="1297.4900000000052"/>
    <n v="0"/>
  </r>
  <r>
    <s v="S00072"/>
    <d v="2024-02-01T00:00:00"/>
    <s v="R02"/>
    <x v="1"/>
    <s v="T06"/>
    <s v="REP06"/>
    <s v="P004"/>
    <n v="87"/>
    <n v="95390.62"/>
    <n v="5675.73"/>
    <n v="1006.31"/>
    <n v="88708.58"/>
    <n v="85535.02"/>
    <x v="3"/>
    <x v="0"/>
    <n v="2"/>
    <n v="1019.6388505747127"/>
    <n v="1.037102463996618"/>
    <n v="3173.5599999999977"/>
    <n v="0"/>
  </r>
  <r>
    <s v="S00073"/>
    <d v="2024-02-01T00:00:00"/>
    <s v="R03"/>
    <x v="2"/>
    <s v="T07"/>
    <s v="REP07"/>
    <s v="P001"/>
    <n v="111"/>
    <n v="109699.26"/>
    <n v="6709.16"/>
    <n v="792.36"/>
    <n v="102197.74"/>
    <n v="101982.54"/>
    <x v="0"/>
    <x v="0"/>
    <n v="2"/>
    <n v="920.70036036036038"/>
    <n v="1.0021101651321884"/>
    <n v="215.20000000001164"/>
    <n v="0"/>
  </r>
  <r>
    <s v="S00074"/>
    <d v="2024-02-01T00:00:00"/>
    <s v="R03"/>
    <x v="2"/>
    <s v="T07"/>
    <s v="REP07"/>
    <s v="P002"/>
    <n v="132"/>
    <n v="100433.38"/>
    <n v="6380.23"/>
    <n v="1174.79"/>
    <n v="92878.35"/>
    <n v="93626.13"/>
    <x v="1"/>
    <x v="0"/>
    <n v="2"/>
    <n v="703.62386363636369"/>
    <n v="0.99201312710458078"/>
    <n v="-747.77999999999884"/>
    <n v="747.77999999999884"/>
  </r>
  <r>
    <s v="S00075"/>
    <d v="2024-02-01T00:00:00"/>
    <s v="R03"/>
    <x v="2"/>
    <s v="T07"/>
    <s v="REP07"/>
    <s v="P003"/>
    <n v="160"/>
    <n v="98429.78"/>
    <n v="6293.85"/>
    <n v="857.06"/>
    <n v="91278.88"/>
    <n v="93807.53"/>
    <x v="2"/>
    <x v="0"/>
    <n v="2"/>
    <n v="570.49300000000005"/>
    <n v="0.97304427480395239"/>
    <n v="-2528.6499999999942"/>
    <n v="2528.6499999999942"/>
  </r>
  <r>
    <s v="S00076"/>
    <d v="2024-02-01T00:00:00"/>
    <s v="R03"/>
    <x v="2"/>
    <s v="T07"/>
    <s v="REP07"/>
    <s v="P004"/>
    <n v="79"/>
    <n v="87327.25"/>
    <n v="4213.07"/>
    <n v="763.21"/>
    <n v="82350.97"/>
    <n v="87741.18"/>
    <x v="3"/>
    <x v="0"/>
    <n v="2"/>
    <n v="1042.417341772152"/>
    <n v="0.93856693060202756"/>
    <n v="-5390.2099999999919"/>
    <n v="5390.2099999999919"/>
  </r>
  <r>
    <s v="S00077"/>
    <d v="2024-02-01T00:00:00"/>
    <s v="R03"/>
    <x v="2"/>
    <s v="T08"/>
    <s v="REP08"/>
    <s v="P001"/>
    <n v="110"/>
    <n v="108277.68"/>
    <n v="7906.74"/>
    <n v="813.6"/>
    <n v="99557.34"/>
    <n v="101711.57"/>
    <x v="0"/>
    <x v="0"/>
    <n v="2"/>
    <n v="905.06672727272723"/>
    <n v="0.97882020698333527"/>
    <n v="-2154.2300000000105"/>
    <n v="2154.2300000000105"/>
  </r>
  <r>
    <s v="S00078"/>
    <d v="2024-02-01T00:00:00"/>
    <s v="R03"/>
    <x v="2"/>
    <s v="T08"/>
    <s v="REP08"/>
    <s v="P002"/>
    <n v="139"/>
    <n v="106464.45"/>
    <n v="7680.02"/>
    <n v="1307.8900000000001"/>
    <n v="97476.53"/>
    <n v="95402.12"/>
    <x v="1"/>
    <x v="0"/>
    <n v="2"/>
    <n v="701.27"/>
    <n v="1.0217438564258321"/>
    <n v="2074.4100000000035"/>
    <n v="0"/>
  </r>
  <r>
    <s v="S00079"/>
    <d v="2024-02-01T00:00:00"/>
    <s v="R03"/>
    <x v="2"/>
    <s v="T08"/>
    <s v="REP08"/>
    <s v="P003"/>
    <n v="166"/>
    <n v="101411.23"/>
    <n v="7377.04"/>
    <n v="787.64"/>
    <n v="93246.55"/>
    <n v="93459.93"/>
    <x v="2"/>
    <x v="0"/>
    <n v="2"/>
    <n v="561.72620481927709"/>
    <n v="0.99771688251852975"/>
    <n v="-213.3799999999901"/>
    <n v="213.3799999999901"/>
  </r>
  <r>
    <s v="S00080"/>
    <d v="2024-02-01T00:00:00"/>
    <s v="R03"/>
    <x v="2"/>
    <s v="T08"/>
    <s v="REP08"/>
    <s v="P004"/>
    <n v="83"/>
    <n v="92110.05"/>
    <n v="6263.73"/>
    <n v="1180.21"/>
    <n v="84666.11"/>
    <n v="86534.09"/>
    <x v="3"/>
    <x v="0"/>
    <n v="2"/>
    <n v="1020.0736144578314"/>
    <n v="0.97841336287236635"/>
    <n v="-1867.9799999999959"/>
    <n v="1867.9799999999959"/>
  </r>
  <r>
    <s v="S00081"/>
    <d v="2024-02-01T00:00:00"/>
    <s v="R03"/>
    <x v="2"/>
    <s v="T09"/>
    <s v="REP09"/>
    <s v="P001"/>
    <n v="119"/>
    <n v="118192.63"/>
    <n v="7916.28"/>
    <n v="1069.3599999999999"/>
    <n v="109206.99"/>
    <n v="103246.14"/>
    <x v="0"/>
    <x v="0"/>
    <n v="2"/>
    <n v="917.70579831932776"/>
    <n v="1.0577343617882471"/>
    <n v="5960.8500000000058"/>
    <n v="0"/>
  </r>
  <r>
    <s v="S00082"/>
    <d v="2024-02-01T00:00:00"/>
    <s v="R03"/>
    <x v="2"/>
    <s v="T09"/>
    <s v="REP09"/>
    <s v="P002"/>
    <n v="138"/>
    <n v="105001.21"/>
    <n v="4032.12"/>
    <n v="1356.43"/>
    <n v="99612.65"/>
    <n v="98674.81"/>
    <x v="1"/>
    <x v="0"/>
    <n v="2"/>
    <n v="721.83079710144921"/>
    <n v="1.0095043507051089"/>
    <n v="937.83999999999651"/>
    <n v="0"/>
  </r>
  <r>
    <s v="S00083"/>
    <d v="2024-02-01T00:00:00"/>
    <s v="R03"/>
    <x v="2"/>
    <s v="T09"/>
    <s v="REP09"/>
    <s v="P003"/>
    <n v="161"/>
    <n v="100715.09"/>
    <n v="4855.8500000000004"/>
    <n v="1058.0999999999999"/>
    <n v="94801.15"/>
    <n v="95599.7"/>
    <x v="2"/>
    <x v="0"/>
    <n v="2"/>
    <n v="588.82701863354032"/>
    <n v="0.99164694031466627"/>
    <n v="-798.55000000000291"/>
    <n v="798.55000000000291"/>
  </r>
  <r>
    <s v="S00084"/>
    <d v="2024-02-01T00:00:00"/>
    <s v="R03"/>
    <x v="2"/>
    <s v="T09"/>
    <s v="REP09"/>
    <s v="P004"/>
    <n v="90"/>
    <n v="98591.46"/>
    <n v="6848.14"/>
    <n v="984.07"/>
    <n v="90759.25"/>
    <n v="89123.31"/>
    <x v="3"/>
    <x v="0"/>
    <n v="2"/>
    <n v="1008.4361111111111"/>
    <n v="1.0183559160897413"/>
    <n v="1635.9400000000023"/>
    <n v="0"/>
  </r>
  <r>
    <s v="S00085"/>
    <d v="2024-02-01T00:00:00"/>
    <s v="R04"/>
    <x v="3"/>
    <s v="T10"/>
    <s v="REP10"/>
    <s v="P001"/>
    <n v="87"/>
    <n v="84504.29"/>
    <n v="3567.23"/>
    <n v="574.70000000000005"/>
    <n v="80362.36"/>
    <n v="81547.33"/>
    <x v="0"/>
    <x v="0"/>
    <n v="2"/>
    <n v="923.70528735632183"/>
    <n v="0.98546892951614729"/>
    <n v="-1184.9700000000012"/>
    <n v="1184.9700000000012"/>
  </r>
  <r>
    <s v="S00086"/>
    <d v="2024-02-01T00:00:00"/>
    <s v="R04"/>
    <x v="3"/>
    <s v="T10"/>
    <s v="REP10"/>
    <s v="P002"/>
    <n v="107"/>
    <n v="82122.17"/>
    <n v="4705.1099999999997"/>
    <n v="633.62"/>
    <n v="76783.44"/>
    <n v="77262.64"/>
    <x v="1"/>
    <x v="0"/>
    <n v="2"/>
    <n v="717.60224299065419"/>
    <n v="0.99379777859001461"/>
    <n v="-479.19999999999709"/>
    <n v="479.19999999999709"/>
  </r>
  <r>
    <s v="S00087"/>
    <d v="2024-02-01T00:00:00"/>
    <s v="R04"/>
    <x v="3"/>
    <s v="T10"/>
    <s v="REP10"/>
    <s v="P003"/>
    <n v="128"/>
    <n v="79714.25"/>
    <n v="3164.43"/>
    <n v="559.29999999999995"/>
    <n v="75990.53"/>
    <n v="75930.75"/>
    <x v="2"/>
    <x v="0"/>
    <n v="2"/>
    <n v="593.67601562499999"/>
    <n v="1.0007872963193436"/>
    <n v="59.779999999998836"/>
    <n v="0"/>
  </r>
  <r>
    <s v="S00088"/>
    <d v="2024-02-01T00:00:00"/>
    <s v="R04"/>
    <x v="3"/>
    <s v="T10"/>
    <s v="REP10"/>
    <s v="P004"/>
    <n v="67"/>
    <n v="73629.009999999995"/>
    <n v="5014.76"/>
    <n v="350.18"/>
    <n v="68264.070000000007"/>
    <n v="70010.149999999994"/>
    <x v="3"/>
    <x v="0"/>
    <n v="2"/>
    <n v="1018.8667164179105"/>
    <n v="0.97505961635562866"/>
    <n v="-1746.0799999999872"/>
    <n v="1746.0799999999872"/>
  </r>
  <r>
    <s v="S00089"/>
    <d v="2024-02-01T00:00:00"/>
    <s v="R04"/>
    <x v="3"/>
    <s v="T11"/>
    <s v="REP11"/>
    <s v="P001"/>
    <n v="91"/>
    <n v="89099.11"/>
    <n v="6524.88"/>
    <n v="731.47"/>
    <n v="81842.77"/>
    <n v="81718.179999999993"/>
    <x v="0"/>
    <x v="0"/>
    <n v="2"/>
    <n v="899.37109890109889"/>
    <n v="1.0015246301373821"/>
    <n v="124.59000000001106"/>
    <n v="0"/>
  </r>
  <r>
    <s v="S00090"/>
    <d v="2024-02-01T00:00:00"/>
    <s v="R04"/>
    <x v="3"/>
    <s v="T11"/>
    <s v="REP11"/>
    <s v="P002"/>
    <n v="111"/>
    <n v="83150.94"/>
    <n v="6014.12"/>
    <n v="640.08000000000004"/>
    <n v="76496.740000000005"/>
    <n v="75428.87"/>
    <x v="1"/>
    <x v="0"/>
    <n v="2"/>
    <n v="689.15981981981986"/>
    <n v="1.014157311384885"/>
    <n v="1067.8700000000099"/>
    <n v="0"/>
  </r>
  <r>
    <s v="S00091"/>
    <d v="2024-02-01T00:00:00"/>
    <s v="R04"/>
    <x v="3"/>
    <s v="T11"/>
    <s v="REP11"/>
    <s v="P003"/>
    <n v="132"/>
    <n v="81904.17"/>
    <n v="3330.62"/>
    <n v="933.28"/>
    <n v="77640.27"/>
    <n v="74207.649999999994"/>
    <x v="2"/>
    <x v="0"/>
    <n v="2"/>
    <n v="588.18386363636364"/>
    <n v="1.0462569559876915"/>
    <n v="3432.6200000000099"/>
    <n v="0"/>
  </r>
  <r>
    <s v="S00092"/>
    <d v="2024-02-01T00:00:00"/>
    <s v="R04"/>
    <x v="3"/>
    <s v="T11"/>
    <s v="REP11"/>
    <s v="P004"/>
    <n v="66"/>
    <n v="72397.64"/>
    <n v="4779.6499999999996"/>
    <n v="530.08000000000004"/>
    <n v="67087.92"/>
    <n v="70975.710000000006"/>
    <x v="3"/>
    <x v="0"/>
    <n v="2"/>
    <n v="1016.4836363636364"/>
    <n v="0.94522365468411651"/>
    <n v="-3887.7900000000081"/>
    <n v="3887.7900000000081"/>
  </r>
  <r>
    <s v="S00093"/>
    <d v="2024-02-01T00:00:00"/>
    <s v="R04"/>
    <x v="3"/>
    <s v="T12"/>
    <s v="REP12"/>
    <s v="P001"/>
    <n v="101"/>
    <n v="97746.4"/>
    <n v="5515.58"/>
    <n v="1111.27"/>
    <n v="91119.55"/>
    <n v="92623.98"/>
    <x v="0"/>
    <x v="0"/>
    <n v="2"/>
    <n v="902.17376237623762"/>
    <n v="0.98375766189274105"/>
    <n v="-1504.429999999993"/>
    <n v="1504.429999999993"/>
  </r>
  <r>
    <s v="S00094"/>
    <d v="2024-02-01T00:00:00"/>
    <s v="R04"/>
    <x v="3"/>
    <s v="T12"/>
    <s v="REP12"/>
    <s v="P002"/>
    <n v="116"/>
    <n v="87068.67"/>
    <n v="3812.66"/>
    <n v="556.44000000000005"/>
    <n v="82699.570000000007"/>
    <n v="86929.62"/>
    <x v="1"/>
    <x v="0"/>
    <n v="2"/>
    <n v="712.92732758620696"/>
    <n v="0.95133937086116349"/>
    <n v="-4230.0499999999884"/>
    <n v="4230.0499999999884"/>
  </r>
  <r>
    <s v="S00095"/>
    <d v="2024-02-01T00:00:00"/>
    <s v="R04"/>
    <x v="3"/>
    <s v="T12"/>
    <s v="REP12"/>
    <s v="P003"/>
    <n v="142"/>
    <n v="88249.75"/>
    <n v="3345.01"/>
    <n v="806.45"/>
    <n v="84098.3"/>
    <n v="84182.71"/>
    <x v="2"/>
    <x v="0"/>
    <n v="2"/>
    <n v="592.24154929577469"/>
    <n v="0.99899730003940235"/>
    <n v="-84.410000000003492"/>
    <n v="84.410000000003492"/>
  </r>
  <r>
    <s v="S00096"/>
    <d v="2024-02-01T00:00:00"/>
    <s v="R04"/>
    <x v="3"/>
    <s v="T12"/>
    <s v="REP12"/>
    <s v="P004"/>
    <n v="80"/>
    <n v="87976.83"/>
    <n v="3917.18"/>
    <n v="617.86"/>
    <n v="83441.789999999994"/>
    <n v="79760.289999999994"/>
    <x v="3"/>
    <x v="0"/>
    <n v="2"/>
    <n v="1043.022375"/>
    <n v="1.0461570538422065"/>
    <n v="3681.5"/>
    <n v="0"/>
  </r>
  <r>
    <s v="S00097"/>
    <d v="2024-03-01T00:00:00"/>
    <s v="R01"/>
    <x v="0"/>
    <s v="T01"/>
    <s v="REP01"/>
    <s v="P001"/>
    <n v="139"/>
    <n v="134348.66"/>
    <n v="9268.39"/>
    <n v="1430.67"/>
    <n v="123649.60000000001"/>
    <n v="131773.01"/>
    <x v="0"/>
    <x v="0"/>
    <n v="3"/>
    <n v="889.56546762589937"/>
    <n v="0.93835300567240587"/>
    <n v="-8123.4100000000035"/>
    <n v="8123.4100000000035"/>
  </r>
  <r>
    <s v="S00098"/>
    <d v="2024-03-01T00:00:00"/>
    <s v="R01"/>
    <x v="0"/>
    <s v="T01"/>
    <s v="REP01"/>
    <s v="P002"/>
    <n v="175"/>
    <n v="134079.79"/>
    <n v="7343.36"/>
    <n v="1540.42"/>
    <n v="125196.01"/>
    <n v="123317.46"/>
    <x v="1"/>
    <x v="0"/>
    <n v="3"/>
    <n v="715.40577142857137"/>
    <n v="1.0152334470722961"/>
    <n v="1878.5499999999884"/>
    <n v="0"/>
  </r>
  <r>
    <s v="S00099"/>
    <d v="2024-03-01T00:00:00"/>
    <s v="R01"/>
    <x v="0"/>
    <s v="T01"/>
    <s v="REP01"/>
    <s v="P003"/>
    <n v="215"/>
    <n v="133019.25"/>
    <n v="4802.6899999999996"/>
    <n v="570.47"/>
    <n v="127646.09"/>
    <n v="121424.94"/>
    <x v="2"/>
    <x v="0"/>
    <n v="3"/>
    <n v="593.70274418604652"/>
    <n v="1.0512345322138927"/>
    <n v="6221.1499999999942"/>
    <n v="0"/>
  </r>
  <r>
    <s v="S00100"/>
    <d v="2024-03-01T00:00:00"/>
    <s v="R01"/>
    <x v="0"/>
    <s v="T01"/>
    <s v="REP01"/>
    <s v="P004"/>
    <n v="115"/>
    <n v="126729.39"/>
    <n v="5286.97"/>
    <n v="890.23"/>
    <n v="120552.2"/>
    <n v="113773.43"/>
    <x v="3"/>
    <x v="0"/>
    <n v="3"/>
    <n v="1048.28"/>
    <n v="1.0595813099772065"/>
    <n v="6778.7700000000041"/>
    <n v="0"/>
  </r>
  <r>
    <s v="S00101"/>
    <d v="2024-03-01T00:00:00"/>
    <s v="R01"/>
    <x v="0"/>
    <s v="T02"/>
    <s v="REP02"/>
    <s v="P001"/>
    <n v="152"/>
    <n v="149364.13"/>
    <n v="9640.56"/>
    <n v="2029.86"/>
    <n v="137693.71"/>
    <n v="131035.61"/>
    <x v="0"/>
    <x v="0"/>
    <n v="3"/>
    <n v="905.87967105263158"/>
    <n v="1.0508113786779028"/>
    <n v="6658.0999999999913"/>
    <n v="0"/>
  </r>
  <r>
    <s v="S00102"/>
    <d v="2024-03-01T00:00:00"/>
    <s v="R01"/>
    <x v="0"/>
    <s v="T02"/>
    <s v="REP02"/>
    <s v="P002"/>
    <n v="179"/>
    <n v="137335.82"/>
    <n v="5742.56"/>
    <n v="1400.09"/>
    <n v="130193.17"/>
    <n v="125151.01"/>
    <x v="1"/>
    <x v="0"/>
    <n v="3"/>
    <n v="727.3361452513966"/>
    <n v="1.0402886081382803"/>
    <n v="5042.1600000000035"/>
    <n v="0"/>
  </r>
  <r>
    <s v="S00103"/>
    <d v="2024-03-01T00:00:00"/>
    <s v="R01"/>
    <x v="0"/>
    <s v="T02"/>
    <s v="REP02"/>
    <s v="P003"/>
    <n v="199"/>
    <n v="124550.42"/>
    <n v="5845.86"/>
    <n v="908.32"/>
    <n v="117796.25"/>
    <n v="123846.26"/>
    <x v="2"/>
    <x v="0"/>
    <n v="3"/>
    <n v="591.94095477386929"/>
    <n v="0.95114902944990032"/>
    <n v="-6050.0099999999948"/>
    <n v="6050.0099999999948"/>
  </r>
  <r>
    <s v="S00104"/>
    <d v="2024-03-01T00:00:00"/>
    <s v="R01"/>
    <x v="0"/>
    <s v="T02"/>
    <s v="REP02"/>
    <s v="P004"/>
    <n v="110"/>
    <n v="120928.71"/>
    <n v="6699.64"/>
    <n v="1482.98"/>
    <n v="112746.09"/>
    <n v="114999.72"/>
    <x v="3"/>
    <x v="0"/>
    <n v="3"/>
    <n v="1024.9644545454546"/>
    <n v="0.98040316967728269"/>
    <n v="-2253.6300000000047"/>
    <n v="2253.6300000000047"/>
  </r>
  <r>
    <s v="S00105"/>
    <d v="2024-03-01T00:00:00"/>
    <s v="R01"/>
    <x v="0"/>
    <s v="T03"/>
    <s v="REP03"/>
    <s v="P001"/>
    <n v="154"/>
    <n v="152277.13"/>
    <n v="8977.94"/>
    <n v="973.63"/>
    <n v="142325.57"/>
    <n v="144651.79999999999"/>
    <x v="0"/>
    <x v="0"/>
    <n v="3"/>
    <n v="924.19201298701307"/>
    <n v="0.98391841650086631"/>
    <n v="-2326.2299999999814"/>
    <n v="2326.2299999999814"/>
  </r>
  <r>
    <s v="S00106"/>
    <d v="2024-03-01T00:00:00"/>
    <s v="R01"/>
    <x v="0"/>
    <s v="T03"/>
    <s v="REP03"/>
    <s v="P002"/>
    <n v="181"/>
    <n v="138973.42000000001"/>
    <n v="6681.28"/>
    <n v="1921.84"/>
    <n v="130370.3"/>
    <n v="135318.20000000001"/>
    <x v="1"/>
    <x v="0"/>
    <n v="3"/>
    <n v="720.27790055248624"/>
    <n v="0.96343507377425941"/>
    <n v="-4947.9000000000087"/>
    <n v="4947.9000000000087"/>
  </r>
  <r>
    <s v="S00107"/>
    <d v="2024-03-01T00:00:00"/>
    <s v="R01"/>
    <x v="0"/>
    <s v="T03"/>
    <s v="REP03"/>
    <s v="P003"/>
    <n v="239"/>
    <n v="147054.39999999999"/>
    <n v="9873.59"/>
    <n v="1848.14"/>
    <n v="135332.67000000001"/>
    <n v="135074.09"/>
    <x v="2"/>
    <x v="0"/>
    <n v="3"/>
    <n v="566.24548117154814"/>
    <n v="1.0019143567800457"/>
    <n v="258.5800000000163"/>
    <n v="0"/>
  </r>
  <r>
    <s v="S00108"/>
    <d v="2024-03-01T00:00:00"/>
    <s v="R01"/>
    <x v="0"/>
    <s v="T03"/>
    <s v="REP03"/>
    <s v="P004"/>
    <n v="127"/>
    <n v="140499.81"/>
    <n v="6807.96"/>
    <n v="1939.39"/>
    <n v="131752.46"/>
    <n v="126372.19"/>
    <x v="3"/>
    <x v="0"/>
    <n v="3"/>
    <n v="1037.4209448818897"/>
    <n v="1.0425747943435972"/>
    <n v="5380.2699999999895"/>
    <n v="0"/>
  </r>
  <r>
    <s v="S00109"/>
    <d v="2024-03-01T00:00:00"/>
    <s v="R02"/>
    <x v="1"/>
    <s v="T04"/>
    <s v="REP04"/>
    <s v="P001"/>
    <n v="118"/>
    <n v="114540.62"/>
    <n v="4245.71"/>
    <n v="1094.26"/>
    <n v="109200.65"/>
    <n v="105284.58"/>
    <x v="0"/>
    <x v="0"/>
    <n v="3"/>
    <n v="925.4292372881356"/>
    <n v="1.0371950954261298"/>
    <n v="3916.0699999999924"/>
    <n v="0"/>
  </r>
  <r>
    <s v="S00110"/>
    <d v="2024-03-01T00:00:00"/>
    <s v="R02"/>
    <x v="1"/>
    <s v="T04"/>
    <s v="REP04"/>
    <s v="P002"/>
    <n v="137"/>
    <n v="103961.08"/>
    <n v="6000.69"/>
    <n v="1009.01"/>
    <n v="96951.39"/>
    <n v="100156.43"/>
    <x v="1"/>
    <x v="0"/>
    <n v="3"/>
    <n v="707.67437956204378"/>
    <n v="0.96799965813477984"/>
    <n v="-3205.0399999999936"/>
    <n v="3205.0399999999936"/>
  </r>
  <r>
    <s v="S00111"/>
    <d v="2024-03-01T00:00:00"/>
    <s v="R02"/>
    <x v="1"/>
    <s v="T04"/>
    <s v="REP04"/>
    <s v="P003"/>
    <n v="162"/>
    <n v="101944.9"/>
    <n v="6404.46"/>
    <n v="633.71"/>
    <n v="94906.73"/>
    <n v="98408.72"/>
    <x v="2"/>
    <x v="0"/>
    <n v="3"/>
    <n v="585.84401234567895"/>
    <n v="0.96441382430337463"/>
    <n v="-3501.9900000000052"/>
    <n v="3501.9900000000052"/>
  </r>
  <r>
    <s v="S00112"/>
    <d v="2024-03-01T00:00:00"/>
    <s v="R02"/>
    <x v="1"/>
    <s v="T04"/>
    <s v="REP04"/>
    <s v="P004"/>
    <n v="87"/>
    <n v="97121.84"/>
    <n v="5989.96"/>
    <n v="1079.6600000000001"/>
    <n v="90052.22"/>
    <n v="91296.6"/>
    <x v="3"/>
    <x v="0"/>
    <n v="3"/>
    <n v="1035.0829885057472"/>
    <n v="0.9863699195807949"/>
    <n v="-1244.3800000000047"/>
    <n v="1244.3800000000047"/>
  </r>
  <r>
    <s v="S00113"/>
    <d v="2024-03-01T00:00:00"/>
    <s v="R02"/>
    <x v="1"/>
    <s v="T05"/>
    <s v="REP05"/>
    <s v="P001"/>
    <n v="108"/>
    <n v="105280.46"/>
    <n v="5615.88"/>
    <n v="752.77"/>
    <n v="98911.8"/>
    <n v="94213.16"/>
    <x v="0"/>
    <x v="0"/>
    <n v="3"/>
    <n v="915.85"/>
    <n v="1.0498724382029008"/>
    <n v="4698.6399999999994"/>
    <n v="0"/>
  </r>
  <r>
    <s v="S00114"/>
    <d v="2024-03-01T00:00:00"/>
    <s v="R02"/>
    <x v="1"/>
    <s v="T05"/>
    <s v="REP05"/>
    <s v="P002"/>
    <n v="125"/>
    <n v="95052.88"/>
    <n v="6305.94"/>
    <n v="1119.6600000000001"/>
    <n v="87627.27"/>
    <n v="87349.29"/>
    <x v="1"/>
    <x v="0"/>
    <n v="3"/>
    <n v="701.01816000000008"/>
    <n v="1.0031823956439716"/>
    <n v="277.98000000001048"/>
    <n v="0"/>
  </r>
  <r>
    <s v="S00115"/>
    <d v="2024-03-01T00:00:00"/>
    <s v="R02"/>
    <x v="1"/>
    <s v="T05"/>
    <s v="REP05"/>
    <s v="P003"/>
    <n v="148"/>
    <n v="91948.94"/>
    <n v="4520.05"/>
    <n v="390.29"/>
    <n v="87038.6"/>
    <n v="87273.05"/>
    <x v="2"/>
    <x v="0"/>
    <n v="3"/>
    <n v="588.09864864864869"/>
    <n v="0.99731360368406974"/>
    <n v="-234.44999999999709"/>
    <n v="234.44999999999709"/>
  </r>
  <r>
    <s v="S00116"/>
    <d v="2024-03-01T00:00:00"/>
    <s v="R02"/>
    <x v="1"/>
    <s v="T05"/>
    <s v="REP05"/>
    <s v="P004"/>
    <n v="77"/>
    <n v="84819.62"/>
    <n v="5570.83"/>
    <n v="620.42999999999995"/>
    <n v="78628.36"/>
    <n v="80469.179999999993"/>
    <x v="3"/>
    <x v="0"/>
    <n v="3"/>
    <n v="1021.1475324675325"/>
    <n v="0.97712391253396647"/>
    <n v="-1840.8199999999924"/>
    <n v="1840.8199999999924"/>
  </r>
  <r>
    <s v="S00117"/>
    <d v="2024-03-01T00:00:00"/>
    <s v="R02"/>
    <x v="1"/>
    <s v="T06"/>
    <s v="REP06"/>
    <s v="P001"/>
    <n v="114"/>
    <n v="111793.06"/>
    <n v="4645.8599999999997"/>
    <n v="1161.29"/>
    <n v="105985.91"/>
    <n v="105743.51"/>
    <x v="0"/>
    <x v="0"/>
    <n v="3"/>
    <n v="929.70096491228071"/>
    <n v="1.0022923392650764"/>
    <n v="242.40000000000873"/>
    <n v="0"/>
  </r>
  <r>
    <s v="S00118"/>
    <d v="2024-03-01T00:00:00"/>
    <s v="R02"/>
    <x v="1"/>
    <s v="T06"/>
    <s v="REP06"/>
    <s v="P002"/>
    <n v="136"/>
    <n v="103814"/>
    <n v="7152.83"/>
    <n v="996.97"/>
    <n v="95664.2"/>
    <n v="100052.84"/>
    <x v="1"/>
    <x v="0"/>
    <n v="3"/>
    <n v="703.41323529411761"/>
    <n v="0.95613677732686053"/>
    <n v="-4388.6399999999994"/>
    <n v="4388.6399999999994"/>
  </r>
  <r>
    <s v="S00119"/>
    <d v="2024-03-01T00:00:00"/>
    <s v="R02"/>
    <x v="1"/>
    <s v="T06"/>
    <s v="REP06"/>
    <s v="P003"/>
    <n v="160"/>
    <n v="98348.75"/>
    <n v="6255.8"/>
    <n v="451.28"/>
    <n v="91641.66"/>
    <n v="98895.13"/>
    <x v="2"/>
    <x v="0"/>
    <n v="3"/>
    <n v="572.76037500000007"/>
    <n v="0.92665493235106722"/>
    <n v="-7253.4700000000012"/>
    <n v="7253.4700000000012"/>
  </r>
  <r>
    <s v="S00120"/>
    <d v="2024-03-01T00:00:00"/>
    <s v="R02"/>
    <x v="1"/>
    <s v="T06"/>
    <s v="REP06"/>
    <s v="P004"/>
    <n v="92"/>
    <n v="100561.14"/>
    <n v="7272.3"/>
    <n v="1396.61"/>
    <n v="91892.23"/>
    <n v="91631.32"/>
    <x v="3"/>
    <x v="0"/>
    <n v="3"/>
    <n v="998.82858695652169"/>
    <n v="1.002847388862236"/>
    <n v="260.90999999998894"/>
    <n v="0"/>
  </r>
  <r>
    <s v="S00121"/>
    <d v="2024-03-01T00:00:00"/>
    <s v="R03"/>
    <x v="2"/>
    <s v="T07"/>
    <s v="REP07"/>
    <s v="P001"/>
    <n v="116"/>
    <n v="114096.17"/>
    <n v="5011.51"/>
    <n v="915.55"/>
    <n v="108169.11"/>
    <n v="105753.21"/>
    <x v="0"/>
    <x v="0"/>
    <n v="3"/>
    <n v="932.4923275862069"/>
    <n v="1.0228446966290667"/>
    <n v="2415.8999999999942"/>
    <n v="0"/>
  </r>
  <r>
    <s v="S00122"/>
    <d v="2024-03-01T00:00:00"/>
    <s v="R03"/>
    <x v="2"/>
    <s v="T07"/>
    <s v="REP07"/>
    <s v="P002"/>
    <n v="135"/>
    <n v="102723.05"/>
    <n v="5449.29"/>
    <n v="655.38"/>
    <n v="96618.38"/>
    <n v="97917.47"/>
    <x v="1"/>
    <x v="0"/>
    <n v="3"/>
    <n v="715.69170370370375"/>
    <n v="0.98673280671978147"/>
    <n v="-1299.0899999999965"/>
    <n v="1299.0899999999965"/>
  </r>
  <r>
    <s v="S00123"/>
    <d v="2024-03-01T00:00:00"/>
    <s v="R03"/>
    <x v="2"/>
    <s v="T07"/>
    <s v="REP07"/>
    <s v="P003"/>
    <n v="165"/>
    <n v="103515.72"/>
    <n v="5180.22"/>
    <n v="572.04999999999995"/>
    <n v="97763.45"/>
    <n v="98665.05"/>
    <x v="2"/>
    <x v="0"/>
    <n v="3"/>
    <n v="592.50575757575757"/>
    <n v="0.99086201243500094"/>
    <n v="-901.60000000000582"/>
    <n v="901.60000000000582"/>
  </r>
  <r>
    <s v="S00124"/>
    <d v="2024-03-01T00:00:00"/>
    <s v="R03"/>
    <x v="2"/>
    <s v="T07"/>
    <s v="REP07"/>
    <s v="P004"/>
    <n v="85"/>
    <n v="92461.33"/>
    <n v="4737.49"/>
    <n v="1109.3"/>
    <n v="86614.55"/>
    <n v="90902.26"/>
    <x v="3"/>
    <x v="0"/>
    <n v="3"/>
    <n v="1018.9947058823529"/>
    <n v="0.95283164576986323"/>
    <n v="-4287.7099999999919"/>
    <n v="4287.7099999999919"/>
  </r>
  <r>
    <s v="S00125"/>
    <d v="2024-03-01T00:00:00"/>
    <s v="R03"/>
    <x v="2"/>
    <s v="T08"/>
    <s v="REP08"/>
    <s v="P001"/>
    <n v="113"/>
    <n v="111830.39"/>
    <n v="7114.92"/>
    <n v="1100.9000000000001"/>
    <n v="103614.56"/>
    <n v="105455.73"/>
    <x v="0"/>
    <x v="0"/>
    <n v="3"/>
    <n v="916.94300884955749"/>
    <n v="0.98254082542503851"/>
    <n v="-1841.1699999999983"/>
    <n v="1841.1699999999983"/>
  </r>
  <r>
    <s v="S00126"/>
    <d v="2024-03-01T00:00:00"/>
    <s v="R03"/>
    <x v="2"/>
    <s v="T08"/>
    <s v="REP08"/>
    <s v="P002"/>
    <n v="140"/>
    <n v="107193.96"/>
    <n v="5191.3500000000004"/>
    <n v="542.17999999999995"/>
    <n v="101460.44"/>
    <n v="98844.99"/>
    <x v="1"/>
    <x v="0"/>
    <n v="3"/>
    <n v="724.71742857142863"/>
    <n v="1.0264601169973309"/>
    <n v="2615.4499999999971"/>
    <n v="0"/>
  </r>
  <r>
    <s v="S00127"/>
    <d v="2024-03-01T00:00:00"/>
    <s v="R03"/>
    <x v="2"/>
    <s v="T08"/>
    <s v="REP08"/>
    <s v="P003"/>
    <n v="167"/>
    <n v="104159.85"/>
    <n v="6419.91"/>
    <n v="514.73"/>
    <n v="97225.2"/>
    <n v="97642.51"/>
    <x v="2"/>
    <x v="0"/>
    <n v="3"/>
    <n v="582.18682634730533"/>
    <n v="0.99572614427875727"/>
    <n v="-417.30999999999767"/>
    <n v="417.30999999999767"/>
  </r>
  <r>
    <s v="S00128"/>
    <d v="2024-03-01T00:00:00"/>
    <s v="R03"/>
    <x v="2"/>
    <s v="T08"/>
    <s v="REP08"/>
    <s v="P004"/>
    <n v="88"/>
    <n v="95437.03"/>
    <n v="6214.19"/>
    <n v="998.92"/>
    <n v="88223.92"/>
    <n v="91939.35"/>
    <x v="3"/>
    <x v="0"/>
    <n v="3"/>
    <n v="1002.5445454545454"/>
    <n v="0.95958825029761463"/>
    <n v="-3715.4300000000076"/>
    <n v="3715.4300000000076"/>
  </r>
  <r>
    <s v="S00129"/>
    <d v="2024-03-01T00:00:00"/>
    <s v="R03"/>
    <x v="2"/>
    <s v="T09"/>
    <s v="REP09"/>
    <s v="P001"/>
    <n v="123"/>
    <n v="118860.62"/>
    <n v="7584.48"/>
    <n v="1400.27"/>
    <n v="109875.87"/>
    <n v="109952.61"/>
    <x v="0"/>
    <x v="0"/>
    <n v="3"/>
    <n v="893.29975609756093"/>
    <n v="0.99930206295239377"/>
    <n v="-76.740000000005239"/>
    <n v="76.740000000005239"/>
  </r>
  <r>
    <s v="S00130"/>
    <d v="2024-03-01T00:00:00"/>
    <s v="R03"/>
    <x v="2"/>
    <s v="T09"/>
    <s v="REP09"/>
    <s v="P002"/>
    <n v="151"/>
    <n v="113706.59"/>
    <n v="7700.94"/>
    <n v="823"/>
    <n v="105182.65"/>
    <n v="101067.02"/>
    <x v="1"/>
    <x v="0"/>
    <n v="3"/>
    <n v="696.57384105960261"/>
    <n v="1.0407217903525798"/>
    <n v="4115.6299999999901"/>
    <n v="0"/>
  </r>
  <r>
    <s v="S00131"/>
    <d v="2024-03-01T00:00:00"/>
    <s v="R03"/>
    <x v="2"/>
    <s v="T09"/>
    <s v="REP09"/>
    <s v="P003"/>
    <n v="182"/>
    <n v="113588.88"/>
    <n v="7637.43"/>
    <n v="891.88"/>
    <n v="105059.57"/>
    <n v="102156.94"/>
    <x v="2"/>
    <x v="0"/>
    <n v="3"/>
    <n v="577.25038461538463"/>
    <n v="1.0284134391652686"/>
    <n v="2902.6300000000047"/>
    <n v="0"/>
  </r>
  <r>
    <s v="S00132"/>
    <d v="2024-03-01T00:00:00"/>
    <s v="R03"/>
    <x v="2"/>
    <s v="T09"/>
    <s v="REP09"/>
    <s v="P004"/>
    <n v="94"/>
    <n v="102398.25"/>
    <n v="6108.91"/>
    <n v="670.92"/>
    <n v="95618.42"/>
    <n v="93981.75"/>
    <x v="3"/>
    <x v="0"/>
    <n v="3"/>
    <n v="1017.2172340425532"/>
    <n v="1.0174147640366347"/>
    <n v="1636.6699999999983"/>
    <n v="0"/>
  </r>
  <r>
    <s v="S00133"/>
    <d v="2024-03-01T00:00:00"/>
    <s v="R04"/>
    <x v="3"/>
    <s v="T10"/>
    <s v="REP10"/>
    <s v="P001"/>
    <n v="90"/>
    <n v="89344.27"/>
    <n v="5102.0600000000004"/>
    <n v="599.19000000000005"/>
    <n v="83643.02"/>
    <n v="85251.41"/>
    <x v="0"/>
    <x v="0"/>
    <n v="3"/>
    <n v="929.36688888888898"/>
    <n v="0.98113356717501798"/>
    <n v="-1608.3899999999994"/>
    <n v="1608.3899999999994"/>
  </r>
  <r>
    <s v="S00134"/>
    <d v="2024-03-01T00:00:00"/>
    <s v="R04"/>
    <x v="3"/>
    <s v="T10"/>
    <s v="REP10"/>
    <s v="P002"/>
    <n v="113"/>
    <n v="86192.52"/>
    <n v="5563.91"/>
    <n v="1078.83"/>
    <n v="79549.78"/>
    <n v="81539.149999999994"/>
    <x v="1"/>
    <x v="0"/>
    <n v="3"/>
    <n v="703.98035398230093"/>
    <n v="0.97560227203742012"/>
    <n v="-1989.3699999999953"/>
    <n v="1989.3699999999953"/>
  </r>
  <r>
    <s v="S00135"/>
    <d v="2024-03-01T00:00:00"/>
    <s v="R04"/>
    <x v="3"/>
    <s v="T10"/>
    <s v="REP10"/>
    <s v="P003"/>
    <n v="135"/>
    <n v="83963.56"/>
    <n v="3926.01"/>
    <n v="996.36"/>
    <n v="79041.19"/>
    <n v="79701.89"/>
    <x v="2"/>
    <x v="0"/>
    <n v="3"/>
    <n v="585.49029629629626"/>
    <n v="0.99171035969159582"/>
    <n v="-660.69999999999709"/>
    <n v="660.69999999999709"/>
  </r>
  <r>
    <s v="S00136"/>
    <d v="2024-03-01T00:00:00"/>
    <s v="R04"/>
    <x v="3"/>
    <s v="T10"/>
    <s v="REP10"/>
    <s v="P004"/>
    <n v="74"/>
    <n v="81056.3"/>
    <n v="4893.5200000000004"/>
    <n v="372.01"/>
    <n v="75790.77"/>
    <n v="73921.02"/>
    <x v="3"/>
    <x v="0"/>
    <n v="3"/>
    <n v="1024.1995945945946"/>
    <n v="1.0252938879901821"/>
    <n v="1869.75"/>
    <n v="0"/>
  </r>
  <r>
    <s v="S00137"/>
    <d v="2024-03-01T00:00:00"/>
    <s v="R04"/>
    <x v="3"/>
    <s v="T11"/>
    <s v="REP11"/>
    <s v="P001"/>
    <n v="95"/>
    <n v="93930.59"/>
    <n v="3506.06"/>
    <n v="1264.26"/>
    <n v="89160.27"/>
    <n v="86640.34"/>
    <x v="0"/>
    <x v="0"/>
    <n v="3"/>
    <n v="938.52915789473684"/>
    <n v="1.0290849504976551"/>
    <n v="2519.9300000000076"/>
    <n v="0"/>
  </r>
  <r>
    <s v="S00138"/>
    <d v="2024-03-01T00:00:00"/>
    <s v="R04"/>
    <x v="3"/>
    <s v="T11"/>
    <s v="REP11"/>
    <s v="P002"/>
    <n v="115"/>
    <n v="86855.24"/>
    <n v="5653.39"/>
    <n v="621.16"/>
    <n v="80580.69"/>
    <n v="80846.14"/>
    <x v="1"/>
    <x v="0"/>
    <n v="3"/>
    <n v="700.70165217391309"/>
    <n v="0.9967166026726817"/>
    <n v="-265.44999999999709"/>
    <n v="265.44999999999709"/>
  </r>
  <r>
    <s v="S00139"/>
    <d v="2024-03-01T00:00:00"/>
    <s v="R04"/>
    <x v="3"/>
    <s v="T11"/>
    <s v="REP11"/>
    <s v="P003"/>
    <n v="130"/>
    <n v="79475.59"/>
    <n v="5738.59"/>
    <n v="793.76"/>
    <n v="72943.25"/>
    <n v="79146.25"/>
    <x v="2"/>
    <x v="0"/>
    <n v="3"/>
    <n v="561.10192307692307"/>
    <n v="0.92162610357407959"/>
    <n v="-6203"/>
    <n v="6203"/>
  </r>
  <r>
    <s v="S00140"/>
    <d v="2024-03-01T00:00:00"/>
    <s v="R04"/>
    <x v="3"/>
    <s v="T11"/>
    <s v="REP11"/>
    <s v="P004"/>
    <n v="69"/>
    <n v="75630.53"/>
    <n v="5558.28"/>
    <n v="338.83"/>
    <n v="69733.41"/>
    <n v="74397.37"/>
    <x v="3"/>
    <x v="0"/>
    <n v="3"/>
    <n v="1010.6291304347826"/>
    <n v="0.93731014953888836"/>
    <n v="-4663.9599999999919"/>
    <n v="4663.9599999999919"/>
  </r>
  <r>
    <s v="S00141"/>
    <d v="2024-03-01T00:00:00"/>
    <s v="R04"/>
    <x v="3"/>
    <s v="T12"/>
    <s v="REP12"/>
    <s v="P001"/>
    <n v="101"/>
    <n v="98666.68"/>
    <n v="5177.74"/>
    <n v="945.66"/>
    <n v="92543.28"/>
    <n v="96585.41"/>
    <x v="0"/>
    <x v="0"/>
    <n v="3"/>
    <n v="916.27009900990095"/>
    <n v="0.95814968326996797"/>
    <n v="-4042.1300000000047"/>
    <n v="4042.1300000000047"/>
  </r>
  <r>
    <s v="S00142"/>
    <d v="2024-03-01T00:00:00"/>
    <s v="R04"/>
    <x v="3"/>
    <s v="T12"/>
    <s v="REP12"/>
    <s v="P002"/>
    <n v="123"/>
    <n v="93867.56"/>
    <n v="6577.08"/>
    <n v="1098.8499999999999"/>
    <n v="86191.62"/>
    <n v="89597.48"/>
    <x v="1"/>
    <x v="0"/>
    <n v="3"/>
    <n v="700.74487804878049"/>
    <n v="0.96198710053005954"/>
    <n v="-3405.8600000000006"/>
    <n v="3405.8600000000006"/>
  </r>
  <r>
    <s v="S00143"/>
    <d v="2024-03-01T00:00:00"/>
    <s v="R04"/>
    <x v="3"/>
    <s v="T12"/>
    <s v="REP12"/>
    <s v="P003"/>
    <n v="151"/>
    <n v="93091.11"/>
    <n v="6829.05"/>
    <n v="1125.8399999999999"/>
    <n v="85136.22"/>
    <n v="90641.31"/>
    <x v="2"/>
    <x v="0"/>
    <n v="3"/>
    <n v="563.81602649006618"/>
    <n v="0.93926510991511492"/>
    <n v="-5505.0899999999965"/>
    <n v="5505.0899999999965"/>
  </r>
  <r>
    <s v="S00144"/>
    <d v="2024-03-01T00:00:00"/>
    <s v="R04"/>
    <x v="3"/>
    <s v="T12"/>
    <s v="REP12"/>
    <s v="P004"/>
    <n v="76"/>
    <n v="83491.58"/>
    <n v="4181.2299999999996"/>
    <n v="397.32"/>
    <n v="78913.02"/>
    <n v="83550.37"/>
    <x v="3"/>
    <x v="0"/>
    <n v="3"/>
    <n v="1038.3292105263158"/>
    <n v="0.94449635591081171"/>
    <n v="-4637.3499999999913"/>
    <n v="4637.3499999999913"/>
  </r>
  <r>
    <s v="S00145"/>
    <d v="2024-04-01T00:00:00"/>
    <s v="R01"/>
    <x v="0"/>
    <s v="T01"/>
    <s v="REP01"/>
    <s v="P001"/>
    <n v="155"/>
    <n v="153113.03"/>
    <n v="7358.74"/>
    <n v="1625.68"/>
    <n v="144128.60999999999"/>
    <n v="136387"/>
    <x v="0"/>
    <x v="0"/>
    <n v="4"/>
    <n v="929.86199999999997"/>
    <n v="1.0567620814300482"/>
    <n v="7741.609999999986"/>
    <n v="0"/>
  </r>
  <r>
    <s v="S00146"/>
    <d v="2024-04-01T00:00:00"/>
    <s v="R01"/>
    <x v="0"/>
    <s v="T01"/>
    <s v="REP01"/>
    <s v="P002"/>
    <n v="175"/>
    <n v="132801.66"/>
    <n v="5940.5"/>
    <n v="1096.69"/>
    <n v="125764.47"/>
    <n v="128899.15"/>
    <x v="1"/>
    <x v="0"/>
    <n v="4"/>
    <n v="718.65411428571429"/>
    <n v="0.97568114297107478"/>
    <n v="-3134.679999999993"/>
    <n v="3134.679999999993"/>
  </r>
  <r>
    <s v="S00147"/>
    <d v="2024-04-01T00:00:00"/>
    <s v="R01"/>
    <x v="0"/>
    <s v="T01"/>
    <s v="REP01"/>
    <s v="P003"/>
    <n v="216"/>
    <n v="132665.26999999999"/>
    <n v="5350.41"/>
    <n v="1680.66"/>
    <n v="125634.19"/>
    <n v="125537.01"/>
    <x v="2"/>
    <x v="0"/>
    <n v="4"/>
    <n v="581.63976851851851"/>
    <n v="1.0007741143428539"/>
    <n v="97.180000000007567"/>
    <n v="0"/>
  </r>
  <r>
    <s v="S00148"/>
    <d v="2024-04-01T00:00:00"/>
    <s v="R01"/>
    <x v="0"/>
    <s v="T01"/>
    <s v="REP01"/>
    <s v="P004"/>
    <n v="116"/>
    <n v="127295.54"/>
    <n v="7948.48"/>
    <n v="1176.31"/>
    <n v="118170.76"/>
    <n v="117970.72"/>
    <x v="3"/>
    <x v="0"/>
    <n v="4"/>
    <n v="1018.713448275862"/>
    <n v="1.0016956749946089"/>
    <n v="200.0399999999936"/>
    <n v="0"/>
  </r>
  <r>
    <s v="S00149"/>
    <d v="2024-04-01T00:00:00"/>
    <s v="R01"/>
    <x v="0"/>
    <s v="T02"/>
    <s v="REP02"/>
    <s v="P001"/>
    <n v="141"/>
    <n v="140018.42000000001"/>
    <n v="8718.65"/>
    <n v="1211.07"/>
    <n v="130088.7"/>
    <n v="136433.46"/>
    <x v="0"/>
    <x v="0"/>
    <n v="4"/>
    <n v="922.61489361702127"/>
    <n v="0.953495572127248"/>
    <n v="-6344.7599999999948"/>
    <n v="6344.7599999999948"/>
  </r>
  <r>
    <s v="S00150"/>
    <d v="2024-04-01T00:00:00"/>
    <s v="R01"/>
    <x v="0"/>
    <s v="T02"/>
    <s v="REP02"/>
    <s v="P002"/>
    <n v="183"/>
    <n v="139670.43"/>
    <n v="7581.2"/>
    <n v="789.19"/>
    <n v="131300.04"/>
    <n v="128440.03"/>
    <x v="1"/>
    <x v="0"/>
    <n v="4"/>
    <n v="717.48655737704928"/>
    <n v="1.0222672791340832"/>
    <n v="2860.0100000000093"/>
    <n v="0"/>
  </r>
  <r>
    <s v="S00151"/>
    <d v="2024-04-01T00:00:00"/>
    <s v="R01"/>
    <x v="0"/>
    <s v="T02"/>
    <s v="REP02"/>
    <s v="P003"/>
    <n v="212"/>
    <n v="132954.97"/>
    <n v="5149.18"/>
    <n v="1684.34"/>
    <n v="126121.46"/>
    <n v="127494.28"/>
    <x v="2"/>
    <x v="0"/>
    <n v="4"/>
    <n v="594.91254716981132"/>
    <n v="0.98923230124520101"/>
    <n v="-1372.8199999999924"/>
    <n v="1372.8199999999924"/>
  </r>
  <r>
    <s v="S00152"/>
    <d v="2024-04-01T00:00:00"/>
    <s v="R01"/>
    <x v="0"/>
    <s v="T02"/>
    <s v="REP02"/>
    <s v="P004"/>
    <n v="118"/>
    <n v="129915.37"/>
    <n v="5620.27"/>
    <n v="625.96"/>
    <n v="123669.14"/>
    <n v="119204.73"/>
    <x v="3"/>
    <x v="0"/>
    <n v="4"/>
    <n v="1048.0435593220338"/>
    <n v="1.0374516179014037"/>
    <n v="4464.4100000000035"/>
    <n v="0"/>
  </r>
  <r>
    <s v="S00153"/>
    <d v="2024-04-01T00:00:00"/>
    <s v="R01"/>
    <x v="0"/>
    <s v="T03"/>
    <s v="REP03"/>
    <s v="P001"/>
    <n v="164"/>
    <n v="159065.21"/>
    <n v="11845.77"/>
    <n v="1440.69"/>
    <n v="145778.75"/>
    <n v="149809.17000000001"/>
    <x v="0"/>
    <x v="0"/>
    <n v="4"/>
    <n v="888.89481707317077"/>
    <n v="0.97309630645440459"/>
    <n v="-4030.4200000000128"/>
    <n v="4030.4200000000128"/>
  </r>
  <r>
    <s v="S00154"/>
    <d v="2024-04-01T00:00:00"/>
    <s v="R01"/>
    <x v="0"/>
    <s v="T03"/>
    <s v="REP03"/>
    <s v="P002"/>
    <n v="200"/>
    <n v="150283.18"/>
    <n v="9004.58"/>
    <n v="2044.16"/>
    <n v="139234.44"/>
    <n v="141303.57"/>
    <x v="1"/>
    <x v="0"/>
    <n v="4"/>
    <n v="696.17219999999998"/>
    <n v="0.9853568455489129"/>
    <n v="-2069.1300000000047"/>
    <n v="2069.1300000000047"/>
  </r>
  <r>
    <s v="S00155"/>
    <d v="2024-04-01T00:00:00"/>
    <s v="R01"/>
    <x v="0"/>
    <s v="T03"/>
    <s v="REP03"/>
    <s v="P003"/>
    <n v="226"/>
    <n v="140063.06"/>
    <n v="10443.82"/>
    <n v="620.30999999999995"/>
    <n v="128998.94"/>
    <n v="140205.34"/>
    <x v="2"/>
    <x v="0"/>
    <n v="4"/>
    <n v="570.79176991150439"/>
    <n v="0.92007151796072817"/>
    <n v="-11206.399999999994"/>
    <n v="11206.399999999994"/>
  </r>
  <r>
    <s v="S00156"/>
    <d v="2024-04-01T00:00:00"/>
    <s v="R01"/>
    <x v="0"/>
    <s v="T03"/>
    <s v="REP03"/>
    <s v="P004"/>
    <n v="122"/>
    <n v="134499.47"/>
    <n v="5461.91"/>
    <n v="1863.13"/>
    <n v="127174.42"/>
    <n v="130383.8"/>
    <x v="3"/>
    <x v="0"/>
    <n v="4"/>
    <n v="1042.4132786885245"/>
    <n v="0.97538513220200662"/>
    <n v="-3209.3800000000047"/>
    <n v="3209.3800000000047"/>
  </r>
  <r>
    <s v="S00157"/>
    <d v="2024-04-01T00:00:00"/>
    <s v="R02"/>
    <x v="1"/>
    <s v="T04"/>
    <s v="REP04"/>
    <s v="P001"/>
    <n v="125"/>
    <n v="122770.98"/>
    <n v="7616.89"/>
    <n v="1005.02"/>
    <n v="114149.07"/>
    <n v="108077.95"/>
    <x v="0"/>
    <x v="0"/>
    <n v="4"/>
    <n v="913.19256000000007"/>
    <n v="1.0561735303084487"/>
    <n v="6071.1200000000099"/>
    <n v="0"/>
  </r>
  <r>
    <s v="S00158"/>
    <d v="2024-04-01T00:00:00"/>
    <s v="R02"/>
    <x v="1"/>
    <s v="T04"/>
    <s v="REP04"/>
    <s v="P002"/>
    <n v="138"/>
    <n v="105502.02"/>
    <n v="5575.05"/>
    <n v="1395.54"/>
    <n v="98531.43"/>
    <n v="104018.35"/>
    <x v="1"/>
    <x v="0"/>
    <n v="4"/>
    <n v="713.99586956521739"/>
    <n v="0.94725046109652755"/>
    <n v="-5486.9200000000128"/>
    <n v="5486.9200000000128"/>
  </r>
  <r>
    <s v="S00159"/>
    <d v="2024-04-01T00:00:00"/>
    <s v="R02"/>
    <x v="1"/>
    <s v="T04"/>
    <s v="REP04"/>
    <s v="P003"/>
    <n v="176"/>
    <n v="110019.92"/>
    <n v="4742.08"/>
    <n v="1024.22"/>
    <n v="104253.62"/>
    <n v="100460.21"/>
    <x v="2"/>
    <x v="0"/>
    <n v="4"/>
    <n v="592.35011363636363"/>
    <n v="1.0377603232165251"/>
    <n v="3793.4099999999889"/>
    <n v="0"/>
  </r>
  <r>
    <s v="S00160"/>
    <d v="2024-04-01T00:00:00"/>
    <s v="R02"/>
    <x v="1"/>
    <s v="T04"/>
    <s v="REP04"/>
    <s v="P004"/>
    <n v="95"/>
    <n v="103782.18"/>
    <n v="5916.3"/>
    <n v="1312.35"/>
    <n v="96553.53"/>
    <n v="94334.62"/>
    <x v="3"/>
    <x v="0"/>
    <n v="4"/>
    <n v="1016.352947368421"/>
    <n v="1.0235216933083529"/>
    <n v="2218.9100000000035"/>
    <n v="0"/>
  </r>
  <r>
    <s v="S00161"/>
    <d v="2024-04-01T00:00:00"/>
    <s v="R02"/>
    <x v="1"/>
    <s v="T05"/>
    <s v="REP05"/>
    <s v="P001"/>
    <n v="106"/>
    <n v="102607.51"/>
    <n v="3649.68"/>
    <n v="497.9"/>
    <n v="98459.92"/>
    <n v="97274.41"/>
    <x v="0"/>
    <x v="0"/>
    <n v="4"/>
    <n v="928.86716981132076"/>
    <n v="1.0121872751528382"/>
    <n v="1185.5099999999948"/>
    <n v="0"/>
  </r>
  <r>
    <s v="S00162"/>
    <d v="2024-04-01T00:00:00"/>
    <s v="R02"/>
    <x v="1"/>
    <s v="T05"/>
    <s v="REP05"/>
    <s v="P002"/>
    <n v="132"/>
    <n v="100130.8"/>
    <n v="6644.82"/>
    <n v="595.30999999999995"/>
    <n v="92890.67"/>
    <n v="92036.08"/>
    <x v="1"/>
    <x v="0"/>
    <n v="4"/>
    <n v="703.71719696969694"/>
    <n v="1.0092853802552215"/>
    <n v="854.58999999999651"/>
    <n v="0"/>
  </r>
  <r>
    <s v="S00163"/>
    <d v="2024-04-01T00:00:00"/>
    <s v="R02"/>
    <x v="1"/>
    <s v="T05"/>
    <s v="REP05"/>
    <s v="P003"/>
    <n v="157"/>
    <n v="98063.84"/>
    <n v="5606.24"/>
    <n v="1161.78"/>
    <n v="91295.82"/>
    <n v="90186.63"/>
    <x v="2"/>
    <x v="0"/>
    <n v="4"/>
    <n v="581.50203821656055"/>
    <n v="1.012298829660228"/>
    <n v="1109.1900000000023"/>
    <n v="0"/>
  </r>
  <r>
    <s v="S00164"/>
    <d v="2024-04-01T00:00:00"/>
    <s v="R02"/>
    <x v="1"/>
    <s v="T05"/>
    <s v="REP05"/>
    <s v="P004"/>
    <n v="81"/>
    <n v="88541.26"/>
    <n v="3812.56"/>
    <n v="687.66"/>
    <n v="84041.04"/>
    <n v="84419.520000000004"/>
    <x v="3"/>
    <x v="0"/>
    <n v="4"/>
    <n v="1037.5437037037036"/>
    <n v="0.99551667671173671"/>
    <n v="-378.48000000001048"/>
    <n v="378.48000000001048"/>
  </r>
  <r>
    <s v="S00165"/>
    <d v="2024-04-01T00:00:00"/>
    <s v="R02"/>
    <x v="1"/>
    <s v="T06"/>
    <s v="REP06"/>
    <s v="P001"/>
    <n v="122"/>
    <n v="117801.08"/>
    <n v="6024.84"/>
    <n v="1141.54"/>
    <n v="110634.7"/>
    <n v="109901.95"/>
    <x v="0"/>
    <x v="0"/>
    <n v="4"/>
    <n v="906.84180327868853"/>
    <n v="1.006667306631047"/>
    <n v="732.75"/>
    <n v="0"/>
  </r>
  <r>
    <s v="S00166"/>
    <d v="2024-04-01T00:00:00"/>
    <s v="R02"/>
    <x v="1"/>
    <s v="T06"/>
    <s v="REP06"/>
    <s v="P002"/>
    <n v="148"/>
    <n v="111065.42"/>
    <n v="6361.54"/>
    <n v="1156.3"/>
    <n v="103547.58"/>
    <n v="101789.32"/>
    <x v="1"/>
    <x v="0"/>
    <n v="4"/>
    <n v="699.64581081081087"/>
    <n v="1.0172735214264128"/>
    <n v="1758.2599999999948"/>
    <n v="0"/>
  </r>
  <r>
    <s v="S00167"/>
    <d v="2024-04-01T00:00:00"/>
    <s v="R02"/>
    <x v="1"/>
    <s v="T06"/>
    <s v="REP06"/>
    <s v="P003"/>
    <n v="169"/>
    <n v="105951.03999999999"/>
    <n v="7613.7"/>
    <n v="674.02"/>
    <n v="97663.31"/>
    <n v="100739.76"/>
    <x v="2"/>
    <x v="0"/>
    <n v="4"/>
    <n v="577.8894082840236"/>
    <n v="0.96946141225668991"/>
    <n v="-3076.4499999999971"/>
    <n v="3076.4499999999971"/>
  </r>
  <r>
    <s v="S00168"/>
    <d v="2024-04-01T00:00:00"/>
    <s v="R02"/>
    <x v="1"/>
    <s v="T06"/>
    <s v="REP06"/>
    <s v="P004"/>
    <n v="90"/>
    <n v="99923.66"/>
    <n v="6346.8"/>
    <n v="575.41"/>
    <n v="93001.45"/>
    <n v="93539.69"/>
    <x v="3"/>
    <x v="0"/>
    <n v="4"/>
    <n v="1033.3494444444443"/>
    <n v="0.99424586504402568"/>
    <n v="-538.24000000000524"/>
    <n v="538.24000000000524"/>
  </r>
  <r>
    <s v="S00169"/>
    <d v="2024-04-01T00:00:00"/>
    <s v="R03"/>
    <x v="2"/>
    <s v="T07"/>
    <s v="REP07"/>
    <s v="P001"/>
    <n v="123"/>
    <n v="120562.68"/>
    <n v="6189.62"/>
    <n v="1448.05"/>
    <n v="112925.01"/>
    <n v="108717.36"/>
    <x v="0"/>
    <x v="0"/>
    <n v="4"/>
    <n v="918.08951219512187"/>
    <n v="1.03870265061624"/>
    <n v="4207.6499999999942"/>
    <n v="0"/>
  </r>
  <r>
    <s v="S00170"/>
    <d v="2024-04-01T00:00:00"/>
    <s v="R03"/>
    <x v="2"/>
    <s v="T07"/>
    <s v="REP07"/>
    <s v="P002"/>
    <n v="143"/>
    <n v="107527.98"/>
    <n v="5439.34"/>
    <n v="1203.24"/>
    <n v="100885.4"/>
    <n v="101693.2"/>
    <x v="1"/>
    <x v="0"/>
    <n v="4"/>
    <n v="705.49230769230769"/>
    <n v="0.9920564993529557"/>
    <n v="-807.80000000000291"/>
    <n v="807.80000000000291"/>
  </r>
  <r>
    <s v="S00171"/>
    <d v="2024-04-01T00:00:00"/>
    <s v="R03"/>
    <x v="2"/>
    <s v="T07"/>
    <s v="REP07"/>
    <s v="P003"/>
    <n v="174"/>
    <n v="106766.22"/>
    <n v="3800.16"/>
    <n v="1293.52"/>
    <n v="101672.54"/>
    <n v="99974.19"/>
    <x v="2"/>
    <x v="0"/>
    <n v="4"/>
    <n v="584.32494252873562"/>
    <n v="1.0169878845730083"/>
    <n v="1698.3499999999913"/>
    <n v="0"/>
  </r>
  <r>
    <s v="S00172"/>
    <d v="2024-04-01T00:00:00"/>
    <s v="R03"/>
    <x v="2"/>
    <s v="T07"/>
    <s v="REP07"/>
    <s v="P004"/>
    <n v="88"/>
    <n v="98230.18"/>
    <n v="3586.42"/>
    <n v="472.01"/>
    <n v="94171.75"/>
    <n v="94872.7"/>
    <x v="3"/>
    <x v="0"/>
    <n v="4"/>
    <n v="1070.1335227272727"/>
    <n v="0.99261167859668797"/>
    <n v="-700.94999999999709"/>
    <n v="700.94999999999709"/>
  </r>
  <r>
    <s v="S00173"/>
    <d v="2024-04-01T00:00:00"/>
    <s v="R03"/>
    <x v="2"/>
    <s v="T08"/>
    <s v="REP08"/>
    <s v="P001"/>
    <n v="114"/>
    <n v="110895.11"/>
    <n v="4342.3999999999996"/>
    <n v="854.69"/>
    <n v="105698.03"/>
    <n v="111022.17"/>
    <x v="0"/>
    <x v="0"/>
    <n v="4"/>
    <n v="927.17570175438595"/>
    <n v="0.95204435294320044"/>
    <n v="-5324.1399999999994"/>
    <n v="5324.1399999999994"/>
  </r>
  <r>
    <s v="S00174"/>
    <d v="2024-04-01T00:00:00"/>
    <s v="R03"/>
    <x v="2"/>
    <s v="T08"/>
    <s v="REP08"/>
    <s v="P002"/>
    <n v="150"/>
    <n v="114128.79"/>
    <n v="5094.59"/>
    <n v="1192.67"/>
    <n v="107841.53"/>
    <n v="103526.55"/>
    <x v="1"/>
    <x v="0"/>
    <n v="4"/>
    <n v="718.94353333333333"/>
    <n v="1.0416799362096003"/>
    <n v="4314.9799999999959"/>
    <n v="0"/>
  </r>
  <r>
    <s v="S00175"/>
    <d v="2024-04-01T00:00:00"/>
    <s v="R03"/>
    <x v="2"/>
    <s v="T08"/>
    <s v="REP08"/>
    <s v="P003"/>
    <n v="169"/>
    <n v="104616.73"/>
    <n v="6991.9"/>
    <n v="1172.43"/>
    <n v="96452.4"/>
    <n v="100946.41"/>
    <x v="2"/>
    <x v="0"/>
    <n v="4"/>
    <n v="570.72426035502951"/>
    <n v="0.95548123009030228"/>
    <n v="-4494.0100000000093"/>
    <n v="4494.0100000000093"/>
  </r>
  <r>
    <s v="S00176"/>
    <d v="2024-04-01T00:00:00"/>
    <s v="R03"/>
    <x v="2"/>
    <s v="T08"/>
    <s v="REP08"/>
    <s v="P004"/>
    <n v="94"/>
    <n v="103505.22"/>
    <n v="5111.6499999999996"/>
    <n v="1011.7"/>
    <n v="97381.87"/>
    <n v="93981.89"/>
    <x v="3"/>
    <x v="0"/>
    <n v="4"/>
    <n v="1035.9773404255318"/>
    <n v="1.0361769698396148"/>
    <n v="3399.9799999999959"/>
    <n v="0"/>
  </r>
  <r>
    <s v="S00177"/>
    <d v="2024-04-01T00:00:00"/>
    <s v="R03"/>
    <x v="2"/>
    <s v="T09"/>
    <s v="REP09"/>
    <s v="P001"/>
    <n v="116"/>
    <n v="112342.25"/>
    <n v="7389.97"/>
    <n v="1319.66"/>
    <n v="103632.62"/>
    <n v="113564.12"/>
    <x v="0"/>
    <x v="0"/>
    <n v="4"/>
    <n v="893.38465517241377"/>
    <n v="0.91254720240864806"/>
    <n v="-9931.5"/>
    <n v="9931.5"/>
  </r>
  <r>
    <s v="S00178"/>
    <d v="2024-04-01T00:00:00"/>
    <s v="R03"/>
    <x v="2"/>
    <s v="T09"/>
    <s v="REP09"/>
    <s v="P002"/>
    <n v="155"/>
    <n v="116440.34"/>
    <n v="5141.1000000000004"/>
    <n v="648.25"/>
    <n v="110650.99"/>
    <n v="106765.58"/>
    <x v="1"/>
    <x v="0"/>
    <n v="4"/>
    <n v="713.87735483870972"/>
    <n v="1.0363919720194468"/>
    <n v="3885.4100000000035"/>
    <n v="0"/>
  </r>
  <r>
    <s v="S00179"/>
    <d v="2024-04-01T00:00:00"/>
    <s v="R03"/>
    <x v="2"/>
    <s v="T09"/>
    <s v="REP09"/>
    <s v="P003"/>
    <n v="182"/>
    <n v="111552.48"/>
    <n v="4311.33"/>
    <n v="862.38"/>
    <n v="106378.77"/>
    <n v="103076.89"/>
    <x v="2"/>
    <x v="0"/>
    <n v="4"/>
    <n v="584.4987362637363"/>
    <n v="1.0320331744584068"/>
    <n v="3301.8800000000047"/>
    <n v="0"/>
  </r>
  <r>
    <s v="S00180"/>
    <d v="2024-04-01T00:00:00"/>
    <s v="R03"/>
    <x v="2"/>
    <s v="T09"/>
    <s v="REP09"/>
    <s v="P004"/>
    <n v="92"/>
    <n v="99727.94"/>
    <n v="6619.01"/>
    <n v="738.55"/>
    <n v="92370.38"/>
    <n v="97235.13"/>
    <x v="3"/>
    <x v="0"/>
    <n v="4"/>
    <n v="1004.0258695652175"/>
    <n v="0.94996921380163735"/>
    <n v="-4864.75"/>
    <n v="4864.75"/>
  </r>
  <r>
    <s v="S00181"/>
    <d v="2024-04-01T00:00:00"/>
    <s v="R04"/>
    <x v="3"/>
    <s v="T10"/>
    <s v="REP10"/>
    <s v="P001"/>
    <n v="99"/>
    <n v="96528.97"/>
    <n v="7224.68"/>
    <n v="1007.34"/>
    <n v="88296.960000000006"/>
    <n v="87806.54"/>
    <x v="0"/>
    <x v="0"/>
    <n v="4"/>
    <n v="891.88848484848495"/>
    <n v="1.0055852331728368"/>
    <n v="490.42000000001281"/>
    <n v="0"/>
  </r>
  <r>
    <s v="S00182"/>
    <d v="2024-04-01T00:00:00"/>
    <s v="R04"/>
    <x v="3"/>
    <s v="T10"/>
    <s v="REP10"/>
    <s v="P002"/>
    <n v="114"/>
    <n v="87225.32"/>
    <n v="3699.18"/>
    <n v="705.5"/>
    <n v="82820.639999999999"/>
    <n v="82261.94"/>
    <x v="1"/>
    <x v="0"/>
    <n v="4"/>
    <n v="726.49684210526311"/>
    <n v="1.0067917192324907"/>
    <n v="558.69999999999709"/>
    <n v="0"/>
  </r>
  <r>
    <s v="S00183"/>
    <d v="2024-04-01T00:00:00"/>
    <s v="R04"/>
    <x v="3"/>
    <s v="T10"/>
    <s v="REP10"/>
    <s v="P003"/>
    <n v="140"/>
    <n v="85923.54"/>
    <n v="4836.5"/>
    <n v="951.55"/>
    <n v="80135.5"/>
    <n v="81735.570000000007"/>
    <x v="2"/>
    <x v="0"/>
    <n v="4"/>
    <n v="572.3964285714286"/>
    <n v="0.98042382282279295"/>
    <n v="-1600.070000000007"/>
    <n v="1600.070000000007"/>
  </r>
  <r>
    <s v="S00184"/>
    <d v="2024-04-01T00:00:00"/>
    <s v="R04"/>
    <x v="3"/>
    <s v="T10"/>
    <s v="REP10"/>
    <s v="P004"/>
    <n v="77"/>
    <n v="85884.14"/>
    <n v="4468.42"/>
    <n v="1183.5899999999999"/>
    <n v="80232.13"/>
    <n v="75354.89"/>
    <x v="3"/>
    <x v="0"/>
    <n v="4"/>
    <n v="1041.9757142857143"/>
    <n v="1.0647236032061091"/>
    <n v="4877.2400000000052"/>
    <n v="0"/>
  </r>
  <r>
    <s v="S00185"/>
    <d v="2024-04-01T00:00:00"/>
    <s v="R04"/>
    <x v="3"/>
    <s v="T11"/>
    <s v="REP11"/>
    <s v="P001"/>
    <n v="100"/>
    <n v="98274.89"/>
    <n v="5660.95"/>
    <n v="843.52"/>
    <n v="91770.42"/>
    <n v="88925.13"/>
    <x v="0"/>
    <x v="0"/>
    <n v="4"/>
    <n v="917.70420000000001"/>
    <n v="1.0319964671403909"/>
    <n v="2845.2899999999936"/>
    <n v="0"/>
  </r>
  <r>
    <s v="S00186"/>
    <d v="2024-04-01T00:00:00"/>
    <s v="R04"/>
    <x v="3"/>
    <s v="T11"/>
    <s v="REP11"/>
    <s v="P002"/>
    <n v="112"/>
    <n v="84102.18"/>
    <n v="4460.26"/>
    <n v="1117.95"/>
    <n v="78523.97"/>
    <n v="82463.45"/>
    <x v="1"/>
    <x v="0"/>
    <n v="4"/>
    <n v="701.10687500000006"/>
    <n v="0.95222756263532515"/>
    <n v="-3939.4799999999959"/>
    <n v="3939.4799999999959"/>
  </r>
  <r>
    <s v="S00187"/>
    <d v="2024-04-01T00:00:00"/>
    <s v="R04"/>
    <x v="3"/>
    <s v="T11"/>
    <s v="REP11"/>
    <s v="P003"/>
    <n v="143"/>
    <n v="89687.53"/>
    <n v="5391.91"/>
    <n v="520.32000000000005"/>
    <n v="83775.289999999994"/>
    <n v="82501.240000000005"/>
    <x v="2"/>
    <x v="0"/>
    <n v="4"/>
    <n v="585.84118881118877"/>
    <n v="1.0154427981930936"/>
    <n v="1274.0499999999884"/>
    <n v="0"/>
  </r>
  <r>
    <s v="S00188"/>
    <d v="2024-04-01T00:00:00"/>
    <s v="R04"/>
    <x v="3"/>
    <s v="T11"/>
    <s v="REP11"/>
    <s v="P004"/>
    <n v="70"/>
    <n v="76469.84"/>
    <n v="4098.83"/>
    <n v="475.16"/>
    <n v="71895.850000000006"/>
    <n v="75578.5"/>
    <x v="3"/>
    <x v="0"/>
    <n v="4"/>
    <n v="1027.0835714285715"/>
    <n v="0.95127384110560553"/>
    <n v="-3682.6499999999942"/>
    <n v="3682.6499999999942"/>
  </r>
  <r>
    <s v="S00189"/>
    <d v="2024-04-01T00:00:00"/>
    <s v="R04"/>
    <x v="3"/>
    <s v="T12"/>
    <s v="REP12"/>
    <s v="P001"/>
    <n v="104"/>
    <n v="100489.56"/>
    <n v="5389.65"/>
    <n v="1390.67"/>
    <n v="93709.24"/>
    <n v="100278.58"/>
    <x v="0"/>
    <x v="0"/>
    <n v="4"/>
    <n v="901.0503846153847"/>
    <n v="0.93448910026448329"/>
    <n v="-6569.3399999999965"/>
    <n v="6569.3399999999965"/>
  </r>
  <r>
    <s v="S00190"/>
    <d v="2024-04-01T00:00:00"/>
    <s v="R04"/>
    <x v="3"/>
    <s v="T12"/>
    <s v="REP12"/>
    <s v="P002"/>
    <n v="123"/>
    <n v="93268.14"/>
    <n v="4486.3100000000004"/>
    <n v="377.01"/>
    <n v="88404.82"/>
    <n v="94608.3"/>
    <x v="1"/>
    <x v="0"/>
    <n v="4"/>
    <n v="718.73837398373985"/>
    <n v="0.93442985446308624"/>
    <n v="-6203.4799999999959"/>
    <n v="6203.4799999999959"/>
  </r>
  <r>
    <s v="S00191"/>
    <d v="2024-04-01T00:00:00"/>
    <s v="R04"/>
    <x v="3"/>
    <s v="T12"/>
    <s v="REP12"/>
    <s v="P003"/>
    <n v="151"/>
    <n v="93524.31"/>
    <n v="6178.95"/>
    <n v="885.5"/>
    <n v="86459.86"/>
    <n v="91805.18"/>
    <x v="2"/>
    <x v="0"/>
    <n v="4"/>
    <n v="572.58185430463573"/>
    <n v="0.9417753987302242"/>
    <n v="-5345.3199999999924"/>
    <n v="5345.3199999999924"/>
  </r>
  <r>
    <s v="S00192"/>
    <d v="2024-04-01T00:00:00"/>
    <s v="R04"/>
    <x v="3"/>
    <s v="T12"/>
    <s v="REP12"/>
    <s v="P004"/>
    <n v="82"/>
    <n v="90134.64"/>
    <n v="5172.76"/>
    <n v="1183.32"/>
    <n v="83778.559999999998"/>
    <n v="86061.34"/>
    <x v="3"/>
    <x v="0"/>
    <n v="4"/>
    <n v="1021.6897560975609"/>
    <n v="0.97347496564659575"/>
    <n v="-2282.7799999999988"/>
    <n v="2282.7799999999988"/>
  </r>
  <r>
    <s v="S00193"/>
    <d v="2024-05-01T00:00:00"/>
    <s v="R01"/>
    <x v="0"/>
    <s v="T01"/>
    <s v="REP01"/>
    <s v="P001"/>
    <n v="152"/>
    <n v="148547.35999999999"/>
    <n v="5611.26"/>
    <n v="1927.59"/>
    <n v="141008.51"/>
    <n v="138723.35"/>
    <x v="0"/>
    <x v="0"/>
    <n v="5"/>
    <n v="927.68756578947375"/>
    <n v="1.0164727855836815"/>
    <n v="2285.1600000000035"/>
    <n v="0"/>
  </r>
  <r>
    <s v="S00194"/>
    <d v="2024-05-01T00:00:00"/>
    <s v="R01"/>
    <x v="0"/>
    <s v="T01"/>
    <s v="REP01"/>
    <s v="P002"/>
    <n v="185"/>
    <n v="142544.93"/>
    <n v="5473.2"/>
    <n v="1980.69"/>
    <n v="135091.03"/>
    <n v="129395.6"/>
    <x v="1"/>
    <x v="0"/>
    <n v="5"/>
    <n v="730.22178378378374"/>
    <n v="1.044015638862527"/>
    <n v="5695.429999999993"/>
    <n v="0"/>
  </r>
  <r>
    <s v="S00195"/>
    <d v="2024-05-01T00:00:00"/>
    <s v="R01"/>
    <x v="0"/>
    <s v="T01"/>
    <s v="REP01"/>
    <s v="P003"/>
    <n v="228"/>
    <n v="140714.23999999999"/>
    <n v="10375.870000000001"/>
    <n v="877.5"/>
    <n v="129460.87"/>
    <n v="124943.39"/>
    <x v="2"/>
    <x v="0"/>
    <n v="5"/>
    <n v="567.81083333333333"/>
    <n v="1.0361562144263894"/>
    <n v="4517.4799999999959"/>
    <n v="0"/>
  </r>
  <r>
    <s v="S00196"/>
    <d v="2024-05-01T00:00:00"/>
    <s v="R01"/>
    <x v="0"/>
    <s v="T01"/>
    <s v="REP01"/>
    <s v="P004"/>
    <n v="118"/>
    <n v="130860.91"/>
    <n v="5890.53"/>
    <n v="550.15"/>
    <n v="124420.23"/>
    <n v="118669.06"/>
    <x v="3"/>
    <x v="0"/>
    <n v="5"/>
    <n v="1054.4087288135593"/>
    <n v="1.0484639382834919"/>
    <n v="5751.1699999999983"/>
    <n v="0"/>
  </r>
  <r>
    <s v="S00197"/>
    <d v="2024-05-01T00:00:00"/>
    <s v="R01"/>
    <x v="0"/>
    <s v="T02"/>
    <s v="REP02"/>
    <s v="P001"/>
    <n v="150"/>
    <n v="145354.75"/>
    <n v="8004.46"/>
    <n v="781.61"/>
    <n v="136568.68"/>
    <n v="136670.79999999999"/>
    <x v="0"/>
    <x v="0"/>
    <n v="5"/>
    <n v="910.45786666666663"/>
    <n v="0.99925280308595543"/>
    <n v="-102.11999999999534"/>
    <n v="102.11999999999534"/>
  </r>
  <r>
    <s v="S00198"/>
    <d v="2024-05-01T00:00:00"/>
    <s v="R01"/>
    <x v="0"/>
    <s v="T02"/>
    <s v="REP02"/>
    <s v="P002"/>
    <n v="180"/>
    <n v="138715.54"/>
    <n v="10186.23"/>
    <n v="1580.78"/>
    <n v="126948.53"/>
    <n v="129986.84"/>
    <x v="1"/>
    <x v="0"/>
    <n v="5"/>
    <n v="705.26961111111109"/>
    <n v="0.97662601844925223"/>
    <n v="-3038.3099999999977"/>
    <n v="3038.3099999999977"/>
  </r>
  <r>
    <s v="S00199"/>
    <d v="2024-05-01T00:00:00"/>
    <s v="R01"/>
    <x v="0"/>
    <s v="T02"/>
    <s v="REP02"/>
    <s v="P003"/>
    <n v="210"/>
    <n v="130058.68"/>
    <n v="7332.65"/>
    <n v="1481.48"/>
    <n v="121244.56"/>
    <n v="126478.95"/>
    <x v="2"/>
    <x v="0"/>
    <n v="5"/>
    <n v="577.35504761904758"/>
    <n v="0.95861453625287052"/>
    <n v="-5234.3899999999994"/>
    <n v="5234.3899999999994"/>
  </r>
  <r>
    <s v="S00200"/>
    <d v="2024-05-01T00:00:00"/>
    <s v="R01"/>
    <x v="0"/>
    <s v="T02"/>
    <s v="REP02"/>
    <s v="P004"/>
    <n v="115"/>
    <n v="128153.84"/>
    <n v="8186.51"/>
    <n v="764.55"/>
    <n v="119202.79"/>
    <n v="120395.5"/>
    <x v="3"/>
    <x v="0"/>
    <n v="5"/>
    <n v="1036.546"/>
    <n v="0.99009340050084926"/>
    <n v="-1192.7100000000064"/>
    <n v="1192.7100000000064"/>
  </r>
  <r>
    <s v="S00201"/>
    <d v="2024-05-01T00:00:00"/>
    <s v="R01"/>
    <x v="0"/>
    <s v="T03"/>
    <s v="REP03"/>
    <s v="P001"/>
    <n v="173"/>
    <n v="168036.69"/>
    <n v="8513.44"/>
    <n v="936.71"/>
    <n v="158586.54"/>
    <n v="150195.94"/>
    <x v="0"/>
    <x v="0"/>
    <n v="5"/>
    <n v="916.68520231213881"/>
    <n v="1.0558643595825561"/>
    <n v="8390.6000000000058"/>
    <n v="0"/>
  </r>
  <r>
    <s v="S00202"/>
    <d v="2024-05-01T00:00:00"/>
    <s v="R01"/>
    <x v="0"/>
    <s v="T03"/>
    <s v="REP03"/>
    <s v="P002"/>
    <n v="199"/>
    <n v="151409.85"/>
    <n v="7866.81"/>
    <n v="1438"/>
    <n v="142105.04"/>
    <n v="139944.97"/>
    <x v="1"/>
    <x v="0"/>
    <n v="5"/>
    <n v="714.09567839195984"/>
    <n v="1.0154351385405278"/>
    <n v="2160.070000000007"/>
    <n v="0"/>
  </r>
  <r>
    <s v="S00203"/>
    <d v="2024-05-01T00:00:00"/>
    <s v="R01"/>
    <x v="0"/>
    <s v="T03"/>
    <s v="REP03"/>
    <s v="P003"/>
    <n v="245"/>
    <n v="152632.76"/>
    <n v="11221.18"/>
    <n v="712.54"/>
    <n v="140699.04"/>
    <n v="139690.49"/>
    <x v="2"/>
    <x v="0"/>
    <n v="5"/>
    <n v="574.28179591836738"/>
    <n v="1.007219890201545"/>
    <n v="1008.5500000000175"/>
    <n v="0"/>
  </r>
  <r>
    <s v="S00204"/>
    <d v="2024-05-01T00:00:00"/>
    <s v="R01"/>
    <x v="0"/>
    <s v="T03"/>
    <s v="REP03"/>
    <s v="P004"/>
    <n v="131"/>
    <n v="146232.09"/>
    <n v="10858.49"/>
    <n v="1280.77"/>
    <n v="134092.82999999999"/>
    <n v="130328.43"/>
    <x v="3"/>
    <x v="0"/>
    <n v="5"/>
    <n v="1023.609389312977"/>
    <n v="1.0288839511072143"/>
    <n v="3764.3999999999942"/>
    <n v="0"/>
  </r>
  <r>
    <s v="S00205"/>
    <d v="2024-05-01T00:00:00"/>
    <s v="R02"/>
    <x v="1"/>
    <s v="T04"/>
    <s v="REP04"/>
    <s v="P001"/>
    <n v="122"/>
    <n v="119947.93"/>
    <n v="6923.53"/>
    <n v="1442.34"/>
    <n v="111582.06"/>
    <n v="112023.54"/>
    <x v="0"/>
    <x v="0"/>
    <n v="5"/>
    <n v="914.60704918032786"/>
    <n v="0.9960590425905127"/>
    <n v="-441.47999999999593"/>
    <n v="441.47999999999593"/>
  </r>
  <r>
    <s v="S00206"/>
    <d v="2024-05-01T00:00:00"/>
    <s v="R02"/>
    <x v="1"/>
    <s v="T04"/>
    <s v="REP04"/>
    <s v="P002"/>
    <n v="138"/>
    <n v="105255.73"/>
    <n v="7602.36"/>
    <n v="879.49"/>
    <n v="96773.89"/>
    <n v="102791.34"/>
    <x v="1"/>
    <x v="0"/>
    <n v="5"/>
    <n v="701.2600724637681"/>
    <n v="0.94145956264409048"/>
    <n v="-6017.4499999999971"/>
    <n v="6017.4499999999971"/>
  </r>
  <r>
    <s v="S00207"/>
    <d v="2024-05-01T00:00:00"/>
    <s v="R02"/>
    <x v="1"/>
    <s v="T04"/>
    <s v="REP04"/>
    <s v="P003"/>
    <n v="183"/>
    <n v="112145.16"/>
    <n v="6488.2"/>
    <n v="1117.29"/>
    <n v="104539.68"/>
    <n v="101272.14"/>
    <x v="2"/>
    <x v="0"/>
    <n v="5"/>
    <n v="571.25508196721307"/>
    <n v="1.0322649447320851"/>
    <n v="3267.5399999999936"/>
    <n v="0"/>
  </r>
  <r>
    <s v="S00208"/>
    <d v="2024-05-01T00:00:00"/>
    <s v="R02"/>
    <x v="1"/>
    <s v="T04"/>
    <s v="REP04"/>
    <s v="P004"/>
    <n v="90"/>
    <n v="97857.7"/>
    <n v="6293.91"/>
    <n v="676.05"/>
    <n v="90887.75"/>
    <n v="93890.59"/>
    <x v="3"/>
    <x v="0"/>
    <n v="5"/>
    <n v="1009.8638888888889"/>
    <n v="0.96801766822425983"/>
    <n v="-3002.8399999999965"/>
    <n v="3002.8399999999965"/>
  </r>
  <r>
    <s v="S00209"/>
    <d v="2024-05-01T00:00:00"/>
    <s v="R02"/>
    <x v="1"/>
    <s v="T05"/>
    <s v="REP05"/>
    <s v="P001"/>
    <n v="105"/>
    <n v="102190.39999999999"/>
    <n v="5358.54"/>
    <n v="913.49"/>
    <n v="95918.37"/>
    <n v="96336.23"/>
    <x v="0"/>
    <x v="0"/>
    <n v="5"/>
    <n v="913.50828571428565"/>
    <n v="0.99566248336684959"/>
    <n v="-417.86000000000058"/>
    <n v="417.86000000000058"/>
  </r>
  <r>
    <s v="S00210"/>
    <d v="2024-05-01T00:00:00"/>
    <s v="R02"/>
    <x v="1"/>
    <s v="T05"/>
    <s v="REP05"/>
    <s v="P002"/>
    <n v="124"/>
    <n v="94614.54"/>
    <n v="5150.17"/>
    <n v="957.61"/>
    <n v="88506.77"/>
    <n v="92118.65"/>
    <x v="1"/>
    <x v="0"/>
    <n v="5"/>
    <n v="713.76427419354843"/>
    <n v="0.96079100160499542"/>
    <n v="-3611.8799999999901"/>
    <n v="3611.8799999999901"/>
  </r>
  <r>
    <s v="S00211"/>
    <d v="2024-05-01T00:00:00"/>
    <s v="R02"/>
    <x v="1"/>
    <s v="T05"/>
    <s v="REP05"/>
    <s v="P003"/>
    <n v="159"/>
    <n v="98619.23"/>
    <n v="4127.2299999999996"/>
    <n v="488.88"/>
    <n v="94003.11"/>
    <n v="89720.34"/>
    <x v="2"/>
    <x v="0"/>
    <n v="5"/>
    <n v="591.21452830188684"/>
    <n v="1.0477346608361047"/>
    <n v="4282.7700000000041"/>
    <n v="0"/>
  </r>
  <r>
    <s v="S00212"/>
    <d v="2024-05-01T00:00:00"/>
    <s v="R02"/>
    <x v="1"/>
    <s v="T05"/>
    <s v="REP05"/>
    <s v="P004"/>
    <n v="84"/>
    <n v="93079.38"/>
    <n v="6934.98"/>
    <n v="1180.69"/>
    <n v="84963.71"/>
    <n v="83843.55"/>
    <x v="3"/>
    <x v="0"/>
    <n v="5"/>
    <n v="1011.4727380952381"/>
    <n v="1.0133601213211989"/>
    <n v="1120.1600000000035"/>
    <n v="0"/>
  </r>
  <r>
    <s v="S00213"/>
    <d v="2024-05-01T00:00:00"/>
    <s v="R02"/>
    <x v="1"/>
    <s v="T06"/>
    <s v="REP06"/>
    <s v="P001"/>
    <n v="122"/>
    <n v="119261.72"/>
    <n v="8681.26"/>
    <n v="499.17"/>
    <n v="110081.29"/>
    <n v="109196.1"/>
    <x v="0"/>
    <x v="0"/>
    <n v="5"/>
    <n v="902.30565573770491"/>
    <n v="1.0081064250463156"/>
    <n v="885.18999999998778"/>
    <n v="0"/>
  </r>
  <r>
    <s v="S00214"/>
    <d v="2024-05-01T00:00:00"/>
    <s v="R02"/>
    <x v="1"/>
    <s v="T06"/>
    <s v="REP06"/>
    <s v="P002"/>
    <n v="153"/>
    <n v="116443.19"/>
    <n v="6530.62"/>
    <n v="781.09"/>
    <n v="109131.49"/>
    <n v="104424.76"/>
    <x v="1"/>
    <x v="0"/>
    <n v="5"/>
    <n v="713.27771241830067"/>
    <n v="1.0450729309792046"/>
    <n v="4706.7300000000105"/>
    <n v="0"/>
  </r>
  <r>
    <s v="S00215"/>
    <d v="2024-05-01T00:00:00"/>
    <s v="R02"/>
    <x v="1"/>
    <s v="T06"/>
    <s v="REP06"/>
    <s v="P003"/>
    <n v="174"/>
    <n v="106890.29"/>
    <n v="4421.8999999999996"/>
    <n v="480.84"/>
    <n v="101987.55"/>
    <n v="101474.85"/>
    <x v="2"/>
    <x v="0"/>
    <n v="5"/>
    <n v="586.13534482758621"/>
    <n v="1.0050524834478691"/>
    <n v="512.69999999999709"/>
    <n v="0"/>
  </r>
  <r>
    <s v="S00216"/>
    <d v="2024-05-01T00:00:00"/>
    <s v="R02"/>
    <x v="1"/>
    <s v="T06"/>
    <s v="REP06"/>
    <s v="P004"/>
    <n v="89"/>
    <n v="96831.93"/>
    <n v="5659.1"/>
    <n v="564.91999999999996"/>
    <n v="90607.91"/>
    <n v="94512.35"/>
    <x v="3"/>
    <x v="0"/>
    <n v="5"/>
    <n v="1018.066404494382"/>
    <n v="0.95868857350388603"/>
    <n v="-3904.4400000000023"/>
    <n v="3904.4400000000023"/>
  </r>
  <r>
    <s v="S00217"/>
    <d v="2024-05-01T00:00:00"/>
    <s v="R03"/>
    <x v="2"/>
    <s v="T07"/>
    <s v="REP07"/>
    <s v="P001"/>
    <n v="115"/>
    <n v="111739.32"/>
    <n v="5374.87"/>
    <n v="867.86"/>
    <n v="105496.6"/>
    <n v="111349.14"/>
    <x v="0"/>
    <x v="0"/>
    <n v="5"/>
    <n v="917.36173913043478"/>
    <n v="0.9474397377474133"/>
    <n v="-5852.5399999999936"/>
    <n v="5852.5399999999936"/>
  </r>
  <r>
    <s v="S00218"/>
    <d v="2024-05-01T00:00:00"/>
    <s v="R03"/>
    <x v="2"/>
    <s v="T07"/>
    <s v="REP07"/>
    <s v="P002"/>
    <n v="136"/>
    <n v="104659.25"/>
    <n v="5483.38"/>
    <n v="1113.95"/>
    <n v="98061.92"/>
    <n v="103629.48"/>
    <x v="1"/>
    <x v="0"/>
    <n v="5"/>
    <n v="721.04352941176467"/>
    <n v="0.94627436131108644"/>
    <n v="-5567.5599999999977"/>
    <n v="5567.5599999999977"/>
  </r>
  <r>
    <s v="S00219"/>
    <d v="2024-05-01T00:00:00"/>
    <s v="R03"/>
    <x v="2"/>
    <s v="T07"/>
    <s v="REP07"/>
    <s v="P003"/>
    <n v="166"/>
    <n v="102924.6"/>
    <n v="7647.87"/>
    <n v="517.78"/>
    <n v="94758.95"/>
    <n v="100418.24000000001"/>
    <x v="2"/>
    <x v="0"/>
    <n v="5"/>
    <n v="570.83704819277102"/>
    <n v="0.94364280831848868"/>
    <n v="-5659.2900000000081"/>
    <n v="5659.2900000000081"/>
  </r>
  <r>
    <s v="S00220"/>
    <d v="2024-05-01T00:00:00"/>
    <s v="R03"/>
    <x v="2"/>
    <s v="T07"/>
    <s v="REP07"/>
    <s v="P004"/>
    <n v="94"/>
    <n v="102401.37"/>
    <n v="3836.81"/>
    <n v="769.96"/>
    <n v="97794.61"/>
    <n v="95713.42"/>
    <x v="3"/>
    <x v="0"/>
    <n v="5"/>
    <n v="1040.3681914893616"/>
    <n v="1.0217439727887689"/>
    <n v="2081.1900000000023"/>
    <n v="0"/>
  </r>
  <r>
    <s v="S00221"/>
    <d v="2024-05-01T00:00:00"/>
    <s v="R03"/>
    <x v="2"/>
    <s v="T08"/>
    <s v="REP08"/>
    <s v="P001"/>
    <n v="126"/>
    <n v="122961.95"/>
    <n v="7261.48"/>
    <n v="754.04"/>
    <n v="114946.43"/>
    <n v="109959.72"/>
    <x v="0"/>
    <x v="0"/>
    <n v="5"/>
    <n v="912.27325396825393"/>
    <n v="1.0453503337403913"/>
    <n v="4986.7099999999919"/>
    <n v="0"/>
  </r>
  <r>
    <s v="S00222"/>
    <d v="2024-05-01T00:00:00"/>
    <s v="R03"/>
    <x v="2"/>
    <s v="T08"/>
    <s v="REP08"/>
    <s v="P002"/>
    <n v="142"/>
    <n v="109148.42"/>
    <n v="6956.32"/>
    <n v="879.98"/>
    <n v="101312.12"/>
    <n v="102722.37"/>
    <x v="1"/>
    <x v="0"/>
    <n v="5"/>
    <n v="713.46563380281691"/>
    <n v="0.98627124744103933"/>
    <n v="-1410.25"/>
    <n v="1410.25"/>
  </r>
  <r>
    <s v="S00223"/>
    <d v="2024-05-01T00:00:00"/>
    <s v="R03"/>
    <x v="2"/>
    <s v="T08"/>
    <s v="REP08"/>
    <s v="P003"/>
    <n v="176"/>
    <n v="110550.39999999999"/>
    <n v="3930.39"/>
    <n v="976.15"/>
    <n v="105643.86"/>
    <n v="102798.1"/>
    <x v="2"/>
    <x v="0"/>
    <n v="5"/>
    <n v="600.24920454545452"/>
    <n v="1.0276830019231873"/>
    <n v="2845.7599999999948"/>
    <n v="0"/>
  </r>
  <r>
    <s v="S00224"/>
    <d v="2024-05-01T00:00:00"/>
    <s v="R03"/>
    <x v="2"/>
    <s v="T08"/>
    <s v="REP08"/>
    <s v="P004"/>
    <n v="97"/>
    <n v="108112.5"/>
    <n v="4238.72"/>
    <n v="956.09"/>
    <n v="102917.68"/>
    <n v="94909.13"/>
    <x v="3"/>
    <x v="0"/>
    <n v="5"/>
    <n v="1061.0070103092783"/>
    <n v="1.084381239191635"/>
    <n v="8008.5499999999884"/>
    <n v="0"/>
  </r>
  <r>
    <s v="S00225"/>
    <d v="2024-05-01T00:00:00"/>
    <s v="R03"/>
    <x v="2"/>
    <s v="T09"/>
    <s v="REP09"/>
    <s v="P001"/>
    <n v="118"/>
    <n v="116703.83"/>
    <n v="4723.6899999999996"/>
    <n v="1342.17"/>
    <n v="110637.98"/>
    <n v="113031.78"/>
    <x v="0"/>
    <x v="0"/>
    <n v="5"/>
    <n v="937.61"/>
    <n v="0.97882188531402403"/>
    <n v="-2393.8000000000029"/>
    <n v="2393.8000000000029"/>
  </r>
  <r>
    <s v="S00226"/>
    <d v="2024-05-01T00:00:00"/>
    <s v="R03"/>
    <x v="2"/>
    <s v="T09"/>
    <s v="REP09"/>
    <s v="P002"/>
    <n v="150"/>
    <n v="113139.05"/>
    <n v="7613.39"/>
    <n v="1303.75"/>
    <n v="104221.9"/>
    <n v="107352.46"/>
    <x v="1"/>
    <x v="0"/>
    <n v="5"/>
    <n v="694.81266666666659"/>
    <n v="0.97083848847059484"/>
    <n v="-3130.5600000000122"/>
    <n v="3130.5600000000122"/>
  </r>
  <r>
    <s v="S00227"/>
    <d v="2024-05-01T00:00:00"/>
    <s v="R03"/>
    <x v="2"/>
    <s v="T09"/>
    <s v="REP09"/>
    <s v="P003"/>
    <n v="177"/>
    <n v="111291.12"/>
    <n v="5496.74"/>
    <n v="1119.74"/>
    <n v="104674.64"/>
    <n v="103809.93"/>
    <x v="2"/>
    <x v="0"/>
    <n v="5"/>
    <n v="591.38214689265533"/>
    <n v="1.008329742636374"/>
    <n v="864.7100000000064"/>
    <n v="0"/>
  </r>
  <r>
    <s v="S00228"/>
    <d v="2024-05-01T00:00:00"/>
    <s v="R03"/>
    <x v="2"/>
    <s v="T09"/>
    <s v="REP09"/>
    <s v="P004"/>
    <n v="98"/>
    <n v="107339.69"/>
    <n v="6734.49"/>
    <n v="1304.8900000000001"/>
    <n v="99300.31"/>
    <n v="98979.47"/>
    <x v="3"/>
    <x v="0"/>
    <n v="5"/>
    <n v="1013.2684693877551"/>
    <n v="1.003241480278688"/>
    <n v="320.83999999999651"/>
    <n v="0"/>
  </r>
  <r>
    <s v="S00229"/>
    <d v="2024-05-01T00:00:00"/>
    <s v="R04"/>
    <x v="3"/>
    <s v="T10"/>
    <s v="REP10"/>
    <s v="P001"/>
    <n v="99"/>
    <n v="96265.16"/>
    <n v="3678.42"/>
    <n v="709.14"/>
    <n v="91877.59"/>
    <n v="90563.18"/>
    <x v="0"/>
    <x v="0"/>
    <n v="5"/>
    <n v="928.05646464646463"/>
    <n v="1.0145137350521483"/>
    <n v="1314.4100000000035"/>
    <n v="0"/>
  </r>
  <r>
    <s v="S00230"/>
    <d v="2024-05-01T00:00:00"/>
    <s v="R04"/>
    <x v="3"/>
    <s v="T10"/>
    <s v="REP10"/>
    <s v="P002"/>
    <n v="114"/>
    <n v="85505.9"/>
    <n v="3609.5"/>
    <n v="1097.31"/>
    <n v="80799.09"/>
    <n v="83865.42"/>
    <x v="1"/>
    <x v="0"/>
    <n v="5"/>
    <n v="708.76394736842099"/>
    <n v="0.96343749306925308"/>
    <n v="-3066.3300000000017"/>
    <n v="3066.3300000000017"/>
  </r>
  <r>
    <s v="S00231"/>
    <d v="2024-05-01T00:00:00"/>
    <s v="R04"/>
    <x v="3"/>
    <s v="T10"/>
    <s v="REP10"/>
    <s v="P003"/>
    <n v="149"/>
    <n v="91585.03"/>
    <n v="6758.02"/>
    <n v="1147.81"/>
    <n v="83679.199999999997"/>
    <n v="83055.78"/>
    <x v="2"/>
    <x v="0"/>
    <n v="5"/>
    <n v="561.60536912751672"/>
    <n v="1.0075060399167883"/>
    <n v="623.41999999999825"/>
    <n v="0"/>
  </r>
  <r>
    <s v="S00232"/>
    <d v="2024-05-01T00:00:00"/>
    <s v="R04"/>
    <x v="3"/>
    <s v="T10"/>
    <s v="REP10"/>
    <s v="P004"/>
    <n v="73"/>
    <n v="81408.850000000006"/>
    <n v="5664.91"/>
    <n v="354.73"/>
    <n v="75389.210000000006"/>
    <n v="77825.03"/>
    <x v="3"/>
    <x v="0"/>
    <n v="5"/>
    <n v="1032.7289041095892"/>
    <n v="0.96870132912252016"/>
    <n v="-2435.8199999999924"/>
    <n v="2435.8199999999924"/>
  </r>
  <r>
    <s v="S00233"/>
    <d v="2024-05-01T00:00:00"/>
    <s v="R04"/>
    <x v="3"/>
    <s v="T11"/>
    <s v="REP11"/>
    <s v="P001"/>
    <n v="98"/>
    <n v="95207.24"/>
    <n v="6556.36"/>
    <n v="847.04"/>
    <n v="87803.85"/>
    <n v="90600.56"/>
    <x v="0"/>
    <x v="0"/>
    <n v="5"/>
    <n v="895.95765306122451"/>
    <n v="0.96913142700221733"/>
    <n v="-2796.7099999999919"/>
    <n v="2796.7099999999919"/>
  </r>
  <r>
    <s v="S00234"/>
    <d v="2024-05-01T00:00:00"/>
    <s v="R04"/>
    <x v="3"/>
    <s v="T11"/>
    <s v="REP11"/>
    <s v="P002"/>
    <n v="123"/>
    <n v="94514.76"/>
    <n v="6289.57"/>
    <n v="1236.26"/>
    <n v="86988.93"/>
    <n v="84628.26"/>
    <x v="1"/>
    <x v="0"/>
    <n v="5"/>
    <n v="707.22707317073161"/>
    <n v="1.027894582731584"/>
    <n v="2360.6699999999983"/>
    <n v="0"/>
  </r>
  <r>
    <s v="S00235"/>
    <d v="2024-05-01T00:00:00"/>
    <s v="R04"/>
    <x v="3"/>
    <s v="T11"/>
    <s v="REP11"/>
    <s v="P003"/>
    <n v="137"/>
    <n v="85714.74"/>
    <n v="5923.03"/>
    <n v="489.28"/>
    <n v="79302.42"/>
    <n v="83178.259999999995"/>
    <x v="2"/>
    <x v="0"/>
    <n v="5"/>
    <n v="578.8497810218978"/>
    <n v="0.95340320896349606"/>
    <n v="-3875.8399999999965"/>
    <n v="3875.8399999999965"/>
  </r>
  <r>
    <s v="S00236"/>
    <d v="2024-05-01T00:00:00"/>
    <s v="R04"/>
    <x v="3"/>
    <s v="T11"/>
    <s v="REP11"/>
    <s v="P004"/>
    <n v="76"/>
    <n v="83748"/>
    <n v="6249.33"/>
    <n v="865.12"/>
    <n v="76633.539999999994"/>
    <n v="77774"/>
    <x v="3"/>
    <x v="0"/>
    <n v="5"/>
    <n v="1008.3360526315788"/>
    <n v="0.98533623061691555"/>
    <n v="-1140.4600000000064"/>
    <n v="1140.4600000000064"/>
  </r>
  <r>
    <s v="S00237"/>
    <d v="2024-05-01T00:00:00"/>
    <s v="R04"/>
    <x v="3"/>
    <s v="T12"/>
    <s v="REP12"/>
    <s v="P001"/>
    <n v="115"/>
    <n v="111228.59"/>
    <n v="5313.31"/>
    <n v="831.85"/>
    <n v="105083.42"/>
    <n v="101578.14"/>
    <x v="0"/>
    <x v="0"/>
    <n v="5"/>
    <n v="913.76886956521741"/>
    <n v="1.0345082121015408"/>
    <n v="3505.2799999999988"/>
    <n v="0"/>
  </r>
  <r>
    <s v="S00238"/>
    <d v="2024-05-01T00:00:00"/>
    <s v="R04"/>
    <x v="3"/>
    <s v="T12"/>
    <s v="REP12"/>
    <s v="P002"/>
    <n v="126"/>
    <n v="95515.06"/>
    <n v="5292.1"/>
    <n v="674.32"/>
    <n v="89548.64"/>
    <n v="95285.91"/>
    <x v="1"/>
    <x v="0"/>
    <n v="5"/>
    <n v="710.70349206349204"/>
    <n v="0.93978889428667889"/>
    <n v="-5737.2700000000041"/>
    <n v="5737.2700000000041"/>
  </r>
  <r>
    <s v="S00239"/>
    <d v="2024-05-01T00:00:00"/>
    <s v="R04"/>
    <x v="3"/>
    <s v="T12"/>
    <s v="REP12"/>
    <s v="P003"/>
    <n v="156"/>
    <n v="95563.45"/>
    <n v="3831.89"/>
    <n v="727.24"/>
    <n v="91004.32"/>
    <n v="91947.37"/>
    <x v="2"/>
    <x v="0"/>
    <n v="5"/>
    <n v="583.36102564102566"/>
    <n v="0.98974358918585725"/>
    <n v="-943.04999999998836"/>
    <n v="943.04999999998836"/>
  </r>
  <r>
    <s v="S00240"/>
    <d v="2024-05-01T00:00:00"/>
    <s v="R04"/>
    <x v="3"/>
    <s v="T12"/>
    <s v="REP12"/>
    <s v="P004"/>
    <n v="82"/>
    <n v="91481.05"/>
    <n v="6748.52"/>
    <n v="744.02"/>
    <n v="83988.51"/>
    <n v="86979.56"/>
    <x v="3"/>
    <x v="0"/>
    <n v="5"/>
    <n v="1024.2501219512194"/>
    <n v="0.96561203574724908"/>
    <n v="-2991.0500000000029"/>
    <n v="2991.0500000000029"/>
  </r>
  <r>
    <s v="S00241"/>
    <d v="2024-06-01T00:00:00"/>
    <s v="R01"/>
    <x v="0"/>
    <s v="T01"/>
    <s v="REP01"/>
    <s v="P001"/>
    <n v="146"/>
    <n v="142324.03"/>
    <n v="6712.4"/>
    <n v="962.71"/>
    <n v="134648.92000000001"/>
    <n v="131598.04"/>
    <x v="0"/>
    <x v="0"/>
    <n v="6"/>
    <n v="922.25287671232888"/>
    <n v="1.0231833240069532"/>
    <n v="3050.8800000000047"/>
    <n v="0"/>
  </r>
  <r>
    <s v="S00242"/>
    <d v="2024-06-01T00:00:00"/>
    <s v="R01"/>
    <x v="0"/>
    <s v="T01"/>
    <s v="REP01"/>
    <s v="P002"/>
    <n v="165"/>
    <n v="125325.13"/>
    <n v="7126.86"/>
    <n v="890.14"/>
    <n v="117308.14"/>
    <n v="125070.14"/>
    <x v="1"/>
    <x v="0"/>
    <n v="6"/>
    <n v="710.95842424242426"/>
    <n v="0.93793882376720772"/>
    <n v="-7762"/>
    <n v="7762"/>
  </r>
  <r>
    <s v="S00243"/>
    <d v="2024-06-01T00:00:00"/>
    <s v="R01"/>
    <x v="0"/>
    <s v="T01"/>
    <s v="REP01"/>
    <s v="P003"/>
    <n v="209"/>
    <n v="131170.96"/>
    <n v="6639.09"/>
    <n v="811.36"/>
    <n v="123720.51"/>
    <n v="120635.58"/>
    <x v="2"/>
    <x v="0"/>
    <n v="6"/>
    <n v="591.96416267942584"/>
    <n v="1.025572306279789"/>
    <n v="3084.929999999993"/>
    <n v="0"/>
  </r>
  <r>
    <s v="S00244"/>
    <d v="2024-06-01T00:00:00"/>
    <s v="R01"/>
    <x v="0"/>
    <s v="T01"/>
    <s v="REP01"/>
    <s v="P004"/>
    <n v="104"/>
    <n v="114502.79"/>
    <n v="5509.8"/>
    <n v="1169.5899999999999"/>
    <n v="107823.4"/>
    <n v="111673.14"/>
    <x v="3"/>
    <x v="0"/>
    <n v="6"/>
    <n v="1036.7634615384616"/>
    <n v="0.96552671483939645"/>
    <n v="-3849.7400000000052"/>
    <n v="3849.7400000000052"/>
  </r>
  <r>
    <s v="S00245"/>
    <d v="2024-06-01T00:00:00"/>
    <s v="R01"/>
    <x v="0"/>
    <s v="T02"/>
    <s v="REP02"/>
    <s v="P001"/>
    <n v="139"/>
    <n v="137490.54999999999"/>
    <n v="6887.57"/>
    <n v="766.72"/>
    <n v="129836.26"/>
    <n v="134357.28"/>
    <x v="0"/>
    <x v="0"/>
    <n v="6"/>
    <n v="934.07381294964023"/>
    <n v="0.96635076268290032"/>
    <n v="-4521.0200000000041"/>
    <n v="4521.0200000000041"/>
  </r>
  <r>
    <s v="S00246"/>
    <d v="2024-06-01T00:00:00"/>
    <s v="R01"/>
    <x v="0"/>
    <s v="T02"/>
    <s v="REP02"/>
    <s v="P002"/>
    <n v="180"/>
    <n v="134976.44"/>
    <n v="7050.66"/>
    <n v="556.9"/>
    <n v="127368.87"/>
    <n v="124901.22"/>
    <x v="1"/>
    <x v="0"/>
    <n v="6"/>
    <n v="707.60483333333332"/>
    <n v="1.0197568126236076"/>
    <n v="2467.6499999999942"/>
    <n v="0"/>
  </r>
  <r>
    <s v="S00247"/>
    <d v="2024-06-01T00:00:00"/>
    <s v="R01"/>
    <x v="0"/>
    <s v="T02"/>
    <s v="REP02"/>
    <s v="P003"/>
    <n v="219"/>
    <n v="137187.47"/>
    <n v="7338.93"/>
    <n v="1127.1300000000001"/>
    <n v="128721.41"/>
    <n v="121387.56"/>
    <x v="2"/>
    <x v="0"/>
    <n v="6"/>
    <n v="587.76899543379"/>
    <n v="1.060416817011562"/>
    <n v="7333.8500000000058"/>
    <n v="0"/>
  </r>
  <r>
    <s v="S00248"/>
    <d v="2024-06-01T00:00:00"/>
    <s v="R01"/>
    <x v="0"/>
    <s v="T02"/>
    <s v="REP02"/>
    <s v="P004"/>
    <n v="105"/>
    <n v="116322.3"/>
    <n v="4175.8500000000004"/>
    <n v="1611.78"/>
    <n v="110534.67"/>
    <n v="115541.86"/>
    <x v="3"/>
    <x v="0"/>
    <n v="6"/>
    <n v="1052.7111428571429"/>
    <n v="0.95666341185783232"/>
    <n v="-5007.1900000000023"/>
    <n v="5007.1900000000023"/>
  </r>
  <r>
    <s v="S00249"/>
    <d v="2024-06-01T00:00:00"/>
    <s v="R01"/>
    <x v="0"/>
    <s v="T03"/>
    <s v="REP03"/>
    <s v="P001"/>
    <n v="156"/>
    <n v="153413.97"/>
    <n v="5965.29"/>
    <n v="2120.1799999999998"/>
    <n v="145328.5"/>
    <n v="147514.88"/>
    <x v="0"/>
    <x v="0"/>
    <n v="6"/>
    <n v="931.59294871794873"/>
    <n v="0.98517857995071412"/>
    <n v="-2186.3800000000047"/>
    <n v="2186.3800000000047"/>
  </r>
  <r>
    <s v="S00250"/>
    <d v="2024-06-01T00:00:00"/>
    <s v="R01"/>
    <x v="0"/>
    <s v="T03"/>
    <s v="REP03"/>
    <s v="P002"/>
    <n v="183"/>
    <n v="139239.38"/>
    <n v="6827.37"/>
    <n v="1635.35"/>
    <n v="130776.66"/>
    <n v="136821.23000000001"/>
    <x v="1"/>
    <x v="0"/>
    <n v="6"/>
    <n v="714.62655737704915"/>
    <n v="0.95582140286269901"/>
    <n v="-6044.570000000007"/>
    <n v="6044.570000000007"/>
  </r>
  <r>
    <s v="S00251"/>
    <d v="2024-06-01T00:00:00"/>
    <s v="R01"/>
    <x v="0"/>
    <s v="T03"/>
    <s v="REP03"/>
    <s v="P003"/>
    <n v="231"/>
    <n v="144282.23000000001"/>
    <n v="6642.16"/>
    <n v="720.16"/>
    <n v="136919.91"/>
    <n v="136291.70000000001"/>
    <x v="2"/>
    <x v="0"/>
    <n v="6"/>
    <n v="592.72688311688319"/>
    <n v="1.0046093048953091"/>
    <n v="628.20999999999185"/>
    <n v="0"/>
  </r>
  <r>
    <s v="S00252"/>
    <d v="2024-06-01T00:00:00"/>
    <s v="R01"/>
    <x v="0"/>
    <s v="T03"/>
    <s v="REP03"/>
    <s v="P004"/>
    <n v="118"/>
    <n v="131033.02"/>
    <n v="8919.23"/>
    <n v="524.65"/>
    <n v="121589.14"/>
    <n v="126369.38"/>
    <x v="3"/>
    <x v="0"/>
    <n v="6"/>
    <n v="1030.4164406779662"/>
    <n v="0.96217248197308558"/>
    <n v="-4780.2400000000052"/>
    <n v="4780.2400000000052"/>
  </r>
  <r>
    <s v="S00253"/>
    <d v="2024-06-01T00:00:00"/>
    <s v="R02"/>
    <x v="1"/>
    <s v="T04"/>
    <s v="REP04"/>
    <s v="P001"/>
    <n v="113"/>
    <n v="111916.82"/>
    <n v="8075.38"/>
    <n v="691.68"/>
    <n v="103149.75999999999"/>
    <n v="106775.81"/>
    <x v="0"/>
    <x v="0"/>
    <n v="6"/>
    <n v="912.82973451327427"/>
    <n v="0.96604052921724493"/>
    <n v="-3626.0500000000029"/>
    <n v="3626.0500000000029"/>
  </r>
  <r>
    <s v="S00254"/>
    <d v="2024-06-01T00:00:00"/>
    <s v="R02"/>
    <x v="1"/>
    <s v="T04"/>
    <s v="REP04"/>
    <s v="P002"/>
    <n v="135"/>
    <n v="101982.71"/>
    <n v="6689.17"/>
    <n v="1341.75"/>
    <n v="93951.79"/>
    <n v="101263.98"/>
    <x v="1"/>
    <x v="0"/>
    <n v="6"/>
    <n v="695.93918518518512"/>
    <n v="0.92779080972325989"/>
    <n v="-7312.1900000000023"/>
    <n v="7312.1900000000023"/>
  </r>
  <r>
    <s v="S00255"/>
    <d v="2024-06-01T00:00:00"/>
    <s v="R02"/>
    <x v="1"/>
    <s v="T04"/>
    <s v="REP04"/>
    <s v="P003"/>
    <n v="177"/>
    <n v="109450.46"/>
    <n v="6081.04"/>
    <n v="1242.25"/>
    <n v="102127.17"/>
    <n v="97751.87"/>
    <x v="2"/>
    <x v="0"/>
    <n v="6"/>
    <n v="576.98966101694919"/>
    <n v="1.0447592460379531"/>
    <n v="4375.3000000000029"/>
    <n v="0"/>
  </r>
  <r>
    <s v="S00256"/>
    <d v="2024-06-01T00:00:00"/>
    <s v="R02"/>
    <x v="1"/>
    <s v="T04"/>
    <s v="REP04"/>
    <s v="P004"/>
    <n v="94"/>
    <n v="103241.01"/>
    <n v="5242.54"/>
    <n v="714.97"/>
    <n v="97283.5"/>
    <n v="90946.01"/>
    <x v="3"/>
    <x v="0"/>
    <n v="6"/>
    <n v="1034.9308510638298"/>
    <n v="1.0696840905939689"/>
    <n v="6337.4900000000052"/>
    <n v="0"/>
  </r>
  <r>
    <s v="S00257"/>
    <d v="2024-06-01T00:00:00"/>
    <s v="R02"/>
    <x v="1"/>
    <s v="T05"/>
    <s v="REP05"/>
    <s v="P001"/>
    <n v="101"/>
    <n v="98994.06"/>
    <n v="4368.7299999999996"/>
    <n v="433.81"/>
    <n v="94191.51"/>
    <n v="95243.89"/>
    <x v="0"/>
    <x v="0"/>
    <n v="6"/>
    <n v="932.58920792079198"/>
    <n v="0.98895068229573568"/>
    <n v="-1052.3800000000047"/>
    <n v="1052.3800000000047"/>
  </r>
  <r>
    <s v="S00258"/>
    <d v="2024-06-01T00:00:00"/>
    <s v="R02"/>
    <x v="1"/>
    <s v="T05"/>
    <s v="REP05"/>
    <s v="P002"/>
    <n v="120"/>
    <n v="92000.04"/>
    <n v="3282.45"/>
    <n v="1182.82"/>
    <n v="87534.77"/>
    <n v="89303.63"/>
    <x v="1"/>
    <x v="0"/>
    <n v="6"/>
    <n v="729.45641666666666"/>
    <n v="0.98019274244507193"/>
    <n v="-1768.8600000000006"/>
    <n v="1768.8600000000006"/>
  </r>
  <r>
    <s v="S00259"/>
    <d v="2024-06-01T00:00:00"/>
    <s v="R02"/>
    <x v="1"/>
    <s v="T05"/>
    <s v="REP05"/>
    <s v="P003"/>
    <n v="143"/>
    <n v="88003.83"/>
    <n v="5027.33"/>
    <n v="353.29"/>
    <n v="82623.199999999997"/>
    <n v="86674.240000000005"/>
    <x v="2"/>
    <x v="0"/>
    <n v="6"/>
    <n v="577.78461538461534"/>
    <n v="0.95326131501124201"/>
    <n v="-4051.0400000000081"/>
    <n v="4051.0400000000081"/>
  </r>
  <r>
    <s v="S00260"/>
    <d v="2024-06-01T00:00:00"/>
    <s v="R02"/>
    <x v="1"/>
    <s v="T05"/>
    <s v="REP05"/>
    <s v="P004"/>
    <n v="83"/>
    <n v="91799.82"/>
    <n v="6457.62"/>
    <n v="750.91"/>
    <n v="84591.29"/>
    <n v="81148.08"/>
    <x v="3"/>
    <x v="0"/>
    <n v="6"/>
    <n v="1019.1721686746987"/>
    <n v="1.0424311949216789"/>
    <n v="3443.2099999999919"/>
    <n v="0"/>
  </r>
  <r>
    <s v="S00261"/>
    <d v="2024-06-01T00:00:00"/>
    <s v="R02"/>
    <x v="1"/>
    <s v="T06"/>
    <s v="REP06"/>
    <s v="P001"/>
    <n v="109"/>
    <n v="105837.28"/>
    <n v="4123.42"/>
    <n v="1227.25"/>
    <n v="100486.61"/>
    <n v="105995.69"/>
    <x v="0"/>
    <x v="0"/>
    <n v="6"/>
    <n v="921.89550458715598"/>
    <n v="0.94802543386433924"/>
    <n v="-5509.0800000000017"/>
    <n v="5509.0800000000017"/>
  </r>
  <r>
    <s v="S00262"/>
    <d v="2024-06-01T00:00:00"/>
    <s v="R02"/>
    <x v="1"/>
    <s v="T06"/>
    <s v="REP06"/>
    <s v="P002"/>
    <n v="140"/>
    <n v="106754.67"/>
    <n v="4939.55"/>
    <n v="1212.06"/>
    <n v="100603.06"/>
    <n v="98215.35"/>
    <x v="1"/>
    <x v="0"/>
    <n v="6"/>
    <n v="718.59328571428568"/>
    <n v="1.0243109656484448"/>
    <n v="2387.7099999999919"/>
    <n v="0"/>
  </r>
  <r>
    <s v="S00263"/>
    <d v="2024-06-01T00:00:00"/>
    <s v="R02"/>
    <x v="1"/>
    <s v="T06"/>
    <s v="REP06"/>
    <s v="P003"/>
    <n v="161"/>
    <n v="101188.03"/>
    <n v="7060.73"/>
    <n v="826.35"/>
    <n v="93300.95"/>
    <n v="97137.87"/>
    <x v="2"/>
    <x v="0"/>
    <n v="6"/>
    <n v="579.50900621118012"/>
    <n v="0.96050026627102281"/>
    <n v="-3836.9199999999983"/>
    <n v="3836.9199999999983"/>
  </r>
  <r>
    <s v="S00264"/>
    <d v="2024-06-01T00:00:00"/>
    <s v="R02"/>
    <x v="1"/>
    <s v="T06"/>
    <s v="REP06"/>
    <s v="P004"/>
    <n v="85"/>
    <n v="94177.59"/>
    <n v="4785.83"/>
    <n v="839.33"/>
    <n v="88552.43"/>
    <n v="89941.84"/>
    <x v="3"/>
    <x v="0"/>
    <n v="6"/>
    <n v="1041.7932941176471"/>
    <n v="0.98455212835316686"/>
    <n v="-1389.4100000000035"/>
    <n v="1389.4100000000035"/>
  </r>
  <r>
    <s v="S00265"/>
    <d v="2024-06-01T00:00:00"/>
    <s v="R03"/>
    <x v="2"/>
    <s v="T07"/>
    <s v="REP07"/>
    <s v="P001"/>
    <n v="120"/>
    <n v="117279.18"/>
    <n v="7195.58"/>
    <n v="1482.35"/>
    <n v="108601.25"/>
    <n v="104373.56"/>
    <x v="0"/>
    <x v="0"/>
    <n v="6"/>
    <n v="905.01041666666663"/>
    <n v="1.0405053731998795"/>
    <n v="4227.6900000000023"/>
    <n v="0"/>
  </r>
  <r>
    <s v="S00266"/>
    <d v="2024-06-01T00:00:00"/>
    <s v="R03"/>
    <x v="2"/>
    <s v="T07"/>
    <s v="REP07"/>
    <s v="P002"/>
    <n v="137"/>
    <n v="102974.46"/>
    <n v="5251.5"/>
    <n v="1295.8800000000001"/>
    <n v="96427.08"/>
    <n v="99196.06"/>
    <x v="1"/>
    <x v="0"/>
    <n v="6"/>
    <n v="703.84729927007299"/>
    <n v="0.97208578647176114"/>
    <n v="-2768.9799999999959"/>
    <n v="2768.9799999999959"/>
  </r>
  <r>
    <s v="S00267"/>
    <d v="2024-06-01T00:00:00"/>
    <s v="R03"/>
    <x v="2"/>
    <s v="T07"/>
    <s v="REP07"/>
    <s v="P003"/>
    <n v="166"/>
    <n v="103400.11"/>
    <n v="5632.92"/>
    <n v="1212.32"/>
    <n v="96554.87"/>
    <n v="97936.320000000007"/>
    <x v="2"/>
    <x v="0"/>
    <n v="6"/>
    <n v="581.65584337349389"/>
    <n v="0.9858944056709501"/>
    <n v="-1381.4500000000116"/>
    <n v="1381.4500000000116"/>
  </r>
  <r>
    <s v="S00268"/>
    <d v="2024-06-01T00:00:00"/>
    <s v="R03"/>
    <x v="2"/>
    <s v="T07"/>
    <s v="REP07"/>
    <s v="P004"/>
    <n v="91"/>
    <n v="99429.74"/>
    <n v="6034.96"/>
    <n v="1312.8"/>
    <n v="92081.99"/>
    <n v="92086.34"/>
    <x v="3"/>
    <x v="0"/>
    <n v="6"/>
    <n v="1011.8900000000001"/>
    <n v="0.99995276172340009"/>
    <n v="-4.3499999999912689"/>
    <n v="4.3499999999912689"/>
  </r>
  <r>
    <s v="S00269"/>
    <d v="2024-06-01T00:00:00"/>
    <s v="R03"/>
    <x v="2"/>
    <s v="T08"/>
    <s v="REP08"/>
    <s v="P001"/>
    <n v="122"/>
    <n v="120420.44"/>
    <n v="4715.16"/>
    <n v="1003.17"/>
    <n v="114702.11"/>
    <n v="105646.35"/>
    <x v="0"/>
    <x v="0"/>
    <n v="6"/>
    <n v="940.18122950819668"/>
    <n v="1.0857176797873282"/>
    <n v="9055.7599999999948"/>
    <n v="0"/>
  </r>
  <r>
    <s v="S00270"/>
    <d v="2024-06-01T00:00:00"/>
    <s v="R03"/>
    <x v="2"/>
    <s v="T08"/>
    <s v="REP08"/>
    <s v="P002"/>
    <n v="142"/>
    <n v="107028.38"/>
    <n v="5887.78"/>
    <n v="1240.96"/>
    <n v="99899.64"/>
    <n v="100875.84"/>
    <x v="1"/>
    <x v="0"/>
    <n v="6"/>
    <n v="703.51859154929582"/>
    <n v="0.99032275716365781"/>
    <n v="-976.19999999999709"/>
    <n v="976.19999999999709"/>
  </r>
  <r>
    <s v="S00271"/>
    <d v="2024-06-01T00:00:00"/>
    <s v="R03"/>
    <x v="2"/>
    <s v="T08"/>
    <s v="REP08"/>
    <s v="P003"/>
    <n v="173"/>
    <n v="105894.82"/>
    <n v="3948.17"/>
    <n v="804.73"/>
    <n v="101141.92"/>
    <n v="98198.29"/>
    <x v="2"/>
    <x v="0"/>
    <n v="6"/>
    <n v="584.63537572254336"/>
    <n v="1.0299763875725332"/>
    <n v="2943.6300000000047"/>
    <n v="0"/>
  </r>
  <r>
    <s v="S00272"/>
    <d v="2024-06-01T00:00:00"/>
    <s v="R03"/>
    <x v="2"/>
    <s v="T08"/>
    <s v="REP08"/>
    <s v="P004"/>
    <n v="86"/>
    <n v="93916.65"/>
    <n v="3412.7"/>
    <n v="1003.03"/>
    <n v="89500.92"/>
    <n v="92777.41"/>
    <x v="3"/>
    <x v="0"/>
    <n v="6"/>
    <n v="1040.7083720930232"/>
    <n v="0.96468439892857538"/>
    <n v="-3276.4900000000052"/>
    <n v="3276.4900000000052"/>
  </r>
  <r>
    <s v="S00273"/>
    <d v="2024-06-01T00:00:00"/>
    <s v="R03"/>
    <x v="2"/>
    <s v="T09"/>
    <s v="REP09"/>
    <s v="P001"/>
    <n v="120"/>
    <n v="116193.43"/>
    <n v="8255.9699999999993"/>
    <n v="815.68"/>
    <n v="107121.77"/>
    <n v="110220.26"/>
    <x v="0"/>
    <x v="0"/>
    <n v="6"/>
    <n v="892.68141666666668"/>
    <n v="0.9718881991387065"/>
    <n v="-3098.4899999999907"/>
    <n v="3098.4899999999907"/>
  </r>
  <r>
    <s v="S00274"/>
    <d v="2024-06-01T00:00:00"/>
    <s v="R03"/>
    <x v="2"/>
    <s v="T09"/>
    <s v="REP09"/>
    <s v="P002"/>
    <n v="136"/>
    <n v="102136.41"/>
    <n v="4693.9399999999996"/>
    <n v="1429.43"/>
    <n v="96013.04"/>
    <n v="102503.9"/>
    <x v="1"/>
    <x v="0"/>
    <n v="6"/>
    <n v="705.97823529411755"/>
    <n v="0.93667694595034923"/>
    <n v="-6490.8600000000006"/>
    <n v="6490.8600000000006"/>
  </r>
  <r>
    <s v="S00275"/>
    <d v="2024-06-01T00:00:00"/>
    <s v="R03"/>
    <x v="2"/>
    <s v="T09"/>
    <s v="REP09"/>
    <s v="P003"/>
    <n v="173"/>
    <n v="105861.27"/>
    <n v="7117.71"/>
    <n v="739.64"/>
    <n v="98003.92"/>
    <n v="100313.9"/>
    <x v="2"/>
    <x v="0"/>
    <n v="6"/>
    <n v="566.49664739884395"/>
    <n v="0.9769724833746869"/>
    <n v="-2309.9799999999959"/>
    <n v="2309.9799999999959"/>
  </r>
  <r>
    <s v="S00276"/>
    <d v="2024-06-01T00:00:00"/>
    <s v="R03"/>
    <x v="2"/>
    <s v="T09"/>
    <s v="REP09"/>
    <s v="P004"/>
    <n v="90"/>
    <n v="98704.45"/>
    <n v="6311.46"/>
    <n v="520.04999999999995"/>
    <n v="91872.94"/>
    <n v="94906.92"/>
    <x v="3"/>
    <x v="0"/>
    <n v="6"/>
    <n v="1020.8104444444444"/>
    <n v="0.96803204655677377"/>
    <n v="-3033.9799999999959"/>
    <n v="3033.9799999999959"/>
  </r>
  <r>
    <s v="S00277"/>
    <d v="2024-06-01T00:00:00"/>
    <s v="R04"/>
    <x v="3"/>
    <s v="T10"/>
    <s v="REP10"/>
    <s v="P001"/>
    <n v="99"/>
    <n v="97943.34"/>
    <n v="4283.1899999999996"/>
    <n v="485.64"/>
    <n v="93174.51"/>
    <n v="85229.98"/>
    <x v="0"/>
    <x v="0"/>
    <n v="6"/>
    <n v="941.15666666666664"/>
    <n v="1.09321285772917"/>
    <n v="7944.5299999999988"/>
    <n v="0"/>
  </r>
  <r>
    <s v="S00278"/>
    <d v="2024-06-01T00:00:00"/>
    <s v="R04"/>
    <x v="3"/>
    <s v="T10"/>
    <s v="REP10"/>
    <s v="P002"/>
    <n v="118"/>
    <n v="89573.45"/>
    <n v="5872.74"/>
    <n v="604.41"/>
    <n v="83096.289999999994"/>
    <n v="80797.77"/>
    <x v="1"/>
    <x v="0"/>
    <n v="6"/>
    <n v="704.2058474576271"/>
    <n v="1.0284478148344935"/>
    <n v="2298.5199999999895"/>
    <n v="0"/>
  </r>
  <r>
    <s v="S00279"/>
    <d v="2024-06-01T00:00:00"/>
    <s v="R04"/>
    <x v="3"/>
    <s v="T10"/>
    <s v="REP10"/>
    <s v="P003"/>
    <n v="132"/>
    <n v="81572.69"/>
    <n v="5223.6499999999996"/>
    <n v="347.5"/>
    <n v="76001.53"/>
    <n v="80364.87"/>
    <x v="2"/>
    <x v="0"/>
    <n v="6"/>
    <n v="575.76916666666671"/>
    <n v="0.94570587870048195"/>
    <n v="-4363.3399999999965"/>
    <n v="4363.3399999999965"/>
  </r>
  <r>
    <s v="S00280"/>
    <d v="2024-06-01T00:00:00"/>
    <s v="R04"/>
    <x v="3"/>
    <s v="T10"/>
    <s v="REP10"/>
    <s v="P004"/>
    <n v="71"/>
    <n v="78845.62"/>
    <n v="5555.2"/>
    <n v="360.32"/>
    <n v="72930.11"/>
    <n v="73692.5"/>
    <x v="3"/>
    <x v="0"/>
    <n v="6"/>
    <n v="1027.184647887324"/>
    <n v="0.98965444244665335"/>
    <n v="-762.38999999999942"/>
    <n v="762.38999999999942"/>
  </r>
  <r>
    <s v="S00281"/>
    <d v="2024-06-01T00:00:00"/>
    <s v="R04"/>
    <x v="3"/>
    <s v="T11"/>
    <s v="REP11"/>
    <s v="P001"/>
    <n v="89"/>
    <n v="87563.17"/>
    <n v="5563.46"/>
    <n v="886.96"/>
    <n v="81112.75"/>
    <n v="86638.78"/>
    <x v="0"/>
    <x v="0"/>
    <n v="6"/>
    <n v="911.37921348314603"/>
    <n v="0.9362175921683108"/>
    <n v="-5526.0299999999988"/>
    <n v="5526.0299999999988"/>
  </r>
  <r>
    <s v="S00282"/>
    <d v="2024-06-01T00:00:00"/>
    <s v="R04"/>
    <x v="3"/>
    <s v="T11"/>
    <s v="REP11"/>
    <s v="P002"/>
    <n v="107"/>
    <n v="80483"/>
    <n v="4440.41"/>
    <n v="1023.3"/>
    <n v="75019.289999999994"/>
    <n v="80552.740000000005"/>
    <x v="1"/>
    <x v="0"/>
    <n v="6"/>
    <n v="701.11485981308408"/>
    <n v="0.93130649559530798"/>
    <n v="-5533.4500000000116"/>
    <n v="5533.4500000000116"/>
  </r>
  <r>
    <s v="S00283"/>
    <d v="2024-06-01T00:00:00"/>
    <s v="R04"/>
    <x v="3"/>
    <s v="T11"/>
    <s v="REP11"/>
    <s v="P003"/>
    <n v="144"/>
    <n v="89562.18"/>
    <n v="5587.96"/>
    <n v="1216.93"/>
    <n v="82757.279999999999"/>
    <n v="79156.7"/>
    <x v="2"/>
    <x v="0"/>
    <n v="6"/>
    <n v="574.70333333333338"/>
    <n v="1.0454867370671086"/>
    <n v="3600.5800000000017"/>
    <n v="0"/>
  </r>
  <r>
    <s v="S00284"/>
    <d v="2024-06-01T00:00:00"/>
    <s v="R04"/>
    <x v="3"/>
    <s v="T11"/>
    <s v="REP11"/>
    <s v="P004"/>
    <n v="70"/>
    <n v="76081.45"/>
    <n v="3673.65"/>
    <n v="492.17"/>
    <n v="71915.64"/>
    <n v="73183.990000000005"/>
    <x v="3"/>
    <x v="0"/>
    <n v="6"/>
    <n v="1027.3662857142856"/>
    <n v="0.98266902364847819"/>
    <n v="-1268.3500000000058"/>
    <n v="1268.3500000000058"/>
  </r>
  <r>
    <s v="S00285"/>
    <d v="2024-06-01T00:00:00"/>
    <s v="R04"/>
    <x v="3"/>
    <s v="T12"/>
    <s v="REP12"/>
    <s v="P001"/>
    <n v="104"/>
    <n v="101780.71"/>
    <n v="6174.07"/>
    <n v="998.14"/>
    <n v="94608.5"/>
    <n v="95651.11"/>
    <x v="0"/>
    <x v="0"/>
    <n v="6"/>
    <n v="909.69711538461536"/>
    <n v="0.98909986512440895"/>
    <n v="-1042.6100000000006"/>
    <n v="1042.6100000000006"/>
  </r>
  <r>
    <s v="S00286"/>
    <d v="2024-06-01T00:00:00"/>
    <s v="R04"/>
    <x v="3"/>
    <s v="T12"/>
    <s v="REP12"/>
    <s v="P002"/>
    <n v="129"/>
    <n v="96848.8"/>
    <n v="3532.5"/>
    <n v="1127.17"/>
    <n v="92189.13"/>
    <n v="90170.38"/>
    <x v="1"/>
    <x v="0"/>
    <n v="6"/>
    <n v="714.64441860465115"/>
    <n v="1.0223881722578967"/>
    <n v="2018.75"/>
    <n v="0"/>
  </r>
  <r>
    <s v="S00287"/>
    <d v="2024-06-01T00:00:00"/>
    <s v="R04"/>
    <x v="3"/>
    <s v="T12"/>
    <s v="REP12"/>
    <s v="P003"/>
    <n v="147"/>
    <n v="90457.02"/>
    <n v="3992.92"/>
    <n v="715.66"/>
    <n v="85748.44"/>
    <n v="89600.95"/>
    <x v="2"/>
    <x v="0"/>
    <n v="6"/>
    <n v="583.3227210884354"/>
    <n v="0.9570036924831713"/>
    <n v="-3852.5099999999948"/>
    <n v="3852.5099999999948"/>
  </r>
  <r>
    <s v="S00288"/>
    <d v="2024-06-01T00:00:00"/>
    <s v="R04"/>
    <x v="3"/>
    <s v="T12"/>
    <s v="REP12"/>
    <s v="P004"/>
    <n v="83"/>
    <n v="90736.71"/>
    <n v="5640.54"/>
    <n v="678.57"/>
    <n v="84417.61"/>
    <n v="83577.98"/>
    <x v="3"/>
    <x v="0"/>
    <n v="6"/>
    <n v="1017.0796385542169"/>
    <n v="1.0100460671578806"/>
    <n v="839.63000000000466"/>
    <n v="0"/>
  </r>
  <r>
    <s v="S00289"/>
    <d v="2024-07-01T00:00:00"/>
    <s v="R01"/>
    <x v="0"/>
    <s v="T01"/>
    <s v="REP01"/>
    <s v="P001"/>
    <n v="135"/>
    <n v="131744.23000000001"/>
    <n v="4761.42"/>
    <n v="1298.57"/>
    <n v="125684.24"/>
    <n v="127739.27"/>
    <x v="0"/>
    <x v="0"/>
    <n v="7"/>
    <n v="930.99437037037046"/>
    <n v="0.98391230825101783"/>
    <n v="-2055.0299999999988"/>
    <n v="2055.0299999999988"/>
  </r>
  <r>
    <s v="S00290"/>
    <d v="2024-07-01T00:00:00"/>
    <s v="R01"/>
    <x v="0"/>
    <s v="T01"/>
    <s v="REP01"/>
    <s v="P002"/>
    <n v="157"/>
    <n v="120295.74"/>
    <n v="4469.84"/>
    <n v="1218.26"/>
    <n v="114607.64"/>
    <n v="118722.16"/>
    <x v="1"/>
    <x v="0"/>
    <n v="7"/>
    <n v="729.98496815286626"/>
    <n v="0.96534328553321469"/>
    <n v="-4114.5200000000041"/>
    <n v="4114.5200000000041"/>
  </r>
  <r>
    <s v="S00291"/>
    <d v="2024-07-01T00:00:00"/>
    <s v="R01"/>
    <x v="0"/>
    <s v="T01"/>
    <s v="REP01"/>
    <s v="P003"/>
    <n v="206"/>
    <n v="126238.64"/>
    <n v="9420.32"/>
    <n v="1704.61"/>
    <n v="115113.71"/>
    <n v="115379.08"/>
    <x v="2"/>
    <x v="0"/>
    <n v="7"/>
    <n v="558.8044174757282"/>
    <n v="0.99770001632878336"/>
    <n v="-265.36999999999534"/>
    <n v="265.36999999999534"/>
  </r>
  <r>
    <s v="S00292"/>
    <d v="2024-07-01T00:00:00"/>
    <s v="R01"/>
    <x v="0"/>
    <s v="T01"/>
    <s v="REP01"/>
    <s v="P004"/>
    <n v="100"/>
    <n v="110093.36"/>
    <n v="6105.08"/>
    <n v="502.95"/>
    <n v="103485.33"/>
    <n v="108538.3"/>
    <x v="3"/>
    <x v="0"/>
    <n v="7"/>
    <n v="1034.8533"/>
    <n v="0.9534452815273502"/>
    <n v="-5052.9700000000012"/>
    <n v="5052.9700000000012"/>
  </r>
  <r>
    <s v="S00293"/>
    <d v="2024-07-01T00:00:00"/>
    <s v="R01"/>
    <x v="0"/>
    <s v="T02"/>
    <s v="REP02"/>
    <s v="P001"/>
    <n v="134"/>
    <n v="132137.17000000001"/>
    <n v="9452.33"/>
    <n v="1543.15"/>
    <n v="121141.69"/>
    <n v="126896.9"/>
    <x v="0"/>
    <x v="0"/>
    <n v="7"/>
    <n v="904.04246268656721"/>
    <n v="0.95464656741023624"/>
    <n v="-5755.2099999999919"/>
    <n v="5755.2099999999919"/>
  </r>
  <r>
    <s v="S00294"/>
    <d v="2024-07-01T00:00:00"/>
    <s v="R01"/>
    <x v="0"/>
    <s v="T02"/>
    <s v="REP02"/>
    <s v="P002"/>
    <n v="162"/>
    <n v="124818.58"/>
    <n v="7622.04"/>
    <n v="1209.53"/>
    <n v="115987.02"/>
    <n v="118466.55"/>
    <x v="1"/>
    <x v="0"/>
    <n v="7"/>
    <n v="715.96925925925927"/>
    <n v="0.97906978805409628"/>
    <n v="-2479.5299999999988"/>
    <n v="2479.5299999999988"/>
  </r>
  <r>
    <s v="S00295"/>
    <d v="2024-07-01T00:00:00"/>
    <s v="R01"/>
    <x v="0"/>
    <s v="T02"/>
    <s v="REP02"/>
    <s v="P003"/>
    <n v="196"/>
    <n v="121859.68"/>
    <n v="7538.42"/>
    <n v="1669.75"/>
    <n v="112651.51"/>
    <n v="117094.93"/>
    <x v="2"/>
    <x v="0"/>
    <n v="7"/>
    <n v="574.75260204081633"/>
    <n v="0.96205284037489924"/>
    <n v="-4443.4199999999983"/>
    <n v="4443.4199999999983"/>
  </r>
  <r>
    <s v="S00296"/>
    <d v="2024-07-01T00:00:00"/>
    <s v="R01"/>
    <x v="0"/>
    <s v="T02"/>
    <s v="REP02"/>
    <s v="P004"/>
    <n v="109"/>
    <n v="119319.98"/>
    <n v="4766.5"/>
    <n v="549.04999999999995"/>
    <n v="114004.42"/>
    <n v="109744.04"/>
    <x v="3"/>
    <x v="0"/>
    <n v="7"/>
    <n v="1045.9121100917432"/>
    <n v="1.0388210603509767"/>
    <n v="4260.3800000000047"/>
    <n v="0"/>
  </r>
  <r>
    <s v="S00297"/>
    <d v="2024-07-01T00:00:00"/>
    <s v="R01"/>
    <x v="0"/>
    <s v="T03"/>
    <s v="REP03"/>
    <s v="P001"/>
    <n v="160"/>
    <n v="156211.45000000001"/>
    <n v="10826.98"/>
    <n v="1684.97"/>
    <n v="143699.5"/>
    <n v="141526.48000000001"/>
    <x v="0"/>
    <x v="0"/>
    <n v="7"/>
    <n v="898.12187500000005"/>
    <n v="1.0153541584585442"/>
    <n v="2173.0199999999895"/>
    <n v="0"/>
  </r>
  <r>
    <s v="S00298"/>
    <d v="2024-07-01T00:00:00"/>
    <s v="R01"/>
    <x v="0"/>
    <s v="T03"/>
    <s v="REP03"/>
    <s v="P002"/>
    <n v="187"/>
    <n v="141978.82999999999"/>
    <n v="9311.76"/>
    <n v="945.59"/>
    <n v="131721.48000000001"/>
    <n v="129080.07"/>
    <x v="1"/>
    <x v="0"/>
    <n v="7"/>
    <n v="704.39294117647069"/>
    <n v="1.0204633449609999"/>
    <n v="2641.4100000000035"/>
    <n v="0"/>
  </r>
  <r>
    <s v="S00299"/>
    <d v="2024-07-01T00:00:00"/>
    <s v="R01"/>
    <x v="0"/>
    <s v="T03"/>
    <s v="REP03"/>
    <s v="P003"/>
    <n v="233"/>
    <n v="145689.42000000001"/>
    <n v="9904.27"/>
    <n v="1461.08"/>
    <n v="134324.07"/>
    <n v="128762.61"/>
    <x v="2"/>
    <x v="0"/>
    <n v="7"/>
    <n v="576.4981545064378"/>
    <n v="1.0431915755668513"/>
    <n v="5561.4600000000064"/>
    <n v="0"/>
  </r>
  <r>
    <s v="S00300"/>
    <d v="2024-07-01T00:00:00"/>
    <s v="R01"/>
    <x v="0"/>
    <s v="T03"/>
    <s v="REP03"/>
    <s v="P004"/>
    <n v="112"/>
    <n v="122083.65"/>
    <n v="6100.92"/>
    <n v="1392.21"/>
    <n v="114590.52"/>
    <n v="119853.95"/>
    <x v="3"/>
    <x v="0"/>
    <n v="7"/>
    <n v="1023.1296428571429"/>
    <n v="0.95608463467411797"/>
    <n v="-5263.429999999993"/>
    <n v="5263.429999999993"/>
  </r>
  <r>
    <s v="S00301"/>
    <d v="2024-07-01T00:00:00"/>
    <s v="R02"/>
    <x v="1"/>
    <s v="T04"/>
    <s v="REP04"/>
    <s v="P001"/>
    <n v="114"/>
    <n v="111219.89"/>
    <n v="5747.93"/>
    <n v="954.86"/>
    <n v="104517.1"/>
    <n v="103400.2"/>
    <x v="0"/>
    <x v="0"/>
    <n v="7"/>
    <n v="916.81666666666672"/>
    <n v="1.010801719919304"/>
    <n v="1116.9000000000087"/>
    <n v="0"/>
  </r>
  <r>
    <s v="S00302"/>
    <d v="2024-07-01T00:00:00"/>
    <s v="R02"/>
    <x v="1"/>
    <s v="T04"/>
    <s v="REP04"/>
    <s v="P002"/>
    <n v="141"/>
    <n v="107647.72"/>
    <n v="5196.8500000000004"/>
    <n v="442.24"/>
    <n v="102008.62"/>
    <n v="97224.01"/>
    <x v="1"/>
    <x v="0"/>
    <n v="7"/>
    <n v="723.4653900709219"/>
    <n v="1.0492122264860295"/>
    <n v="4784.6100000000006"/>
    <n v="0"/>
  </r>
  <r>
    <s v="S00303"/>
    <d v="2024-07-01T00:00:00"/>
    <s v="R02"/>
    <x v="1"/>
    <s v="T04"/>
    <s v="REP04"/>
    <s v="P003"/>
    <n v="160"/>
    <n v="98837.4"/>
    <n v="4342.62"/>
    <n v="839.34"/>
    <n v="93655.44"/>
    <n v="93989.63"/>
    <x v="2"/>
    <x v="0"/>
    <n v="7"/>
    <n v="585.34649999999999"/>
    <n v="0.99644439498272308"/>
    <n v="-334.19000000000233"/>
    <n v="334.19000000000233"/>
  </r>
  <r>
    <s v="S00304"/>
    <d v="2024-07-01T00:00:00"/>
    <s v="R02"/>
    <x v="1"/>
    <s v="T04"/>
    <s v="REP04"/>
    <s v="P004"/>
    <n v="81"/>
    <n v="89020.9"/>
    <n v="6591.75"/>
    <n v="481.65"/>
    <n v="81947.5"/>
    <n v="87319.29"/>
    <x v="3"/>
    <x v="0"/>
    <n v="7"/>
    <n v="1011.6975308641976"/>
    <n v="0.93848106185929825"/>
    <n v="-5371.7899999999936"/>
    <n v="5371.7899999999936"/>
  </r>
  <r>
    <s v="S00305"/>
    <d v="2024-07-01T00:00:00"/>
    <s v="R02"/>
    <x v="1"/>
    <s v="T05"/>
    <s v="REP05"/>
    <s v="P001"/>
    <n v="103"/>
    <n v="101372.61"/>
    <n v="7360.51"/>
    <n v="1222.78"/>
    <n v="92789.32"/>
    <n v="89985.51"/>
    <x v="0"/>
    <x v="0"/>
    <n v="7"/>
    <n v="900.86718446601947"/>
    <n v="1.0311584609566586"/>
    <n v="2803.8100000000122"/>
    <n v="0"/>
  </r>
  <r>
    <s v="S00306"/>
    <d v="2024-07-01T00:00:00"/>
    <s v="R02"/>
    <x v="1"/>
    <s v="T05"/>
    <s v="REP05"/>
    <s v="P002"/>
    <n v="122"/>
    <n v="92217.96"/>
    <n v="6578.23"/>
    <n v="585.17999999999995"/>
    <n v="85054.54"/>
    <n v="83503.08"/>
    <x v="1"/>
    <x v="0"/>
    <n v="7"/>
    <n v="697.16836065573762"/>
    <n v="1.018579673947356"/>
    <n v="1551.4599999999919"/>
    <n v="0"/>
  </r>
  <r>
    <s v="S00307"/>
    <d v="2024-07-01T00:00:00"/>
    <s v="R02"/>
    <x v="1"/>
    <s v="T05"/>
    <s v="REP05"/>
    <s v="P003"/>
    <n v="149"/>
    <n v="91218.59"/>
    <n v="3685.59"/>
    <n v="975.81"/>
    <n v="86557.19"/>
    <n v="83120.75"/>
    <x v="2"/>
    <x v="0"/>
    <n v="7"/>
    <n v="580.9207382550336"/>
    <n v="1.041342745343371"/>
    <n v="3436.4400000000023"/>
    <n v="0"/>
  </r>
  <r>
    <s v="S00308"/>
    <d v="2024-07-01T00:00:00"/>
    <s v="R02"/>
    <x v="1"/>
    <s v="T05"/>
    <s v="REP05"/>
    <s v="P004"/>
    <n v="79"/>
    <n v="86596.02"/>
    <n v="6265.17"/>
    <n v="839.46"/>
    <n v="79491.39"/>
    <n v="78053.98"/>
    <x v="3"/>
    <x v="0"/>
    <n v="7"/>
    <n v="1006.2201265822785"/>
    <n v="1.0184155888014936"/>
    <n v="1437.4100000000035"/>
    <n v="0"/>
  </r>
  <r>
    <s v="S00309"/>
    <d v="2024-07-01T00:00:00"/>
    <s v="R02"/>
    <x v="1"/>
    <s v="T06"/>
    <s v="REP06"/>
    <s v="P001"/>
    <n v="116"/>
    <n v="114785.44"/>
    <n v="7123.56"/>
    <n v="1282.0999999999999"/>
    <n v="106379.78"/>
    <n v="102841.24"/>
    <x v="0"/>
    <x v="0"/>
    <n v="7"/>
    <n v="917.06706896551725"/>
    <n v="1.0344077920491817"/>
    <n v="3538.5399999999936"/>
    <n v="0"/>
  </r>
  <r>
    <s v="S00310"/>
    <d v="2024-07-01T00:00:00"/>
    <s v="R02"/>
    <x v="1"/>
    <s v="T06"/>
    <s v="REP06"/>
    <s v="P002"/>
    <n v="133"/>
    <n v="100975.89"/>
    <n v="4040.54"/>
    <n v="720.87"/>
    <n v="96214.48"/>
    <n v="94957.09"/>
    <x v="1"/>
    <x v="0"/>
    <n v="7"/>
    <n v="723.41714285714284"/>
    <n v="1.0132416652616461"/>
    <n v="1257.3899999999994"/>
    <n v="0"/>
  </r>
  <r>
    <s v="S00311"/>
    <d v="2024-07-01T00:00:00"/>
    <s v="R02"/>
    <x v="1"/>
    <s v="T06"/>
    <s v="REP06"/>
    <s v="P003"/>
    <n v="159"/>
    <n v="98451"/>
    <n v="4815.1400000000003"/>
    <n v="729.38"/>
    <n v="92906.48"/>
    <n v="94635.7"/>
    <x v="2"/>
    <x v="0"/>
    <n v="7"/>
    <n v="584.31748427672949"/>
    <n v="0.98172761442035084"/>
    <n v="-1729.2200000000012"/>
    <n v="1729.2200000000012"/>
  </r>
  <r>
    <s v="S00312"/>
    <d v="2024-07-01T00:00:00"/>
    <s v="R02"/>
    <x v="1"/>
    <s v="T06"/>
    <s v="REP06"/>
    <s v="P004"/>
    <n v="86"/>
    <n v="94618.36"/>
    <n v="3370.5"/>
    <n v="1289.24"/>
    <n v="89958.61"/>
    <n v="88705.23"/>
    <x v="3"/>
    <x v="0"/>
    <n v="7"/>
    <n v="1046.0303488372092"/>
    <n v="1.0141297192961454"/>
    <n v="1253.3800000000047"/>
    <n v="0"/>
  </r>
  <r>
    <s v="S00313"/>
    <d v="2024-07-01T00:00:00"/>
    <s v="R03"/>
    <x v="2"/>
    <s v="T07"/>
    <s v="REP07"/>
    <s v="P001"/>
    <n v="116"/>
    <n v="113053.17"/>
    <n v="6135.29"/>
    <n v="884.5"/>
    <n v="106033.38"/>
    <n v="100183.03"/>
    <x v="0"/>
    <x v="0"/>
    <n v="7"/>
    <n v="914.08086206896553"/>
    <n v="1.0583966166725043"/>
    <n v="5850.3500000000058"/>
    <n v="0"/>
  </r>
  <r>
    <s v="S00314"/>
    <d v="2024-07-01T00:00:00"/>
    <s v="R03"/>
    <x v="2"/>
    <s v="T07"/>
    <s v="REP07"/>
    <s v="P002"/>
    <n v="136"/>
    <n v="103834.64"/>
    <n v="5164.29"/>
    <n v="785.59"/>
    <n v="97884.76"/>
    <n v="96456.05"/>
    <x v="1"/>
    <x v="0"/>
    <n v="7"/>
    <n v="719.74088235294118"/>
    <n v="1.0148120309716187"/>
    <n v="1428.7099999999919"/>
    <n v="0"/>
  </r>
  <r>
    <s v="S00315"/>
    <d v="2024-07-01T00:00:00"/>
    <s v="R03"/>
    <x v="2"/>
    <s v="T07"/>
    <s v="REP07"/>
    <s v="P003"/>
    <n v="154"/>
    <n v="96902.49"/>
    <n v="4271.8999999999996"/>
    <n v="1295.45"/>
    <n v="91335.14"/>
    <n v="93756.7"/>
    <x v="2"/>
    <x v="0"/>
    <n v="7"/>
    <n v="593.08532467532473"/>
    <n v="0.97417187251684412"/>
    <n v="-2421.5599999999977"/>
    <n v="2421.5599999999977"/>
  </r>
  <r>
    <s v="S00316"/>
    <d v="2024-07-01T00:00:00"/>
    <s v="R03"/>
    <x v="2"/>
    <s v="T07"/>
    <s v="REP07"/>
    <s v="P004"/>
    <n v="80"/>
    <n v="87817.04"/>
    <n v="5253.13"/>
    <n v="997.92"/>
    <n v="81566"/>
    <n v="87915.839999999997"/>
    <x v="3"/>
    <x v="0"/>
    <n v="7"/>
    <n v="1019.575"/>
    <n v="0.92777365262050615"/>
    <n v="-6349.8399999999965"/>
    <n v="6349.8399999999965"/>
  </r>
  <r>
    <s v="S00317"/>
    <d v="2024-07-01T00:00:00"/>
    <s v="R03"/>
    <x v="2"/>
    <s v="T08"/>
    <s v="REP08"/>
    <s v="P001"/>
    <n v="115"/>
    <n v="111317.5"/>
    <n v="6205.24"/>
    <n v="563.67999999999995"/>
    <n v="104548.58"/>
    <n v="101618.26"/>
    <x v="0"/>
    <x v="0"/>
    <n v="7"/>
    <n v="909.11808695652178"/>
    <n v="1.0288365496516079"/>
    <n v="2930.320000000007"/>
    <n v="0"/>
  </r>
  <r>
    <s v="S00318"/>
    <d v="2024-07-01T00:00:00"/>
    <s v="R03"/>
    <x v="2"/>
    <s v="T08"/>
    <s v="REP08"/>
    <s v="P002"/>
    <n v="137"/>
    <n v="104187.26"/>
    <n v="7589.76"/>
    <n v="913"/>
    <n v="95684.5"/>
    <n v="96570.29"/>
    <x v="1"/>
    <x v="0"/>
    <n v="7"/>
    <n v="698.42700729927003"/>
    <n v="0.99082751020008331"/>
    <n v="-885.7899999999936"/>
    <n v="885.7899999999936"/>
  </r>
  <r>
    <s v="S00319"/>
    <d v="2024-07-01T00:00:00"/>
    <s v="R03"/>
    <x v="2"/>
    <s v="T08"/>
    <s v="REP08"/>
    <s v="P003"/>
    <n v="168"/>
    <n v="104017.14"/>
    <n v="6568.01"/>
    <n v="633.72"/>
    <n v="96815.41"/>
    <n v="95864.46"/>
    <x v="2"/>
    <x v="0"/>
    <n v="7"/>
    <n v="576.28220238095241"/>
    <n v="1.0099197345919437"/>
    <n v="950.94999999999709"/>
    <n v="0"/>
  </r>
  <r>
    <s v="S00320"/>
    <d v="2024-07-01T00:00:00"/>
    <s v="R03"/>
    <x v="2"/>
    <s v="T08"/>
    <s v="REP08"/>
    <s v="P004"/>
    <n v="87"/>
    <n v="96161.02"/>
    <n v="4353.54"/>
    <n v="1210.22"/>
    <n v="90597.26"/>
    <n v="88239.23"/>
    <x v="3"/>
    <x v="0"/>
    <n v="7"/>
    <n v="1041.347816091954"/>
    <n v="1.0267231479694463"/>
    <n v="2358.0299999999988"/>
    <n v="0"/>
  </r>
  <r>
    <s v="S00321"/>
    <d v="2024-07-01T00:00:00"/>
    <s v="R03"/>
    <x v="2"/>
    <s v="T09"/>
    <s v="REP09"/>
    <s v="P001"/>
    <n v="111"/>
    <n v="108600.08"/>
    <n v="7519.91"/>
    <n v="882.26"/>
    <n v="100197.91"/>
    <n v="103802.45"/>
    <x v="0"/>
    <x v="0"/>
    <n v="7"/>
    <n v="902.68387387387395"/>
    <n v="0.96527500073456851"/>
    <n v="-3604.5399999999936"/>
    <n v="3604.5399999999936"/>
  </r>
  <r>
    <s v="S00322"/>
    <d v="2024-07-01T00:00:00"/>
    <s v="R03"/>
    <x v="2"/>
    <s v="T09"/>
    <s v="REP09"/>
    <s v="P002"/>
    <n v="139"/>
    <n v="107108.98"/>
    <n v="6527.37"/>
    <n v="1115.71"/>
    <n v="99465.9"/>
    <n v="99140.75"/>
    <x v="1"/>
    <x v="0"/>
    <n v="7"/>
    <n v="715.58201438848914"/>
    <n v="1.0032796806560369"/>
    <n v="325.14999999999418"/>
    <n v="0"/>
  </r>
  <r>
    <s v="S00323"/>
    <d v="2024-07-01T00:00:00"/>
    <s v="R03"/>
    <x v="2"/>
    <s v="T09"/>
    <s v="REP09"/>
    <s v="P003"/>
    <n v="159"/>
    <n v="97930.81"/>
    <n v="3690.59"/>
    <n v="818.12"/>
    <n v="93422.1"/>
    <n v="97496.33"/>
    <x v="2"/>
    <x v="0"/>
    <n v="7"/>
    <n v="587.56037735849065"/>
    <n v="0.95821145267724439"/>
    <n v="-4074.2299999999959"/>
    <n v="4074.2299999999959"/>
  </r>
  <r>
    <s v="S00324"/>
    <d v="2024-07-01T00:00:00"/>
    <s v="R03"/>
    <x v="2"/>
    <s v="T09"/>
    <s v="REP09"/>
    <s v="P004"/>
    <n v="88"/>
    <n v="95641.7"/>
    <n v="4860.68"/>
    <n v="1235.79"/>
    <n v="89545.23"/>
    <n v="89631.34"/>
    <x v="3"/>
    <x v="0"/>
    <n v="7"/>
    <n v="1017.5594318181818"/>
    <n v="0.99903928692798749"/>
    <n v="-86.110000000000582"/>
    <n v="86.110000000000582"/>
  </r>
  <r>
    <s v="S00325"/>
    <d v="2024-07-01T00:00:00"/>
    <s v="R04"/>
    <x v="3"/>
    <s v="T10"/>
    <s v="REP10"/>
    <s v="P001"/>
    <n v="95"/>
    <n v="92121.64"/>
    <n v="4941.0600000000004"/>
    <n v="891.33"/>
    <n v="86289.25"/>
    <n v="82323.360000000001"/>
    <x v="0"/>
    <x v="0"/>
    <n v="7"/>
    <n v="908.30789473684206"/>
    <n v="1.048174540009057"/>
    <n v="3965.8899999999994"/>
    <n v="0"/>
  </r>
  <r>
    <s v="S00326"/>
    <d v="2024-07-01T00:00:00"/>
    <s v="R04"/>
    <x v="3"/>
    <s v="T10"/>
    <s v="REP10"/>
    <s v="P002"/>
    <n v="110"/>
    <n v="84475.43"/>
    <n v="5371.08"/>
    <n v="1012.52"/>
    <n v="78091.83"/>
    <n v="77221.09"/>
    <x v="1"/>
    <x v="0"/>
    <n v="7"/>
    <n v="709.92572727272727"/>
    <n v="1.0112759351104732"/>
    <n v="870.74000000000524"/>
    <n v="0"/>
  </r>
  <r>
    <s v="S00327"/>
    <d v="2024-07-01T00:00:00"/>
    <s v="R04"/>
    <x v="3"/>
    <s v="T10"/>
    <s v="REP10"/>
    <s v="P003"/>
    <n v="126"/>
    <n v="77081.740000000005"/>
    <n v="5052.43"/>
    <n v="1058.3599999999999"/>
    <n v="70970.95"/>
    <n v="77275.28"/>
    <x v="2"/>
    <x v="0"/>
    <n v="7"/>
    <n v="563.26150793650788"/>
    <n v="0.91841724805138203"/>
    <n v="-6304.3300000000017"/>
    <n v="6304.3300000000017"/>
  </r>
  <r>
    <s v="S00328"/>
    <d v="2024-07-01T00:00:00"/>
    <s v="R04"/>
    <x v="3"/>
    <s v="T10"/>
    <s v="REP10"/>
    <s v="P004"/>
    <n v="66"/>
    <n v="72383.429999999993"/>
    <n v="3251.8"/>
    <n v="938.8"/>
    <n v="68192.83"/>
    <n v="70366.61"/>
    <x v="3"/>
    <x v="0"/>
    <n v="7"/>
    <n v="1033.2246969696971"/>
    <n v="0.96910779132318581"/>
    <n v="-2173.7799999999988"/>
    <n v="2173.7799999999988"/>
  </r>
  <r>
    <s v="S00329"/>
    <d v="2024-07-01T00:00:00"/>
    <s v="R04"/>
    <x v="3"/>
    <s v="T11"/>
    <s v="REP11"/>
    <s v="P001"/>
    <n v="92"/>
    <n v="91477.78"/>
    <n v="6345.64"/>
    <n v="580.23"/>
    <n v="84551.91"/>
    <n v="83611.62"/>
    <x v="0"/>
    <x v="0"/>
    <n v="7"/>
    <n v="919.04250000000002"/>
    <n v="1.0112459249085235"/>
    <n v="940.29000000000815"/>
    <n v="0"/>
  </r>
  <r>
    <s v="S00330"/>
    <d v="2024-07-01T00:00:00"/>
    <s v="R04"/>
    <x v="3"/>
    <s v="T11"/>
    <s v="REP11"/>
    <s v="P002"/>
    <n v="106"/>
    <n v="79795.3"/>
    <n v="5106.71"/>
    <n v="513.26"/>
    <n v="74175.33"/>
    <n v="77830.67"/>
    <x v="1"/>
    <x v="0"/>
    <n v="7"/>
    <n v="699.76726415094345"/>
    <n v="0.95303470983867933"/>
    <n v="-3655.3399999999965"/>
    <n v="3655.3399999999965"/>
  </r>
  <r>
    <s v="S00331"/>
    <d v="2024-07-01T00:00:00"/>
    <s v="R04"/>
    <x v="3"/>
    <s v="T11"/>
    <s v="REP11"/>
    <s v="P003"/>
    <n v="135"/>
    <n v="83908.85"/>
    <n v="3059.4"/>
    <n v="826.44"/>
    <n v="80023.009999999995"/>
    <n v="77090.27"/>
    <x v="2"/>
    <x v="0"/>
    <n v="7"/>
    <n v="592.76303703703695"/>
    <n v="1.0380429333040342"/>
    <n v="2932.7399999999907"/>
    <n v="0"/>
  </r>
  <r>
    <s v="S00332"/>
    <d v="2024-07-01T00:00:00"/>
    <s v="R04"/>
    <x v="3"/>
    <s v="T11"/>
    <s v="REP11"/>
    <s v="P004"/>
    <n v="66"/>
    <n v="71974.570000000007"/>
    <n v="5204.2700000000004"/>
    <n v="666.19"/>
    <n v="66104.11"/>
    <n v="71793.97"/>
    <x v="3"/>
    <x v="0"/>
    <n v="7"/>
    <n v="1001.5774242424243"/>
    <n v="0.92074738310195137"/>
    <n v="-5689.8600000000006"/>
    <n v="5689.8600000000006"/>
  </r>
  <r>
    <s v="S00333"/>
    <d v="2024-07-01T00:00:00"/>
    <s v="R04"/>
    <x v="3"/>
    <s v="T12"/>
    <s v="REP12"/>
    <s v="P001"/>
    <n v="106"/>
    <n v="104210.29"/>
    <n v="5217.91"/>
    <n v="1339.35"/>
    <n v="97653.03"/>
    <n v="93976.44"/>
    <x v="0"/>
    <x v="0"/>
    <n v="7"/>
    <n v="921.255"/>
    <n v="1.039122465162545"/>
    <n v="3676.5899999999965"/>
    <n v="0"/>
  </r>
  <r>
    <s v="S00334"/>
    <d v="2024-07-01T00:00:00"/>
    <s v="R04"/>
    <x v="3"/>
    <s v="T12"/>
    <s v="REP12"/>
    <s v="P002"/>
    <n v="119"/>
    <n v="90217.75"/>
    <n v="3285.91"/>
    <n v="1031.19"/>
    <n v="85900.65"/>
    <n v="87616.95"/>
    <x v="1"/>
    <x v="0"/>
    <n v="7"/>
    <n v="721.85420168067219"/>
    <n v="0.98041132452111146"/>
    <n v="-1716.3000000000029"/>
    <n v="1716.3000000000029"/>
  </r>
  <r>
    <s v="S00335"/>
    <d v="2024-07-01T00:00:00"/>
    <s v="R04"/>
    <x v="3"/>
    <s v="T12"/>
    <s v="REP12"/>
    <s v="P003"/>
    <n v="139"/>
    <n v="85502.47"/>
    <n v="5429.8"/>
    <n v="498.34"/>
    <n v="79574.320000000007"/>
    <n v="86163.38"/>
    <x v="2"/>
    <x v="0"/>
    <n v="7"/>
    <n v="572.47712230215836"/>
    <n v="0.923528301698471"/>
    <n v="-6589.0599999999977"/>
    <n v="6589.0599999999977"/>
  </r>
  <r>
    <s v="S00336"/>
    <d v="2024-07-01T00:00:00"/>
    <s v="R04"/>
    <x v="3"/>
    <s v="T12"/>
    <s v="REP12"/>
    <s v="P004"/>
    <n v="76"/>
    <n v="82873.56"/>
    <n v="6047.68"/>
    <n v="944.81"/>
    <n v="75881.06"/>
    <n v="81044.61"/>
    <x v="3"/>
    <x v="0"/>
    <n v="7"/>
    <n v="998.43499999999995"/>
    <n v="0.93628755817320852"/>
    <n v="-5163.5500000000029"/>
    <n v="5163.5500000000029"/>
  </r>
  <r>
    <s v="S00337"/>
    <d v="2024-08-01T00:00:00"/>
    <s v="R01"/>
    <x v="0"/>
    <s v="T01"/>
    <s v="REP01"/>
    <s v="P001"/>
    <n v="142"/>
    <n v="139180.22"/>
    <n v="6634.26"/>
    <n v="1505.42"/>
    <n v="131040.54"/>
    <n v="125720.44"/>
    <x v="0"/>
    <x v="0"/>
    <n v="8"/>
    <n v="922.82070422535207"/>
    <n v="1.0423169056678452"/>
    <n v="5320.0999999999913"/>
    <n v="0"/>
  </r>
  <r>
    <s v="S00338"/>
    <d v="2024-08-01T00:00:00"/>
    <s v="R01"/>
    <x v="0"/>
    <s v="T01"/>
    <s v="REP01"/>
    <s v="P002"/>
    <n v="167"/>
    <n v="125645.19"/>
    <n v="6894.41"/>
    <n v="745.67"/>
    <n v="118005.11"/>
    <n v="118479.75"/>
    <x v="1"/>
    <x v="0"/>
    <n v="8"/>
    <n v="706.61742514970058"/>
    <n v="0.99599391457189945"/>
    <n v="-474.63999999999942"/>
    <n v="474.63999999999942"/>
  </r>
  <r>
    <s v="S00339"/>
    <d v="2024-08-01T00:00:00"/>
    <s v="R01"/>
    <x v="0"/>
    <s v="T01"/>
    <s v="REP01"/>
    <s v="P003"/>
    <n v="198"/>
    <n v="121289.99"/>
    <n v="7184.82"/>
    <n v="1288.04"/>
    <n v="112817.13"/>
    <n v="115786.66"/>
    <x v="2"/>
    <x v="0"/>
    <n v="8"/>
    <n v="569.78348484848482"/>
    <n v="0.97435343587940093"/>
    <n v="-2969.5299999999988"/>
    <n v="2969.5299999999988"/>
  </r>
  <r>
    <s v="S00340"/>
    <d v="2024-08-01T00:00:00"/>
    <s v="R01"/>
    <x v="0"/>
    <s v="T01"/>
    <s v="REP01"/>
    <s v="P004"/>
    <n v="104"/>
    <n v="115312.95"/>
    <n v="4986.03"/>
    <n v="869.52"/>
    <n v="109457.41"/>
    <n v="106775.82"/>
    <x v="3"/>
    <x v="0"/>
    <n v="8"/>
    <n v="1052.4750961538462"/>
    <n v="1.0251142065684908"/>
    <n v="2681.5899999999965"/>
    <n v="0"/>
  </r>
  <r>
    <s v="S00341"/>
    <d v="2024-08-01T00:00:00"/>
    <s v="R01"/>
    <x v="0"/>
    <s v="T02"/>
    <s v="REP02"/>
    <s v="P001"/>
    <n v="132"/>
    <n v="130869.28"/>
    <n v="8049.34"/>
    <n v="828.72"/>
    <n v="121991.22"/>
    <n v="127727.38"/>
    <x v="0"/>
    <x v="0"/>
    <n v="8"/>
    <n v="924.17590909090904"/>
    <n v="0.95509059999508328"/>
    <n v="-5736.1600000000035"/>
    <n v="5736.1600000000035"/>
  </r>
  <r>
    <s v="S00342"/>
    <d v="2024-08-01T00:00:00"/>
    <s v="R01"/>
    <x v="0"/>
    <s v="T02"/>
    <s v="REP02"/>
    <s v="P002"/>
    <n v="159"/>
    <n v="120933.94"/>
    <n v="8235.14"/>
    <n v="540.37"/>
    <n v="112158.43"/>
    <n v="119752.77"/>
    <x v="1"/>
    <x v="0"/>
    <n v="8"/>
    <n v="705.39893081760999"/>
    <n v="0.93658317882751263"/>
    <n v="-7594.3400000000111"/>
    <n v="7594.3400000000111"/>
  </r>
  <r>
    <s v="S00343"/>
    <d v="2024-08-01T00:00:00"/>
    <s v="R01"/>
    <x v="0"/>
    <s v="T02"/>
    <s v="REP02"/>
    <s v="P003"/>
    <n v="196"/>
    <n v="122644.1"/>
    <n v="7856.79"/>
    <n v="700.02"/>
    <n v="114087.29"/>
    <n v="115648.62"/>
    <x v="2"/>
    <x v="0"/>
    <n v="8"/>
    <n v="582.07801020408158"/>
    <n v="0.98649936333005961"/>
    <n v="-1561.3300000000017"/>
    <n v="1561.3300000000017"/>
  </r>
  <r>
    <s v="S00344"/>
    <d v="2024-08-01T00:00:00"/>
    <s v="R01"/>
    <x v="0"/>
    <s v="T02"/>
    <s v="REP02"/>
    <s v="P004"/>
    <n v="107"/>
    <n v="118502.5"/>
    <n v="5808.69"/>
    <n v="1568.32"/>
    <n v="111125.49"/>
    <n v="109346.07"/>
    <x v="3"/>
    <x v="0"/>
    <n v="8"/>
    <n v="1038.5559813084112"/>
    <n v="1.0162732871880993"/>
    <n v="1779.4199999999983"/>
    <n v="0"/>
  </r>
  <r>
    <s v="S00345"/>
    <d v="2024-08-01T00:00:00"/>
    <s v="R01"/>
    <x v="0"/>
    <s v="T03"/>
    <s v="REP03"/>
    <s v="P001"/>
    <n v="147"/>
    <n v="144297.26"/>
    <n v="6471.44"/>
    <n v="1461.43"/>
    <n v="136364.38"/>
    <n v="137858.45000000001"/>
    <x v="0"/>
    <x v="0"/>
    <n v="8"/>
    <n v="927.64884353741502"/>
    <n v="0.98916228929021033"/>
    <n v="-1494.070000000007"/>
    <n v="1494.070000000007"/>
  </r>
  <r>
    <s v="S00346"/>
    <d v="2024-08-01T00:00:00"/>
    <s v="R01"/>
    <x v="0"/>
    <s v="T03"/>
    <s v="REP03"/>
    <s v="P002"/>
    <n v="173"/>
    <n v="130148.41"/>
    <n v="9470.5400000000009"/>
    <n v="862.33"/>
    <n v="119815.55"/>
    <n v="127998.41"/>
    <x v="1"/>
    <x v="0"/>
    <n v="8"/>
    <n v="692.57543352601158"/>
    <n v="0.93607061212713505"/>
    <n v="-8182.8600000000006"/>
    <n v="8182.8600000000006"/>
  </r>
  <r>
    <s v="S00347"/>
    <d v="2024-08-01T00:00:00"/>
    <s v="R01"/>
    <x v="0"/>
    <s v="T03"/>
    <s v="REP03"/>
    <s v="P003"/>
    <n v="225"/>
    <n v="138400.29999999999"/>
    <n v="9913.2199999999993"/>
    <n v="787.58"/>
    <n v="127699.51"/>
    <n v="128371.47"/>
    <x v="2"/>
    <x v="0"/>
    <n v="8"/>
    <n v="567.55337777777777"/>
    <n v="0.99476550358113058"/>
    <n v="-671.9600000000064"/>
    <n v="671.9600000000064"/>
  </r>
  <r>
    <s v="S00348"/>
    <d v="2024-08-01T00:00:00"/>
    <s v="R01"/>
    <x v="0"/>
    <s v="T03"/>
    <s v="REP03"/>
    <s v="P004"/>
    <n v="109"/>
    <n v="119847.93"/>
    <n v="6845.84"/>
    <n v="1295.92"/>
    <n v="111706.17"/>
    <n v="118992.61"/>
    <x v="3"/>
    <x v="0"/>
    <n v="8"/>
    <n v="1024.827247706422"/>
    <n v="0.93876560905757089"/>
    <n v="-7286.4400000000023"/>
    <n v="7286.4400000000023"/>
  </r>
  <r>
    <s v="S00349"/>
    <d v="2024-08-01T00:00:00"/>
    <s v="R02"/>
    <x v="1"/>
    <s v="T04"/>
    <s v="REP04"/>
    <s v="P001"/>
    <n v="112"/>
    <n v="109783.02"/>
    <n v="7172.97"/>
    <n v="1029.96"/>
    <n v="101580.09"/>
    <n v="100260.66"/>
    <x v="0"/>
    <x v="0"/>
    <n v="8"/>
    <n v="906.96508928571427"/>
    <n v="1.0131599971514251"/>
    <n v="1319.429999999993"/>
    <n v="0"/>
  </r>
  <r>
    <s v="S00350"/>
    <d v="2024-08-01T00:00:00"/>
    <s v="R02"/>
    <x v="1"/>
    <s v="T04"/>
    <s v="REP04"/>
    <s v="P002"/>
    <n v="126"/>
    <n v="96478.05"/>
    <n v="6485.89"/>
    <n v="408.32"/>
    <n v="89583.84"/>
    <n v="95044.9"/>
    <x v="1"/>
    <x v="0"/>
    <n v="8"/>
    <n v="710.98285714285714"/>
    <n v="0.9425423142114937"/>
    <n v="-5461.0599999999977"/>
    <n v="5461.0599999999977"/>
  </r>
  <r>
    <s v="S00351"/>
    <d v="2024-08-01T00:00:00"/>
    <s v="R02"/>
    <x v="1"/>
    <s v="T04"/>
    <s v="REP04"/>
    <s v="P003"/>
    <n v="153"/>
    <n v="94874.82"/>
    <n v="4563.21"/>
    <n v="695.57"/>
    <n v="89616.04"/>
    <n v="92941.26"/>
    <x v="2"/>
    <x v="0"/>
    <n v="8"/>
    <n v="585.72575163398687"/>
    <n v="0.96422234861029432"/>
    <n v="-3325.2200000000012"/>
    <n v="3325.2200000000012"/>
  </r>
  <r>
    <s v="S00352"/>
    <d v="2024-08-01T00:00:00"/>
    <s v="R02"/>
    <x v="1"/>
    <s v="T04"/>
    <s v="REP04"/>
    <s v="P004"/>
    <n v="84"/>
    <n v="92194.68"/>
    <n v="3605.15"/>
    <n v="543.44000000000005"/>
    <n v="88046.09"/>
    <n v="87559.86"/>
    <x v="3"/>
    <x v="0"/>
    <n v="8"/>
    <n v="1048.1677380952381"/>
    <n v="1.0055531153201935"/>
    <n v="486.22999999999593"/>
    <n v="0"/>
  </r>
  <r>
    <s v="S00353"/>
    <d v="2024-08-01T00:00:00"/>
    <s v="R02"/>
    <x v="1"/>
    <s v="T05"/>
    <s v="REP05"/>
    <s v="P001"/>
    <n v="92"/>
    <n v="89246.74"/>
    <n v="6442.69"/>
    <n v="1192.08"/>
    <n v="81611.97"/>
    <n v="89996.15"/>
    <x v="0"/>
    <x v="0"/>
    <n v="8"/>
    <n v="887.08663043478259"/>
    <n v="0.90683845920075479"/>
    <n v="-8384.179999999993"/>
    <n v="8384.179999999993"/>
  </r>
  <r>
    <s v="S00354"/>
    <d v="2024-08-01T00:00:00"/>
    <s v="R02"/>
    <x v="1"/>
    <s v="T05"/>
    <s v="REP05"/>
    <s v="P002"/>
    <n v="114"/>
    <n v="86160.91"/>
    <n v="3129.82"/>
    <n v="1022.54"/>
    <n v="82008.55"/>
    <n v="82753.38"/>
    <x v="1"/>
    <x v="0"/>
    <n v="8"/>
    <n v="719.37324561403511"/>
    <n v="0.9909994008703934"/>
    <n v="-744.83000000000175"/>
    <n v="744.83000000000175"/>
  </r>
  <r>
    <s v="S00355"/>
    <d v="2024-08-01T00:00:00"/>
    <s v="R02"/>
    <x v="1"/>
    <s v="T05"/>
    <s v="REP05"/>
    <s v="P003"/>
    <n v="133"/>
    <n v="81359.02"/>
    <n v="3347.12"/>
    <n v="1107.7"/>
    <n v="76904.2"/>
    <n v="81980.45"/>
    <x v="2"/>
    <x v="0"/>
    <n v="8"/>
    <n v="578.22706766917292"/>
    <n v="0.93807974950125306"/>
    <n v="-5076.25"/>
    <n v="5076.25"/>
  </r>
  <r>
    <s v="S00356"/>
    <d v="2024-08-01T00:00:00"/>
    <s v="R02"/>
    <x v="1"/>
    <s v="T05"/>
    <s v="REP05"/>
    <s v="P004"/>
    <n v="71"/>
    <n v="79033.02"/>
    <n v="4795.46"/>
    <n v="550.08000000000004"/>
    <n v="73687.490000000005"/>
    <n v="75727.69"/>
    <x v="3"/>
    <x v="0"/>
    <n v="8"/>
    <n v="1037.851971830986"/>
    <n v="0.97305873188525893"/>
    <n v="-2040.1999999999971"/>
    <n v="2040.1999999999971"/>
  </r>
  <r>
    <s v="S00357"/>
    <d v="2024-08-01T00:00:00"/>
    <s v="R02"/>
    <x v="1"/>
    <s v="T06"/>
    <s v="REP06"/>
    <s v="P001"/>
    <n v="111"/>
    <n v="107322.64"/>
    <n v="5313.2"/>
    <n v="1114.74"/>
    <n v="100894.71"/>
    <n v="101974.5"/>
    <x v="0"/>
    <x v="0"/>
    <n v="8"/>
    <n v="908.96135135135137"/>
    <n v="0.98941117632349274"/>
    <n v="-1079.7899999999936"/>
    <n v="1079.7899999999936"/>
  </r>
  <r>
    <s v="S00358"/>
    <d v="2024-08-01T00:00:00"/>
    <s v="R02"/>
    <x v="1"/>
    <s v="T06"/>
    <s v="REP06"/>
    <s v="P002"/>
    <n v="130"/>
    <n v="99182.67"/>
    <n v="7025.13"/>
    <n v="419.56"/>
    <n v="91737.97"/>
    <n v="93550.15"/>
    <x v="1"/>
    <x v="0"/>
    <n v="8"/>
    <n v="705.67669230769229"/>
    <n v="0.9806287857368482"/>
    <n v="-1812.179999999993"/>
    <n v="1812.179999999993"/>
  </r>
  <r>
    <s v="S00359"/>
    <d v="2024-08-01T00:00:00"/>
    <s v="R02"/>
    <x v="1"/>
    <s v="T06"/>
    <s v="REP06"/>
    <s v="P003"/>
    <n v="151"/>
    <n v="94559.63"/>
    <n v="6187.75"/>
    <n v="1211.99"/>
    <n v="87159.89"/>
    <n v="92867.87"/>
    <x v="2"/>
    <x v="0"/>
    <n v="8"/>
    <n v="577.21781456953647"/>
    <n v="0.9385365466011012"/>
    <n v="-5707.9799999999959"/>
    <n v="5707.9799999999959"/>
  </r>
  <r>
    <s v="S00360"/>
    <d v="2024-08-01T00:00:00"/>
    <s v="R02"/>
    <x v="1"/>
    <s v="T06"/>
    <s v="REP06"/>
    <s v="P004"/>
    <n v="86"/>
    <n v="94595.27"/>
    <n v="3664.59"/>
    <n v="1007.44"/>
    <n v="89923.25"/>
    <n v="85663.85"/>
    <x v="3"/>
    <x v="0"/>
    <n v="8"/>
    <n v="1045.6191860465117"/>
    <n v="1.0497222574049614"/>
    <n v="4259.3999999999942"/>
    <n v="0"/>
  </r>
  <r>
    <s v="S00361"/>
    <d v="2024-08-01T00:00:00"/>
    <s v="R03"/>
    <x v="2"/>
    <s v="T07"/>
    <s v="REP07"/>
    <s v="P001"/>
    <n v="107"/>
    <n v="103476.68"/>
    <n v="4907.6499999999996"/>
    <n v="1323.52"/>
    <n v="97245.52"/>
    <n v="99333.24"/>
    <x v="0"/>
    <x v="0"/>
    <n v="8"/>
    <n v="908.83663551401878"/>
    <n v="0.97898266481592666"/>
    <n v="-2087.7200000000012"/>
    <n v="2087.7200000000012"/>
  </r>
  <r>
    <s v="S00362"/>
    <d v="2024-08-01T00:00:00"/>
    <s v="R03"/>
    <x v="2"/>
    <s v="T07"/>
    <s v="REP07"/>
    <s v="P002"/>
    <n v="127"/>
    <n v="96463.98"/>
    <n v="3682.46"/>
    <n v="562.66999999999996"/>
    <n v="92218.85"/>
    <n v="93139.77"/>
    <x v="1"/>
    <x v="0"/>
    <n v="8"/>
    <n v="726.13267716535438"/>
    <n v="0.99011249437270465"/>
    <n v="-920.91999999999825"/>
    <n v="920.91999999999825"/>
  </r>
  <r>
    <s v="S00363"/>
    <d v="2024-08-01T00:00:00"/>
    <s v="R03"/>
    <x v="2"/>
    <s v="T07"/>
    <s v="REP07"/>
    <s v="P003"/>
    <n v="157"/>
    <n v="96207.5"/>
    <n v="3734.54"/>
    <n v="1066.95"/>
    <n v="91406.02"/>
    <n v="92005.2"/>
    <x v="2"/>
    <x v="0"/>
    <n v="8"/>
    <n v="582.20394904458601"/>
    <n v="0.99348754200849521"/>
    <n v="-599.17999999999302"/>
    <n v="599.17999999999302"/>
  </r>
  <r>
    <s v="S00364"/>
    <d v="2024-08-01T00:00:00"/>
    <s v="R03"/>
    <x v="2"/>
    <s v="T07"/>
    <s v="REP07"/>
    <s v="P004"/>
    <n v="83"/>
    <n v="91256.83"/>
    <n v="4138.46"/>
    <n v="1241.18"/>
    <n v="85877.19"/>
    <n v="87105.43"/>
    <x v="3"/>
    <x v="0"/>
    <n v="8"/>
    <n v="1034.6649397590361"/>
    <n v="0.98589938652504228"/>
    <n v="-1228.2399999999907"/>
    <n v="1228.2399999999907"/>
  </r>
  <r>
    <s v="S00365"/>
    <d v="2024-08-01T00:00:00"/>
    <s v="R03"/>
    <x v="2"/>
    <s v="T08"/>
    <s v="REP08"/>
    <s v="P001"/>
    <n v="117"/>
    <n v="113233.76"/>
    <n v="6943.94"/>
    <n v="565.87"/>
    <n v="105723.94"/>
    <n v="101308.74"/>
    <x v="0"/>
    <x v="0"/>
    <n v="8"/>
    <n v="903.62341880341887"/>
    <n v="1.0435816297784377"/>
    <n v="4415.1999999999971"/>
    <n v="0"/>
  </r>
  <r>
    <s v="S00366"/>
    <d v="2024-08-01T00:00:00"/>
    <s v="R03"/>
    <x v="2"/>
    <s v="T08"/>
    <s v="REP08"/>
    <s v="P002"/>
    <n v="128"/>
    <n v="97544.62"/>
    <n v="4357.6400000000003"/>
    <n v="1258.67"/>
    <n v="91928.31"/>
    <n v="94999.24"/>
    <x v="1"/>
    <x v="0"/>
    <n v="8"/>
    <n v="718.18992187499998"/>
    <n v="0.96767416244593107"/>
    <n v="-3070.9300000000076"/>
    <n v="3070.9300000000076"/>
  </r>
  <r>
    <s v="S00367"/>
    <d v="2024-08-01T00:00:00"/>
    <s v="R03"/>
    <x v="2"/>
    <s v="T08"/>
    <s v="REP08"/>
    <s v="P003"/>
    <n v="154"/>
    <n v="96453.13"/>
    <n v="5920.28"/>
    <n v="1217.52"/>
    <n v="89315.33"/>
    <n v="94567.84"/>
    <x v="2"/>
    <x v="0"/>
    <n v="8"/>
    <n v="579.96967532467534"/>
    <n v="0.94445775646350816"/>
    <n v="-5252.5099999999948"/>
    <n v="5252.5099999999948"/>
  </r>
  <r>
    <s v="S00368"/>
    <d v="2024-08-01T00:00:00"/>
    <s v="R03"/>
    <x v="2"/>
    <s v="T08"/>
    <s v="REP08"/>
    <s v="P004"/>
    <n v="81"/>
    <n v="88264.16"/>
    <n v="4378.3999999999996"/>
    <n v="827.13"/>
    <n v="83058.64"/>
    <n v="88254.81"/>
    <x v="3"/>
    <x v="0"/>
    <n v="8"/>
    <n v="1025.4153086419753"/>
    <n v="0.94112309572702046"/>
    <n v="-5196.1699999999983"/>
    <n v="5196.1699999999983"/>
  </r>
  <r>
    <s v="S00369"/>
    <d v="2024-08-01T00:00:00"/>
    <s v="R03"/>
    <x v="2"/>
    <s v="T09"/>
    <s v="REP09"/>
    <s v="P001"/>
    <n v="112"/>
    <n v="109473.45"/>
    <n v="5542.08"/>
    <n v="750.49"/>
    <n v="103180.88"/>
    <n v="103826.16"/>
    <x v="0"/>
    <x v="0"/>
    <n v="8"/>
    <n v="921.25785714285723"/>
    <n v="0.99378499599715531"/>
    <n v="-645.27999999999884"/>
    <n v="645.27999999999884"/>
  </r>
  <r>
    <s v="S00370"/>
    <d v="2024-08-01T00:00:00"/>
    <s v="R03"/>
    <x v="2"/>
    <s v="T09"/>
    <s v="REP09"/>
    <s v="P002"/>
    <n v="137"/>
    <n v="103094.67"/>
    <n v="6301.46"/>
    <n v="1320.32"/>
    <n v="95472.89"/>
    <n v="98675.04"/>
    <x v="1"/>
    <x v="0"/>
    <n v="8"/>
    <n v="696.88240875912413"/>
    <n v="0.96754853101655702"/>
    <n v="-3202.1499999999942"/>
    <n v="3202.1499999999942"/>
  </r>
  <r>
    <s v="S00371"/>
    <d v="2024-08-01T00:00:00"/>
    <s v="R03"/>
    <x v="2"/>
    <s v="T09"/>
    <s v="REP09"/>
    <s v="P003"/>
    <n v="172"/>
    <n v="106887.78"/>
    <n v="7778.8"/>
    <n v="1482.62"/>
    <n v="97626.36"/>
    <n v="94768.81"/>
    <x v="2"/>
    <x v="0"/>
    <n v="8"/>
    <n v="567.59511627906977"/>
    <n v="1.0301528530325537"/>
    <n v="2857.5500000000029"/>
    <n v="0"/>
  </r>
  <r>
    <s v="S00372"/>
    <d v="2024-08-01T00:00:00"/>
    <s v="R03"/>
    <x v="2"/>
    <s v="T09"/>
    <s v="REP09"/>
    <s v="P004"/>
    <n v="85"/>
    <n v="92528.639999999999"/>
    <n v="4698.22"/>
    <n v="1081.99"/>
    <n v="86748.43"/>
    <n v="89713.17"/>
    <x v="3"/>
    <x v="0"/>
    <n v="8"/>
    <n v="1020.5697647058822"/>
    <n v="0.96695312405079425"/>
    <n v="-2964.7400000000052"/>
    <n v="2964.7400000000052"/>
  </r>
  <r>
    <s v="S00373"/>
    <d v="2024-08-01T00:00:00"/>
    <s v="R04"/>
    <x v="3"/>
    <s v="T10"/>
    <s v="REP10"/>
    <s v="P001"/>
    <n v="89"/>
    <n v="87285.95"/>
    <n v="3832.1"/>
    <n v="570.30999999999995"/>
    <n v="82883.539999999994"/>
    <n v="82274.86"/>
    <x v="0"/>
    <x v="0"/>
    <n v="8"/>
    <n v="931.27573033707858"/>
    <n v="1.0073981286628746"/>
    <n v="608.67999999999302"/>
    <n v="0"/>
  </r>
  <r>
    <s v="S00374"/>
    <d v="2024-08-01T00:00:00"/>
    <s v="R04"/>
    <x v="3"/>
    <s v="T10"/>
    <s v="REP10"/>
    <s v="P002"/>
    <n v="102"/>
    <n v="76385.119999999995"/>
    <n v="3287.58"/>
    <n v="869.18"/>
    <n v="72228.37"/>
    <n v="76962.33"/>
    <x v="1"/>
    <x v="0"/>
    <n v="8"/>
    <n v="708.12127450980392"/>
    <n v="0.93848990798485432"/>
    <n v="-4733.9600000000064"/>
    <n v="4733.9600000000064"/>
  </r>
  <r>
    <s v="S00375"/>
    <d v="2024-08-01T00:00:00"/>
    <s v="R04"/>
    <x v="3"/>
    <s v="T10"/>
    <s v="REP10"/>
    <s v="P003"/>
    <n v="130"/>
    <n v="81554.5"/>
    <n v="5134.1400000000003"/>
    <n v="1052.7"/>
    <n v="75367.649999999994"/>
    <n v="74968.990000000005"/>
    <x v="2"/>
    <x v="0"/>
    <n v="8"/>
    <n v="579.75115384615378"/>
    <n v="1.0053176653440308"/>
    <n v="398.65999999998894"/>
    <n v="0"/>
  </r>
  <r>
    <s v="S00376"/>
    <d v="2024-08-01T00:00:00"/>
    <s v="R04"/>
    <x v="3"/>
    <s v="T10"/>
    <s v="REP10"/>
    <s v="P004"/>
    <n v="71"/>
    <n v="78151.13"/>
    <n v="3158.57"/>
    <n v="780.05"/>
    <n v="74212.509999999995"/>
    <n v="70440"/>
    <x v="3"/>
    <x v="0"/>
    <n v="8"/>
    <n v="1045.2466197183098"/>
    <n v="1.0535563600227142"/>
    <n v="3772.5099999999948"/>
    <n v="0"/>
  </r>
  <r>
    <s v="S00377"/>
    <d v="2024-08-01T00:00:00"/>
    <s v="R04"/>
    <x v="3"/>
    <s v="T11"/>
    <s v="REP11"/>
    <s v="P001"/>
    <n v="93"/>
    <n v="90567.85"/>
    <n v="5448.32"/>
    <n v="693.61"/>
    <n v="84425.91"/>
    <n v="80732.539999999994"/>
    <x v="0"/>
    <x v="0"/>
    <n v="8"/>
    <n v="907.80548387096781"/>
    <n v="1.0457482199866375"/>
    <n v="3693.3700000000099"/>
    <n v="0"/>
  </r>
  <r>
    <s v="S00378"/>
    <d v="2024-08-01T00:00:00"/>
    <s v="R04"/>
    <x v="3"/>
    <s v="T11"/>
    <s v="REP11"/>
    <s v="P002"/>
    <n v="111"/>
    <n v="84971.25"/>
    <n v="5769.87"/>
    <n v="803.26"/>
    <n v="78398.12"/>
    <n v="76503.58"/>
    <x v="1"/>
    <x v="0"/>
    <n v="8"/>
    <n v="706.2893693693693"/>
    <n v="1.0247640698644429"/>
    <n v="1894.5399999999936"/>
    <n v="0"/>
  </r>
  <r>
    <s v="S00379"/>
    <d v="2024-08-01T00:00:00"/>
    <s v="R04"/>
    <x v="3"/>
    <s v="T11"/>
    <s v="REP11"/>
    <s v="P003"/>
    <n v="124"/>
    <n v="77554.009999999995"/>
    <n v="3853.51"/>
    <n v="517.41999999999996"/>
    <n v="73183.070000000007"/>
    <n v="74706.3"/>
    <x v="2"/>
    <x v="0"/>
    <n v="8"/>
    <n v="590.18604838709678"/>
    <n v="0.97961042107559881"/>
    <n v="-1523.2299999999959"/>
    <n v="1523.2299999999959"/>
  </r>
  <r>
    <s v="S00380"/>
    <d v="2024-08-01T00:00:00"/>
    <s v="R04"/>
    <x v="3"/>
    <s v="T11"/>
    <s v="REP11"/>
    <s v="P004"/>
    <n v="66"/>
    <n v="73575.73"/>
    <n v="4125.63"/>
    <n v="581.36"/>
    <n v="68868.75"/>
    <n v="70514.59"/>
    <x v="3"/>
    <x v="0"/>
    <n v="8"/>
    <n v="1043.465909090909"/>
    <n v="0.97665958208081483"/>
    <n v="-1645.8399999999965"/>
    <n v="1645.8399999999965"/>
  </r>
  <r>
    <s v="S00381"/>
    <d v="2024-08-01T00:00:00"/>
    <s v="R04"/>
    <x v="3"/>
    <s v="T12"/>
    <s v="REP12"/>
    <s v="P001"/>
    <n v="103"/>
    <n v="101608.69"/>
    <n v="5256.94"/>
    <n v="1146.1500000000001"/>
    <n v="95205.6"/>
    <n v="90993.41"/>
    <x v="0"/>
    <x v="0"/>
    <n v="8"/>
    <n v="924.3262135922331"/>
    <n v="1.0462911544912978"/>
    <n v="4212.1900000000023"/>
    <n v="0"/>
  </r>
  <r>
    <s v="S00382"/>
    <d v="2024-08-01T00:00:00"/>
    <s v="R04"/>
    <x v="3"/>
    <s v="T12"/>
    <s v="REP12"/>
    <s v="P002"/>
    <n v="121"/>
    <n v="92936.69"/>
    <n v="3746.95"/>
    <n v="419.48"/>
    <n v="88770.26"/>
    <n v="86111.19"/>
    <x v="1"/>
    <x v="0"/>
    <n v="8"/>
    <n v="733.63851239669418"/>
    <n v="1.0308794942910438"/>
    <n v="2659.0699999999924"/>
    <n v="0"/>
  </r>
  <r>
    <s v="S00383"/>
    <d v="2024-08-01T00:00:00"/>
    <s v="R04"/>
    <x v="3"/>
    <s v="T12"/>
    <s v="REP12"/>
    <s v="P003"/>
    <n v="141"/>
    <n v="87293.8"/>
    <n v="5957.07"/>
    <n v="887.89"/>
    <n v="80448.850000000006"/>
    <n v="84702.71"/>
    <x v="2"/>
    <x v="0"/>
    <n v="8"/>
    <n v="570.5592198581561"/>
    <n v="0.94977893859594342"/>
    <n v="-4253.8600000000006"/>
    <n v="4253.8600000000006"/>
  </r>
  <r>
    <s v="S00384"/>
    <d v="2024-08-01T00:00:00"/>
    <s v="R04"/>
    <x v="3"/>
    <s v="T12"/>
    <s v="REP12"/>
    <s v="P004"/>
    <n v="79"/>
    <n v="87534.93"/>
    <n v="4662.78"/>
    <n v="1014.18"/>
    <n v="81857.97"/>
    <n v="78264.490000000005"/>
    <x v="3"/>
    <x v="0"/>
    <n v="8"/>
    <n v="1036.176835443038"/>
    <n v="1.0459145648301036"/>
    <n v="3593.4799999999959"/>
    <n v="0"/>
  </r>
  <r>
    <s v="S00385"/>
    <d v="2024-09-01T00:00:00"/>
    <s v="R01"/>
    <x v="0"/>
    <s v="T01"/>
    <s v="REP01"/>
    <s v="P001"/>
    <n v="150"/>
    <n v="147666.73000000001"/>
    <n v="7526.35"/>
    <n v="857.52"/>
    <n v="139282.87"/>
    <n v="135888.47"/>
    <x v="0"/>
    <x v="0"/>
    <n v="9"/>
    <n v="928.55246666666665"/>
    <n v="1.0249793083990129"/>
    <n v="3394.3999999999942"/>
    <n v="0"/>
  </r>
  <r>
    <s v="S00386"/>
    <d v="2024-09-01T00:00:00"/>
    <s v="R01"/>
    <x v="0"/>
    <s v="T01"/>
    <s v="REP01"/>
    <s v="P002"/>
    <n v="185"/>
    <n v="139326"/>
    <n v="7436.53"/>
    <n v="669.62"/>
    <n v="131219.84"/>
    <n v="125099.92"/>
    <x v="1"/>
    <x v="0"/>
    <n v="9"/>
    <n v="709.29643243243243"/>
    <n v="1.0489202551048793"/>
    <n v="6119.9199999999983"/>
    <n v="0"/>
  </r>
  <r>
    <s v="S00387"/>
    <d v="2024-09-01T00:00:00"/>
    <s v="R01"/>
    <x v="0"/>
    <s v="T01"/>
    <s v="REP01"/>
    <s v="P003"/>
    <n v="216"/>
    <n v="134374.04999999999"/>
    <n v="6235.1"/>
    <n v="748.42"/>
    <n v="127390.54"/>
    <n v="122774.76"/>
    <x v="2"/>
    <x v="0"/>
    <n v="9"/>
    <n v="589.77101851851853"/>
    <n v="1.0375955123023657"/>
    <n v="4615.7799999999988"/>
    <n v="0"/>
  </r>
  <r>
    <s v="S00388"/>
    <d v="2024-09-01T00:00:00"/>
    <s v="R01"/>
    <x v="0"/>
    <s v="T01"/>
    <s v="REP01"/>
    <s v="P004"/>
    <n v="106"/>
    <n v="114918.41"/>
    <n v="6772.29"/>
    <n v="1173.8"/>
    <n v="106972.32"/>
    <n v="114777.43"/>
    <x v="3"/>
    <x v="0"/>
    <n v="9"/>
    <n v="1009.1728301886793"/>
    <n v="0.93199786752500047"/>
    <n v="-7805.109999999986"/>
    <n v="7805.109999999986"/>
  </r>
  <r>
    <s v="S00389"/>
    <d v="2024-09-01T00:00:00"/>
    <s v="R01"/>
    <x v="0"/>
    <s v="T02"/>
    <s v="REP02"/>
    <s v="P001"/>
    <n v="153"/>
    <n v="150455.88"/>
    <n v="6921.46"/>
    <n v="865.49"/>
    <n v="142668.93"/>
    <n v="136596.62"/>
    <x v="0"/>
    <x v="0"/>
    <n v="9"/>
    <n v="932.47666666666657"/>
    <n v="1.0444543210512822"/>
    <n v="6072.3099999999977"/>
    <n v="0"/>
  </r>
  <r>
    <s v="S00390"/>
    <d v="2024-09-01T00:00:00"/>
    <s v="R01"/>
    <x v="0"/>
    <s v="T02"/>
    <s v="REP02"/>
    <s v="P002"/>
    <n v="183"/>
    <n v="140977.06"/>
    <n v="8455.7099999999991"/>
    <n v="1051.24"/>
    <n v="131470.1"/>
    <n v="126289.03"/>
    <x v="1"/>
    <x v="0"/>
    <n v="9"/>
    <n v="718.41584699453551"/>
    <n v="1.0410254952468951"/>
    <n v="5181.070000000007"/>
    <n v="0"/>
  </r>
  <r>
    <s v="S00391"/>
    <d v="2024-09-01T00:00:00"/>
    <s v="R01"/>
    <x v="0"/>
    <s v="T02"/>
    <s v="REP02"/>
    <s v="P003"/>
    <n v="216"/>
    <n v="135645.69"/>
    <n v="5637.32"/>
    <n v="1392.76"/>
    <n v="128615.61"/>
    <n v="123618.6"/>
    <x v="2"/>
    <x v="0"/>
    <n v="9"/>
    <n v="595.44263888888884"/>
    <n v="1.040422800452359"/>
    <n v="4997.0099999999948"/>
    <n v="0"/>
  </r>
  <r>
    <s v="S00392"/>
    <d v="2024-09-01T00:00:00"/>
    <s v="R01"/>
    <x v="0"/>
    <s v="T02"/>
    <s v="REP02"/>
    <s v="P004"/>
    <n v="109"/>
    <n v="120199.12"/>
    <n v="7025.72"/>
    <n v="1535.71"/>
    <n v="111637.69"/>
    <n v="116276.49"/>
    <x v="3"/>
    <x v="0"/>
    <n v="9"/>
    <n v="1024.198990825688"/>
    <n v="0.96010543489917866"/>
    <n v="-4638.8000000000029"/>
    <n v="4638.8000000000029"/>
  </r>
  <r>
    <s v="S00393"/>
    <d v="2024-09-01T00:00:00"/>
    <s v="R01"/>
    <x v="0"/>
    <s v="T03"/>
    <s v="REP03"/>
    <s v="P001"/>
    <n v="170"/>
    <n v="167075.89000000001"/>
    <n v="6044.3"/>
    <n v="908.28"/>
    <n v="160123.32"/>
    <n v="149601.01"/>
    <x v="0"/>
    <x v="0"/>
    <n v="9"/>
    <n v="941.90188235294124"/>
    <n v="1.0703358219306141"/>
    <n v="10522.309999999998"/>
    <n v="0"/>
  </r>
  <r>
    <s v="S00394"/>
    <d v="2024-09-01T00:00:00"/>
    <s v="R01"/>
    <x v="0"/>
    <s v="T03"/>
    <s v="REP03"/>
    <s v="P002"/>
    <n v="190"/>
    <n v="145893.01999999999"/>
    <n v="7611.45"/>
    <n v="593.70000000000005"/>
    <n v="137687.88"/>
    <n v="138908.37"/>
    <x v="1"/>
    <x v="0"/>
    <n v="9"/>
    <n v="724.67305263157903"/>
    <n v="0.99121370440096601"/>
    <n v="-1220.4899999999907"/>
    <n v="1220.4899999999907"/>
  </r>
  <r>
    <s v="S00395"/>
    <d v="2024-09-01T00:00:00"/>
    <s v="R01"/>
    <x v="0"/>
    <s v="T03"/>
    <s v="REP03"/>
    <s v="P003"/>
    <n v="247"/>
    <n v="151031.92000000001"/>
    <n v="11277.66"/>
    <n v="874.31"/>
    <n v="138879.95000000001"/>
    <n v="138425.07"/>
    <x v="2"/>
    <x v="0"/>
    <n v="9"/>
    <n v="562.26700404858309"/>
    <n v="1.0032861099510371"/>
    <n v="454.88000000000466"/>
    <n v="0"/>
  </r>
  <r>
    <s v="S00396"/>
    <d v="2024-09-01T00:00:00"/>
    <s v="R01"/>
    <x v="0"/>
    <s v="T03"/>
    <s v="REP03"/>
    <s v="P004"/>
    <n v="123"/>
    <n v="133917.66"/>
    <n v="6992.67"/>
    <n v="1050.55"/>
    <n v="125874.43"/>
    <n v="129474.02"/>
    <x v="3"/>
    <x v="0"/>
    <n v="9"/>
    <n v="1023.3693495934958"/>
    <n v="0.97219836072132459"/>
    <n v="-3599.5900000000111"/>
    <n v="3599.5900000000111"/>
  </r>
  <r>
    <s v="S00397"/>
    <d v="2024-09-01T00:00:00"/>
    <s v="R02"/>
    <x v="1"/>
    <s v="T04"/>
    <s v="REP04"/>
    <s v="P001"/>
    <n v="120"/>
    <n v="116295.76"/>
    <n v="8070.45"/>
    <n v="796.43"/>
    <n v="107428.88"/>
    <n v="108027.83"/>
    <x v="0"/>
    <x v="0"/>
    <n v="9"/>
    <n v="895.2406666666667"/>
    <n v="0.99445559537759853"/>
    <n v="-598.94999999999709"/>
    <n v="598.94999999999709"/>
  </r>
  <r>
    <s v="S00398"/>
    <d v="2024-09-01T00:00:00"/>
    <s v="R02"/>
    <x v="1"/>
    <s v="T04"/>
    <s v="REP04"/>
    <s v="P002"/>
    <n v="139"/>
    <n v="104444.51"/>
    <n v="6821.96"/>
    <n v="587.53"/>
    <n v="97035.02"/>
    <n v="103160.52"/>
    <x v="1"/>
    <x v="0"/>
    <n v="9"/>
    <n v="698.09366906474827"/>
    <n v="0.94062166417928095"/>
    <n v="-6125.5"/>
    <n v="6125.5"/>
  </r>
  <r>
    <s v="S00399"/>
    <d v="2024-09-01T00:00:00"/>
    <s v="R02"/>
    <x v="1"/>
    <s v="T04"/>
    <s v="REP04"/>
    <s v="P003"/>
    <n v="182"/>
    <n v="114123.83"/>
    <n v="6686.64"/>
    <n v="940.61"/>
    <n v="106496.58"/>
    <n v="99392.8"/>
    <x v="2"/>
    <x v="0"/>
    <n v="9"/>
    <n v="585.14604395604397"/>
    <n v="1.0714717766276833"/>
    <n v="7103.7799999999988"/>
    <n v="0"/>
  </r>
  <r>
    <s v="S00400"/>
    <d v="2024-09-01T00:00:00"/>
    <s v="R02"/>
    <x v="1"/>
    <s v="T04"/>
    <s v="REP04"/>
    <s v="P004"/>
    <n v="86"/>
    <n v="95736.29"/>
    <n v="3941.25"/>
    <n v="1313.55"/>
    <n v="90481.48"/>
    <n v="94398.52"/>
    <x v="3"/>
    <x v="0"/>
    <n v="9"/>
    <n v="1052.1102325581394"/>
    <n v="0.95850528165060211"/>
    <n v="-3917.0400000000081"/>
    <n v="3917.0400000000081"/>
  </r>
  <r>
    <s v="S00401"/>
    <d v="2024-09-01T00:00:00"/>
    <s v="R02"/>
    <x v="1"/>
    <s v="T05"/>
    <s v="REP05"/>
    <s v="P001"/>
    <n v="105"/>
    <n v="103039.37"/>
    <n v="6480.61"/>
    <n v="1132.17"/>
    <n v="95426.59"/>
    <n v="97028.36"/>
    <x v="0"/>
    <x v="0"/>
    <n v="9"/>
    <n v="908.82466666666664"/>
    <n v="0.98349173375701693"/>
    <n v="-1601.7700000000041"/>
    <n v="1601.7700000000041"/>
  </r>
  <r>
    <s v="S00402"/>
    <d v="2024-09-01T00:00:00"/>
    <s v="R02"/>
    <x v="1"/>
    <s v="T05"/>
    <s v="REP05"/>
    <s v="P002"/>
    <n v="125"/>
    <n v="94852.87"/>
    <n v="5014.8100000000004"/>
    <n v="1160.6300000000001"/>
    <n v="88677.42"/>
    <n v="90747.92"/>
    <x v="1"/>
    <x v="0"/>
    <n v="9"/>
    <n v="709.41935999999998"/>
    <n v="0.97718405005866804"/>
    <n v="-2070.5"/>
    <n v="2070.5"/>
  </r>
  <r>
    <s v="S00403"/>
    <d v="2024-09-01T00:00:00"/>
    <s v="R02"/>
    <x v="1"/>
    <s v="T05"/>
    <s v="REP05"/>
    <s v="P003"/>
    <n v="150"/>
    <n v="92758.41"/>
    <n v="4398"/>
    <n v="864.99"/>
    <n v="87495.42"/>
    <n v="87351.28"/>
    <x v="2"/>
    <x v="0"/>
    <n v="9"/>
    <n v="583.30279999999993"/>
    <n v="1.0016501189221267"/>
    <n v="144.13999999999942"/>
    <n v="0"/>
  </r>
  <r>
    <s v="S00404"/>
    <d v="2024-09-01T00:00:00"/>
    <s v="R02"/>
    <x v="1"/>
    <s v="T05"/>
    <s v="REP05"/>
    <s v="P004"/>
    <n v="84"/>
    <n v="92334.73"/>
    <n v="4233.17"/>
    <n v="1085.6199999999999"/>
    <n v="87015.94"/>
    <n v="83729.42"/>
    <x v="3"/>
    <x v="0"/>
    <n v="9"/>
    <n v="1035.9040476190476"/>
    <n v="1.0392516752176237"/>
    <n v="3286.5200000000041"/>
    <n v="0"/>
  </r>
  <r>
    <s v="S00405"/>
    <d v="2024-09-01T00:00:00"/>
    <s v="R02"/>
    <x v="1"/>
    <s v="T06"/>
    <s v="REP06"/>
    <s v="P001"/>
    <n v="113"/>
    <n v="110343.88"/>
    <n v="6363.22"/>
    <n v="734.99"/>
    <n v="103245.67"/>
    <n v="109079.38"/>
    <x v="0"/>
    <x v="0"/>
    <n v="9"/>
    <n v="913.67849557522118"/>
    <n v="0.94651867291508252"/>
    <n v="-5833.7100000000064"/>
    <n v="5833.7100000000064"/>
  </r>
  <r>
    <s v="S00406"/>
    <d v="2024-09-01T00:00:00"/>
    <s v="R02"/>
    <x v="1"/>
    <s v="T06"/>
    <s v="REP06"/>
    <s v="P002"/>
    <n v="148"/>
    <n v="112929.52"/>
    <n v="5865.84"/>
    <n v="756.63"/>
    <n v="106307.05"/>
    <n v="100302.82"/>
    <x v="1"/>
    <x v="0"/>
    <n v="9"/>
    <n v="718.29087837837835"/>
    <n v="1.0598610288324894"/>
    <n v="6004.2299999999959"/>
    <n v="0"/>
  </r>
  <r>
    <s v="S00407"/>
    <d v="2024-09-01T00:00:00"/>
    <s v="R02"/>
    <x v="1"/>
    <s v="T06"/>
    <s v="REP06"/>
    <s v="P003"/>
    <n v="161"/>
    <n v="100605.56"/>
    <n v="3918.2"/>
    <n v="599.91"/>
    <n v="96087.45"/>
    <n v="98588.25"/>
    <x v="2"/>
    <x v="0"/>
    <n v="9"/>
    <n v="596.81645962732921"/>
    <n v="0.97463389399852418"/>
    <n v="-2500.8000000000029"/>
    <n v="2500.8000000000029"/>
  </r>
  <r>
    <s v="S00408"/>
    <d v="2024-09-01T00:00:00"/>
    <s v="R02"/>
    <x v="1"/>
    <s v="T06"/>
    <s v="REP06"/>
    <s v="P004"/>
    <n v="91"/>
    <n v="100991.24"/>
    <n v="4054.66"/>
    <n v="1203.75"/>
    <n v="95732.83"/>
    <n v="94198.28"/>
    <x v="3"/>
    <x v="0"/>
    <n v="9"/>
    <n v="1052.0091208791209"/>
    <n v="1.0162906371538845"/>
    <n v="1534.5500000000029"/>
    <n v="0"/>
  </r>
  <r>
    <s v="S00409"/>
    <d v="2024-09-01T00:00:00"/>
    <s v="R03"/>
    <x v="2"/>
    <s v="T07"/>
    <s v="REP07"/>
    <s v="P001"/>
    <n v="110"/>
    <n v="108551.49"/>
    <n v="6219.16"/>
    <n v="1363.59"/>
    <n v="100968.74"/>
    <n v="109626.94"/>
    <x v="0"/>
    <x v="0"/>
    <n v="9"/>
    <n v="917.89763636363637"/>
    <n v="0.921021238027806"/>
    <n v="-8658.1999999999971"/>
    <n v="8658.1999999999971"/>
  </r>
  <r>
    <s v="S00410"/>
    <d v="2024-09-01T00:00:00"/>
    <s v="R03"/>
    <x v="2"/>
    <s v="T07"/>
    <s v="REP07"/>
    <s v="P002"/>
    <n v="145"/>
    <n v="108957.88"/>
    <n v="6544.41"/>
    <n v="563.29999999999995"/>
    <n v="101850.17"/>
    <n v="101596.92"/>
    <x v="1"/>
    <x v="0"/>
    <n v="9"/>
    <n v="702.4149655172414"/>
    <n v="1.0024926936761469"/>
    <n v="253.25"/>
    <n v="0"/>
  </r>
  <r>
    <s v="S00411"/>
    <d v="2024-09-01T00:00:00"/>
    <s v="R03"/>
    <x v="2"/>
    <s v="T07"/>
    <s v="REP07"/>
    <s v="P003"/>
    <n v="178"/>
    <n v="110610.89"/>
    <n v="5289.77"/>
    <n v="1329.18"/>
    <n v="103991.94"/>
    <n v="99339.02"/>
    <x v="2"/>
    <x v="0"/>
    <n v="9"/>
    <n v="584.2243820224719"/>
    <n v="1.0468387950676381"/>
    <n v="4652.9199999999983"/>
    <n v="0"/>
  </r>
  <r>
    <s v="S00412"/>
    <d v="2024-09-01T00:00:00"/>
    <s v="R03"/>
    <x v="2"/>
    <s v="T07"/>
    <s v="REP07"/>
    <s v="P004"/>
    <n v="87"/>
    <n v="95213.3"/>
    <n v="5288.82"/>
    <n v="1001.73"/>
    <n v="88922.75"/>
    <n v="92336.28"/>
    <x v="3"/>
    <x v="0"/>
    <n v="9"/>
    <n v="1022.1005747126437"/>
    <n v="0.96303154079848141"/>
    <n v="-3413.5299999999988"/>
    <n v="3413.5299999999988"/>
  </r>
  <r>
    <s v="S00413"/>
    <d v="2024-09-01T00:00:00"/>
    <s v="R03"/>
    <x v="2"/>
    <s v="T08"/>
    <s v="REP08"/>
    <s v="P001"/>
    <n v="121"/>
    <n v="120291.26"/>
    <n v="7952.01"/>
    <n v="554.99"/>
    <n v="111784.26"/>
    <n v="108181.65"/>
    <x v="0"/>
    <x v="0"/>
    <n v="9"/>
    <n v="923.83685950413224"/>
    <n v="1.0333014887460119"/>
    <n v="3602.6100000000006"/>
    <n v="0"/>
  </r>
  <r>
    <s v="S00414"/>
    <d v="2024-09-01T00:00:00"/>
    <s v="R03"/>
    <x v="2"/>
    <s v="T08"/>
    <s v="REP08"/>
    <s v="P002"/>
    <n v="147"/>
    <n v="113210.34"/>
    <n v="5825.49"/>
    <n v="893.03"/>
    <n v="106491.82"/>
    <n v="103704.96000000001"/>
    <x v="1"/>
    <x v="0"/>
    <n v="9"/>
    <n v="724.43414965986403"/>
    <n v="1.0268729673103389"/>
    <n v="2786.8600000000006"/>
    <n v="0"/>
  </r>
  <r>
    <s v="S00415"/>
    <d v="2024-09-01T00:00:00"/>
    <s v="R03"/>
    <x v="2"/>
    <s v="T08"/>
    <s v="REP08"/>
    <s v="P003"/>
    <n v="177"/>
    <n v="109575.06"/>
    <n v="6066.27"/>
    <n v="1445.98"/>
    <n v="102062.81"/>
    <n v="101923.51"/>
    <x v="2"/>
    <x v="0"/>
    <n v="9"/>
    <n v="576.62604519774015"/>
    <n v="1.0013667111738989"/>
    <n v="139.30000000000291"/>
    <n v="0"/>
  </r>
  <r>
    <s v="S00416"/>
    <d v="2024-09-01T00:00:00"/>
    <s v="R03"/>
    <x v="2"/>
    <s v="T08"/>
    <s v="REP08"/>
    <s v="P004"/>
    <n v="88"/>
    <n v="96944.66"/>
    <n v="6257.13"/>
    <n v="1103.51"/>
    <n v="89584.01"/>
    <n v="95186.61"/>
    <x v="3"/>
    <x v="0"/>
    <n v="9"/>
    <n v="1018.0001136363636"/>
    <n v="0.94114088105459359"/>
    <n v="-5602.6000000000058"/>
    <n v="5602.6000000000058"/>
  </r>
  <r>
    <s v="S00417"/>
    <d v="2024-09-01T00:00:00"/>
    <s v="R03"/>
    <x v="2"/>
    <s v="T09"/>
    <s v="REP09"/>
    <s v="P001"/>
    <n v="121"/>
    <n v="119108.1"/>
    <n v="8449.41"/>
    <n v="1479.97"/>
    <n v="109178.73"/>
    <n v="111582.68"/>
    <x v="0"/>
    <x v="0"/>
    <n v="9"/>
    <n v="902.30355371900828"/>
    <n v="0.97845588580593335"/>
    <n v="-2403.9499999999971"/>
    <n v="2403.9499999999971"/>
  </r>
  <r>
    <s v="S00418"/>
    <d v="2024-09-01T00:00:00"/>
    <s v="R03"/>
    <x v="2"/>
    <s v="T09"/>
    <s v="REP09"/>
    <s v="P002"/>
    <n v="152"/>
    <n v="114117"/>
    <n v="7911.19"/>
    <n v="1154.58"/>
    <n v="105051.23"/>
    <n v="105625.79"/>
    <x v="1"/>
    <x v="0"/>
    <n v="9"/>
    <n v="691.12651315789469"/>
    <n v="0.99456041938242545"/>
    <n v="-574.55999999999767"/>
    <n v="574.55999999999767"/>
  </r>
  <r>
    <s v="S00419"/>
    <d v="2024-09-01T00:00:00"/>
    <s v="R03"/>
    <x v="2"/>
    <s v="T09"/>
    <s v="REP09"/>
    <s v="P003"/>
    <n v="183"/>
    <n v="111981.66"/>
    <n v="4400.42"/>
    <n v="689.59"/>
    <n v="106891.65"/>
    <n v="103821.43"/>
    <x v="2"/>
    <x v="0"/>
    <n v="9"/>
    <n v="584.10737704918029"/>
    <n v="1.0295721220561111"/>
    <n v="3070.2200000000012"/>
    <n v="0"/>
  </r>
  <r>
    <s v="S00420"/>
    <d v="2024-09-01T00:00:00"/>
    <s v="R03"/>
    <x v="2"/>
    <s v="T09"/>
    <s v="REP09"/>
    <s v="P004"/>
    <n v="95"/>
    <n v="102945.91"/>
    <n v="4803.51"/>
    <n v="1336.45"/>
    <n v="96805.96"/>
    <n v="97102.17"/>
    <x v="3"/>
    <x v="0"/>
    <n v="9"/>
    <n v="1019.0101052631579"/>
    <n v="0.99694950174645947"/>
    <n v="-296.20999999999185"/>
    <n v="296.20999999999185"/>
  </r>
  <r>
    <s v="S00421"/>
    <d v="2024-09-01T00:00:00"/>
    <s v="R04"/>
    <x v="3"/>
    <s v="T10"/>
    <s v="REP10"/>
    <s v="P001"/>
    <n v="90"/>
    <n v="87397.65"/>
    <n v="4327.6899999999996"/>
    <n v="923.46"/>
    <n v="82146.509999999995"/>
    <n v="87322.53"/>
    <x v="0"/>
    <x v="0"/>
    <n v="9"/>
    <n v="912.73899999999992"/>
    <n v="0.94072526299913661"/>
    <n v="-5176.0200000000041"/>
    <n v="5176.0200000000041"/>
  </r>
  <r>
    <s v="S00422"/>
    <d v="2024-09-01T00:00:00"/>
    <s v="R04"/>
    <x v="3"/>
    <s v="T10"/>
    <s v="REP10"/>
    <s v="P002"/>
    <n v="119"/>
    <n v="91104.04"/>
    <n v="3738.49"/>
    <n v="757.63"/>
    <n v="86607.93"/>
    <n v="82981.649999999994"/>
    <x v="1"/>
    <x v="0"/>
    <n v="9"/>
    <n v="727.79773109243695"/>
    <n v="1.0436997818192335"/>
    <n v="3626.2799999999988"/>
    <n v="0"/>
  </r>
  <r>
    <s v="S00423"/>
    <d v="2024-09-01T00:00:00"/>
    <s v="R04"/>
    <x v="3"/>
    <s v="T10"/>
    <s v="REP10"/>
    <s v="P003"/>
    <n v="139"/>
    <n v="86800.21"/>
    <n v="3847.01"/>
    <n v="990.16"/>
    <n v="81963.039999999994"/>
    <n v="80095.509999999995"/>
    <x v="2"/>
    <x v="0"/>
    <n v="9"/>
    <n v="589.66215827338124"/>
    <n v="1.023316288266346"/>
    <n v="1867.5299999999988"/>
    <n v="0"/>
  </r>
  <r>
    <s v="S00424"/>
    <d v="2024-09-01T00:00:00"/>
    <s v="R04"/>
    <x v="3"/>
    <s v="T10"/>
    <s v="REP10"/>
    <s v="P004"/>
    <n v="76"/>
    <n v="83818.710000000006"/>
    <n v="6162.39"/>
    <n v="491.07"/>
    <n v="77165.240000000005"/>
    <n v="74692.75"/>
    <x v="3"/>
    <x v="0"/>
    <n v="9"/>
    <n v="1015.3321052631579"/>
    <n v="1.0331021417741348"/>
    <n v="2472.4900000000052"/>
    <n v="0"/>
  </r>
  <r>
    <s v="S00425"/>
    <d v="2024-09-01T00:00:00"/>
    <s v="R04"/>
    <x v="3"/>
    <s v="T11"/>
    <s v="REP11"/>
    <s v="P001"/>
    <n v="97"/>
    <n v="95977.919999999998"/>
    <n v="6423.99"/>
    <n v="792.15"/>
    <n v="88761.78"/>
    <n v="86861.06"/>
    <x v="0"/>
    <x v="0"/>
    <n v="9"/>
    <n v="915.0698969072165"/>
    <n v="1.021882302610629"/>
    <n v="1900.7200000000012"/>
    <n v="0"/>
  </r>
  <r>
    <s v="S00426"/>
    <d v="2024-09-01T00:00:00"/>
    <s v="R04"/>
    <x v="3"/>
    <s v="T11"/>
    <s v="REP11"/>
    <s v="P002"/>
    <n v="115"/>
    <n v="88443.7"/>
    <n v="3818.98"/>
    <n v="645"/>
    <n v="83979.72"/>
    <n v="80858.320000000007"/>
    <x v="1"/>
    <x v="0"/>
    <n v="9"/>
    <n v="730.25843478260867"/>
    <n v="1.0386033249268596"/>
    <n v="3121.3999999999942"/>
    <n v="0"/>
  </r>
  <r>
    <s v="S00427"/>
    <d v="2024-09-01T00:00:00"/>
    <s v="R04"/>
    <x v="3"/>
    <s v="T11"/>
    <s v="REP11"/>
    <s v="P003"/>
    <n v="141"/>
    <n v="86644.56"/>
    <n v="4638.91"/>
    <n v="847.62"/>
    <n v="81158.03"/>
    <n v="81247.7"/>
    <x v="2"/>
    <x v="0"/>
    <n v="9"/>
    <n v="575.58886524822697"/>
    <n v="0.99889633798864463"/>
    <n v="-89.669999999998254"/>
    <n v="89.669999999998254"/>
  </r>
  <r>
    <s v="S00428"/>
    <d v="2024-09-01T00:00:00"/>
    <s v="R04"/>
    <x v="3"/>
    <s v="T11"/>
    <s v="REP11"/>
    <s v="P004"/>
    <n v="76"/>
    <n v="84571.59"/>
    <n v="3375.2"/>
    <n v="625.99"/>
    <n v="80570.399999999994"/>
    <n v="75701.27"/>
    <x v="3"/>
    <x v="0"/>
    <n v="9"/>
    <n v="1060.136842105263"/>
    <n v="1.0643203211782311"/>
    <n v="4869.1299999999901"/>
    <n v="0"/>
  </r>
  <r>
    <s v="S00429"/>
    <d v="2024-09-01T00:00:00"/>
    <s v="R04"/>
    <x v="3"/>
    <s v="T12"/>
    <s v="REP12"/>
    <s v="P001"/>
    <n v="108"/>
    <n v="104701.03"/>
    <n v="5752.95"/>
    <n v="1371.44"/>
    <n v="97576.639999999999"/>
    <n v="99720.79"/>
    <x v="0"/>
    <x v="0"/>
    <n v="9"/>
    <n v="903.48740740740743"/>
    <n v="0.97849846556570608"/>
    <n v="-2144.1499999999942"/>
    <n v="2144.1499999999942"/>
  </r>
  <r>
    <s v="S00430"/>
    <d v="2024-09-01T00:00:00"/>
    <s v="R04"/>
    <x v="3"/>
    <s v="T12"/>
    <s v="REP12"/>
    <s v="P002"/>
    <n v="125"/>
    <n v="95982.99"/>
    <n v="7140.32"/>
    <n v="1263.1199999999999"/>
    <n v="87579.55"/>
    <n v="91757.96"/>
    <x v="1"/>
    <x v="0"/>
    <n v="9"/>
    <n v="700.63639999999998"/>
    <n v="0.95446269729623456"/>
    <n v="-4178.4100000000035"/>
    <n v="4178.4100000000035"/>
  </r>
  <r>
    <s v="S00431"/>
    <d v="2024-09-01T00:00:00"/>
    <s v="R04"/>
    <x v="3"/>
    <s v="T12"/>
    <s v="REP12"/>
    <s v="P003"/>
    <n v="150"/>
    <n v="93930.31"/>
    <n v="5257.42"/>
    <n v="1000"/>
    <n v="87672.89"/>
    <n v="90157.7"/>
    <x v="2"/>
    <x v="0"/>
    <n v="9"/>
    <n v="584.48593333333338"/>
    <n v="0.97243929248416938"/>
    <n v="-2484.8099999999977"/>
    <n v="2484.8099999999977"/>
  </r>
  <r>
    <s v="S00432"/>
    <d v="2024-09-01T00:00:00"/>
    <s v="R04"/>
    <x v="3"/>
    <s v="T12"/>
    <s v="REP12"/>
    <s v="P004"/>
    <n v="85"/>
    <n v="93733.13"/>
    <n v="7008.03"/>
    <n v="600.49"/>
    <n v="86124.61"/>
    <n v="86218.31"/>
    <x v="3"/>
    <x v="0"/>
    <n v="9"/>
    <n v="1013.2307058823529"/>
    <n v="0.99891322388481063"/>
    <n v="-93.69999999999709"/>
    <n v="93.69999999999709"/>
  </r>
  <r>
    <s v="S00433"/>
    <d v="2024-10-01T00:00:00"/>
    <s v="R01"/>
    <x v="0"/>
    <s v="T01"/>
    <s v="REP01"/>
    <s v="P001"/>
    <n v="160"/>
    <n v="155137.25"/>
    <n v="7161.63"/>
    <n v="1812.85"/>
    <n v="146162.76999999999"/>
    <n v="140267.54"/>
    <x v="0"/>
    <x v="0"/>
    <n v="10"/>
    <n v="913.51731249999989"/>
    <n v="1.0420284693094353"/>
    <n v="5895.2299999999814"/>
    <n v="0"/>
  </r>
  <r>
    <s v="S00434"/>
    <d v="2024-10-01T00:00:00"/>
    <s v="R01"/>
    <x v="0"/>
    <s v="T01"/>
    <s v="REP01"/>
    <s v="P002"/>
    <n v="185"/>
    <n v="139603.60999999999"/>
    <n v="5537.67"/>
    <n v="562.36"/>
    <n v="133503.57999999999"/>
    <n v="130710.92"/>
    <x v="1"/>
    <x v="0"/>
    <n v="10"/>
    <n v="721.64097297297292"/>
    <n v="1.0213651621455957"/>
    <n v="2792.6599999999889"/>
    <n v="0"/>
  </r>
  <r>
    <s v="S00435"/>
    <d v="2024-10-01T00:00:00"/>
    <s v="R01"/>
    <x v="0"/>
    <s v="T01"/>
    <s v="REP01"/>
    <s v="P003"/>
    <n v="210"/>
    <n v="131346.78"/>
    <n v="5092.78"/>
    <n v="1649.93"/>
    <n v="124604.07"/>
    <n v="128505.48"/>
    <x v="2"/>
    <x v="0"/>
    <n v="10"/>
    <n v="593.35271428571434"/>
    <n v="0.96964012740935257"/>
    <n v="-3901.4099999999889"/>
    <n v="3901.4099999999889"/>
  </r>
  <r>
    <s v="S00436"/>
    <d v="2024-10-01T00:00:00"/>
    <s v="R01"/>
    <x v="0"/>
    <s v="T01"/>
    <s v="REP01"/>
    <s v="P004"/>
    <n v="123"/>
    <n v="134652.65"/>
    <n v="9837.39"/>
    <n v="895.61"/>
    <n v="123919.65"/>
    <n v="121516.92"/>
    <x v="3"/>
    <x v="0"/>
    <n v="10"/>
    <n v="1007.4768292682926"/>
    <n v="1.0197728020097943"/>
    <n v="2402.7299999999959"/>
    <n v="0"/>
  </r>
  <r>
    <s v="S00437"/>
    <d v="2024-10-01T00:00:00"/>
    <s v="R01"/>
    <x v="0"/>
    <s v="T02"/>
    <s v="REP02"/>
    <s v="P001"/>
    <n v="144"/>
    <n v="142108.72"/>
    <n v="4997.51"/>
    <n v="798.46"/>
    <n v="136312.75"/>
    <n v="142567.66"/>
    <x v="0"/>
    <x v="0"/>
    <n v="10"/>
    <n v="946.61631944444446"/>
    <n v="0.95612672607518423"/>
    <n v="-6254.9100000000035"/>
    <n v="6254.9100000000035"/>
  </r>
  <r>
    <s v="S00438"/>
    <d v="2024-10-01T00:00:00"/>
    <s v="R01"/>
    <x v="0"/>
    <s v="T02"/>
    <s v="REP02"/>
    <s v="P002"/>
    <n v="186"/>
    <n v="140921.51999999999"/>
    <n v="9529.9"/>
    <n v="1653.14"/>
    <n v="129738.49"/>
    <n v="132594.51"/>
    <x v="1"/>
    <x v="0"/>
    <n v="10"/>
    <n v="697.5187634408602"/>
    <n v="0.97846049583802519"/>
    <n v="-2856.0200000000041"/>
    <n v="2856.0200000000041"/>
  </r>
  <r>
    <s v="S00439"/>
    <d v="2024-10-01T00:00:00"/>
    <s v="R01"/>
    <x v="0"/>
    <s v="T02"/>
    <s v="REP02"/>
    <s v="P003"/>
    <n v="234"/>
    <n v="146753.73000000001"/>
    <n v="8277.73"/>
    <n v="1273.81"/>
    <n v="137202.19"/>
    <n v="129791.34"/>
    <x v="2"/>
    <x v="0"/>
    <n v="10"/>
    <n v="586.33414529914535"/>
    <n v="1.0570981854413399"/>
    <n v="7410.8500000000058"/>
    <n v="0"/>
  </r>
  <r>
    <s v="S00440"/>
    <d v="2024-10-01T00:00:00"/>
    <s v="R01"/>
    <x v="0"/>
    <s v="T02"/>
    <s v="REP02"/>
    <s v="P004"/>
    <n v="124"/>
    <n v="135614.69"/>
    <n v="8251.68"/>
    <n v="1503.86"/>
    <n v="125859.14"/>
    <n v="120537.37"/>
    <x v="3"/>
    <x v="0"/>
    <n v="10"/>
    <n v="1014.993064516129"/>
    <n v="1.0441503742781182"/>
    <n v="5321.7700000000041"/>
    <n v="0"/>
  </r>
  <r>
    <s v="S00441"/>
    <d v="2024-10-01T00:00:00"/>
    <s v="R01"/>
    <x v="0"/>
    <s v="T03"/>
    <s v="REP03"/>
    <s v="P001"/>
    <n v="158"/>
    <n v="157073.5"/>
    <n v="6160.19"/>
    <n v="2143.33"/>
    <n v="148769.99"/>
    <n v="155136.81"/>
    <x v="0"/>
    <x v="0"/>
    <n v="10"/>
    <n v="941.58221518987341"/>
    <n v="0.95895996572315745"/>
    <n v="-6366.820000000007"/>
    <n v="6366.820000000007"/>
  </r>
  <r>
    <s v="S00442"/>
    <d v="2024-10-01T00:00:00"/>
    <s v="R01"/>
    <x v="0"/>
    <s v="T03"/>
    <s v="REP03"/>
    <s v="P002"/>
    <n v="197"/>
    <n v="150494.49"/>
    <n v="5591.44"/>
    <n v="880.91"/>
    <n v="144022.15"/>
    <n v="144506.87"/>
    <x v="1"/>
    <x v="0"/>
    <n v="10"/>
    <n v="731.07690355329942"/>
    <n v="0.99664569580671147"/>
    <n v="-484.72000000000116"/>
    <n v="484.72000000000116"/>
  </r>
  <r>
    <s v="S00443"/>
    <d v="2024-10-01T00:00:00"/>
    <s v="R01"/>
    <x v="0"/>
    <s v="T03"/>
    <s v="REP03"/>
    <s v="P003"/>
    <n v="250"/>
    <n v="155789.16"/>
    <n v="7094.24"/>
    <n v="1541.84"/>
    <n v="147153.07999999999"/>
    <n v="142446.99"/>
    <x v="2"/>
    <x v="0"/>
    <n v="10"/>
    <n v="588.61231999999995"/>
    <n v="1.0330374829261046"/>
    <n v="4706.0899999999965"/>
    <n v="0"/>
  </r>
  <r>
    <s v="S00444"/>
    <d v="2024-10-01T00:00:00"/>
    <s v="R01"/>
    <x v="0"/>
    <s v="T03"/>
    <s v="REP03"/>
    <s v="P004"/>
    <n v="130"/>
    <n v="141852.01999999999"/>
    <n v="6030.06"/>
    <n v="1333.15"/>
    <n v="134488.81"/>
    <n v="132899.57999999999"/>
    <x v="3"/>
    <x v="0"/>
    <n v="10"/>
    <n v="1034.5293076923076"/>
    <n v="1.0119581265794821"/>
    <n v="1589.2300000000105"/>
    <n v="0"/>
  </r>
  <r>
    <s v="S00445"/>
    <d v="2024-10-01T00:00:00"/>
    <s v="R02"/>
    <x v="1"/>
    <s v="T04"/>
    <s v="REP04"/>
    <s v="P001"/>
    <n v="117"/>
    <n v="114820.68"/>
    <n v="5860.62"/>
    <n v="1366.11"/>
    <n v="107593.95"/>
    <n v="112511.5"/>
    <x v="0"/>
    <x v="0"/>
    <n v="10"/>
    <n v="919.60641025641019"/>
    <n v="0.95629291228007796"/>
    <n v="-4917.5500000000029"/>
    <n v="4917.5500000000029"/>
  </r>
  <r>
    <s v="S00446"/>
    <d v="2024-10-01T00:00:00"/>
    <s v="R02"/>
    <x v="1"/>
    <s v="T04"/>
    <s v="REP04"/>
    <s v="P002"/>
    <n v="153"/>
    <n v="117249.37"/>
    <n v="4490.12"/>
    <n v="779.6"/>
    <n v="111979.65"/>
    <n v="105529.81"/>
    <x v="1"/>
    <x v="0"/>
    <n v="10"/>
    <n v="731.89313725490194"/>
    <n v="1.061118654529938"/>
    <n v="6449.8399999999965"/>
    <n v="0"/>
  </r>
  <r>
    <s v="S00447"/>
    <d v="2024-10-01T00:00:00"/>
    <s v="R02"/>
    <x v="1"/>
    <s v="T04"/>
    <s v="REP04"/>
    <s v="P003"/>
    <n v="187"/>
    <n v="117132.79"/>
    <n v="6079.21"/>
    <n v="550.09"/>
    <n v="110503.49"/>
    <n v="103945.67"/>
    <x v="2"/>
    <x v="0"/>
    <n v="10"/>
    <n v="590.92775401069525"/>
    <n v="1.063088919432623"/>
    <n v="6557.820000000007"/>
    <n v="0"/>
  </r>
  <r>
    <s v="S00448"/>
    <d v="2024-10-01T00:00:00"/>
    <s v="R02"/>
    <x v="1"/>
    <s v="T04"/>
    <s v="REP04"/>
    <s v="P004"/>
    <n v="89"/>
    <n v="98755.58"/>
    <n v="4135.4799999999996"/>
    <n v="639.88"/>
    <n v="93980.22"/>
    <n v="97534.080000000002"/>
    <x v="3"/>
    <x v="0"/>
    <n v="10"/>
    <n v="1055.9575280898875"/>
    <n v="0.96356289001752005"/>
    <n v="-3553.8600000000006"/>
    <n v="3553.8600000000006"/>
  </r>
  <r>
    <s v="S00449"/>
    <d v="2024-10-01T00:00:00"/>
    <s v="R02"/>
    <x v="1"/>
    <s v="T05"/>
    <s v="REP05"/>
    <s v="P001"/>
    <n v="112"/>
    <n v="108509.41"/>
    <n v="4675.3100000000004"/>
    <n v="536.33000000000004"/>
    <n v="103297.77"/>
    <n v="100030.23"/>
    <x v="0"/>
    <x v="0"/>
    <n v="10"/>
    <n v="922.30151785714293"/>
    <n v="1.0326655252117285"/>
    <n v="3267.5400000000081"/>
    <n v="0"/>
  </r>
  <r>
    <s v="S00450"/>
    <d v="2024-10-01T00:00:00"/>
    <s v="R02"/>
    <x v="1"/>
    <s v="T05"/>
    <s v="REP05"/>
    <s v="P002"/>
    <n v="130"/>
    <n v="99714.5"/>
    <n v="7203.55"/>
    <n v="545.42999999999995"/>
    <n v="91965.52"/>
    <n v="92278.61"/>
    <x v="1"/>
    <x v="0"/>
    <n v="10"/>
    <n v="707.42707692307692"/>
    <n v="0.99660712271240326"/>
    <n v="-313.08999999999651"/>
    <n v="313.08999999999651"/>
  </r>
  <r>
    <s v="S00451"/>
    <d v="2024-10-01T00:00:00"/>
    <s v="R02"/>
    <x v="1"/>
    <s v="T05"/>
    <s v="REP05"/>
    <s v="P003"/>
    <n v="160"/>
    <n v="100317.15"/>
    <n v="4235.9399999999996"/>
    <n v="1090.74"/>
    <n v="94990.47"/>
    <n v="92194.3"/>
    <x v="2"/>
    <x v="0"/>
    <n v="10"/>
    <n v="593.69043750000003"/>
    <n v="1.0303290984366713"/>
    <n v="2796.1699999999983"/>
    <n v="0"/>
  </r>
  <r>
    <s v="S00452"/>
    <d v="2024-10-01T00:00:00"/>
    <s v="R02"/>
    <x v="1"/>
    <s v="T05"/>
    <s v="REP05"/>
    <s v="P004"/>
    <n v="81"/>
    <n v="89800.48"/>
    <n v="3889.41"/>
    <n v="1216.1500000000001"/>
    <n v="84694.93"/>
    <n v="85629.13"/>
    <x v="3"/>
    <x v="0"/>
    <n v="10"/>
    <n v="1045.6164197530863"/>
    <n v="0.98909016125703941"/>
    <n v="-934.20000000001164"/>
    <n v="934.20000000001164"/>
  </r>
  <r>
    <s v="S00453"/>
    <d v="2024-10-01T00:00:00"/>
    <s v="R02"/>
    <x v="1"/>
    <s v="T06"/>
    <s v="REP06"/>
    <s v="P001"/>
    <n v="121"/>
    <n v="119624.85"/>
    <n v="8794.02"/>
    <n v="1630.6"/>
    <n v="109200.23"/>
    <n v="112378.79"/>
    <x v="0"/>
    <x v="0"/>
    <n v="10"/>
    <n v="902.48123966942148"/>
    <n v="0.97171565915596714"/>
    <n v="-3178.5599999999977"/>
    <n v="3178.5599999999977"/>
  </r>
  <r>
    <s v="S00454"/>
    <d v="2024-10-01T00:00:00"/>
    <s v="R02"/>
    <x v="1"/>
    <s v="T06"/>
    <s v="REP06"/>
    <s v="P002"/>
    <n v="140"/>
    <n v="106397.8"/>
    <n v="4950.29"/>
    <n v="945.49"/>
    <n v="100502.03"/>
    <n v="103881.7"/>
    <x v="1"/>
    <x v="0"/>
    <n v="10"/>
    <n v="717.87164285714289"/>
    <n v="0.96746616584056677"/>
    <n v="-3379.6699999999983"/>
    <n v="3379.6699999999983"/>
  </r>
  <r>
    <s v="S00455"/>
    <d v="2024-10-01T00:00:00"/>
    <s v="R02"/>
    <x v="1"/>
    <s v="T06"/>
    <s v="REP06"/>
    <s v="P003"/>
    <n v="183"/>
    <n v="114474.5"/>
    <n v="4060.01"/>
    <n v="1225.72"/>
    <n v="109188.77"/>
    <n v="104476.26"/>
    <x v="2"/>
    <x v="0"/>
    <n v="10"/>
    <n v="596.65994535519133"/>
    <n v="1.0451060365292557"/>
    <n v="4712.5100000000093"/>
    <n v="0"/>
  </r>
  <r>
    <s v="S00456"/>
    <d v="2024-10-01T00:00:00"/>
    <s v="R02"/>
    <x v="1"/>
    <s v="T06"/>
    <s v="REP06"/>
    <s v="P004"/>
    <n v="92"/>
    <n v="99715.34"/>
    <n v="4673.5600000000004"/>
    <n v="419.8"/>
    <n v="94621.98"/>
    <n v="96119.039999999994"/>
    <x v="3"/>
    <x v="0"/>
    <n v="10"/>
    <n v="1028.4997826086956"/>
    <n v="0.98442493807678477"/>
    <n v="-1497.0599999999977"/>
    <n v="1497.0599999999977"/>
  </r>
  <r>
    <s v="S00457"/>
    <d v="2024-10-01T00:00:00"/>
    <s v="R03"/>
    <x v="2"/>
    <s v="T07"/>
    <s v="REP07"/>
    <s v="P001"/>
    <n v="125"/>
    <n v="123990.86"/>
    <n v="6292.45"/>
    <n v="759.48"/>
    <n v="116938.94"/>
    <n v="112132.54"/>
    <x v="0"/>
    <x v="0"/>
    <n v="10"/>
    <n v="935.51152000000002"/>
    <n v="1.0428635612820329"/>
    <n v="4806.4000000000087"/>
    <n v="0"/>
  </r>
  <r>
    <s v="S00458"/>
    <d v="2024-10-01T00:00:00"/>
    <s v="R03"/>
    <x v="2"/>
    <s v="T07"/>
    <s v="REP07"/>
    <s v="P002"/>
    <n v="146"/>
    <n v="109504.94"/>
    <n v="6578.82"/>
    <n v="738.36"/>
    <n v="102187.75"/>
    <n v="105692.55"/>
    <x v="1"/>
    <x v="0"/>
    <n v="10"/>
    <n v="699.91609589041093"/>
    <n v="0.96683966845345293"/>
    <n v="-3504.8000000000029"/>
    <n v="3504.8000000000029"/>
  </r>
  <r>
    <s v="S00459"/>
    <d v="2024-10-01T00:00:00"/>
    <s v="R03"/>
    <x v="2"/>
    <s v="T07"/>
    <s v="REP07"/>
    <s v="P003"/>
    <n v="176"/>
    <n v="110599.67"/>
    <n v="7139.74"/>
    <n v="1096.18"/>
    <n v="102363.75"/>
    <n v="104476.39"/>
    <x v="2"/>
    <x v="0"/>
    <n v="10"/>
    <n v="581.61221590909088"/>
    <n v="0.97977878064125301"/>
    <n v="-2112.6399999999994"/>
    <n v="2112.6399999999994"/>
  </r>
  <r>
    <s v="S00460"/>
    <d v="2024-10-01T00:00:00"/>
    <s v="R03"/>
    <x v="2"/>
    <s v="T07"/>
    <s v="REP07"/>
    <s v="P004"/>
    <n v="88"/>
    <n v="96569.81"/>
    <n v="6617"/>
    <n v="816.9"/>
    <n v="89135.91"/>
    <n v="96865.79"/>
    <x v="3"/>
    <x v="0"/>
    <n v="10"/>
    <n v="1012.9080681818182"/>
    <n v="0.9202001036692109"/>
    <n v="-7729.8799999999901"/>
    <n v="7729.8799999999901"/>
  </r>
  <r>
    <s v="S00461"/>
    <d v="2024-10-01T00:00:00"/>
    <s v="R03"/>
    <x v="2"/>
    <s v="T08"/>
    <s v="REP08"/>
    <s v="P001"/>
    <n v="121"/>
    <n v="119984.96000000001"/>
    <n v="7526.52"/>
    <n v="1162.3499999999999"/>
    <n v="111296.09"/>
    <n v="112622.12"/>
    <x v="0"/>
    <x v="0"/>
    <n v="10"/>
    <n v="919.80239669421485"/>
    <n v="0.98822584763987753"/>
    <n v="-1326.0299999999988"/>
    <n v="1326.0299999999988"/>
  </r>
  <r>
    <s v="S00462"/>
    <d v="2024-10-01T00:00:00"/>
    <s v="R03"/>
    <x v="2"/>
    <s v="T08"/>
    <s v="REP08"/>
    <s v="P002"/>
    <n v="155"/>
    <n v="118912.77"/>
    <n v="4495.42"/>
    <n v="555.76"/>
    <n v="113861.59"/>
    <n v="106266.4"/>
    <x v="1"/>
    <x v="0"/>
    <n v="10"/>
    <n v="734.59090322580641"/>
    <n v="1.0714731090918672"/>
    <n v="7595.1900000000023"/>
    <n v="0"/>
  </r>
  <r>
    <s v="S00463"/>
    <d v="2024-10-01T00:00:00"/>
    <s v="R03"/>
    <x v="2"/>
    <s v="T08"/>
    <s v="REP08"/>
    <s v="P003"/>
    <n v="178"/>
    <n v="111299.47"/>
    <n v="6081.93"/>
    <n v="1292.95"/>
    <n v="103924.58"/>
    <n v="105124.42"/>
    <x v="2"/>
    <x v="0"/>
    <n v="10"/>
    <n v="583.84595505617983"/>
    <n v="0.98858647686236945"/>
    <n v="-1199.8399999999965"/>
    <n v="1199.8399999999965"/>
  </r>
  <r>
    <s v="S00464"/>
    <d v="2024-10-01T00:00:00"/>
    <s v="R03"/>
    <x v="2"/>
    <s v="T08"/>
    <s v="REP08"/>
    <s v="P004"/>
    <n v="96"/>
    <n v="105305.33"/>
    <n v="4054.73"/>
    <n v="708.74"/>
    <n v="100541.86"/>
    <n v="97440.03"/>
    <x v="3"/>
    <x v="0"/>
    <n v="10"/>
    <n v="1047.3110416666666"/>
    <n v="1.031833220905207"/>
    <n v="3101.8300000000017"/>
    <n v="0"/>
  </r>
  <r>
    <s v="S00465"/>
    <d v="2024-10-01T00:00:00"/>
    <s v="R03"/>
    <x v="2"/>
    <s v="T09"/>
    <s v="REP09"/>
    <s v="P001"/>
    <n v="124"/>
    <n v="121712.26"/>
    <n v="4761.8500000000004"/>
    <n v="1604.65"/>
    <n v="115345.76"/>
    <n v="115118"/>
    <x v="0"/>
    <x v="0"/>
    <n v="10"/>
    <n v="930.2077419354838"/>
    <n v="1.0019784916346706"/>
    <n v="227.75999999999476"/>
    <n v="0"/>
  </r>
  <r>
    <s v="S00466"/>
    <d v="2024-10-01T00:00:00"/>
    <s v="R03"/>
    <x v="2"/>
    <s v="T09"/>
    <s v="REP09"/>
    <s v="P002"/>
    <n v="158"/>
    <n v="119694.51"/>
    <n v="5061.8500000000004"/>
    <n v="1548.33"/>
    <n v="113084.34"/>
    <n v="108445.59"/>
    <x v="1"/>
    <x v="0"/>
    <n v="10"/>
    <n v="715.72367088607598"/>
    <n v="1.0427749067527781"/>
    <n v="4638.75"/>
    <n v="0"/>
  </r>
  <r>
    <s v="S00467"/>
    <d v="2024-10-01T00:00:00"/>
    <s v="R03"/>
    <x v="2"/>
    <s v="T09"/>
    <s v="REP09"/>
    <s v="P003"/>
    <n v="186"/>
    <n v="114645.39"/>
    <n v="5399.23"/>
    <n v="548.69000000000005"/>
    <n v="108697.46"/>
    <n v="108309.31"/>
    <x v="2"/>
    <x v="0"/>
    <n v="10"/>
    <n v="584.39494623655912"/>
    <n v="1.0035837177801243"/>
    <n v="388.15000000000873"/>
    <n v="0"/>
  </r>
  <r>
    <s v="S00468"/>
    <d v="2024-10-01T00:00:00"/>
    <s v="R03"/>
    <x v="2"/>
    <s v="T09"/>
    <s v="REP09"/>
    <s v="P004"/>
    <n v="96"/>
    <n v="106257.98"/>
    <n v="5223.87"/>
    <n v="611.14"/>
    <n v="100422.97"/>
    <n v="99270.18"/>
    <x v="3"/>
    <x v="0"/>
    <n v="10"/>
    <n v="1046.0726041666667"/>
    <n v="1.0116126514528332"/>
    <n v="1152.7900000000081"/>
    <n v="0"/>
  </r>
  <r>
    <s v="S00469"/>
    <d v="2024-10-01T00:00:00"/>
    <s v="R04"/>
    <x v="3"/>
    <s v="T10"/>
    <s v="REP10"/>
    <s v="P001"/>
    <n v="94"/>
    <n v="92751.1"/>
    <n v="3349.81"/>
    <n v="909.32"/>
    <n v="88491.98"/>
    <n v="91434.34"/>
    <x v="0"/>
    <x v="0"/>
    <n v="10"/>
    <n v="941.4040425531914"/>
    <n v="0.9678199678589029"/>
    <n v="-2942.3600000000006"/>
    <n v="2942.3600000000006"/>
  </r>
  <r>
    <s v="S00470"/>
    <d v="2024-10-01T00:00:00"/>
    <s v="R04"/>
    <x v="3"/>
    <s v="T10"/>
    <s v="REP10"/>
    <s v="P002"/>
    <n v="121"/>
    <n v="90976.91"/>
    <n v="5463.87"/>
    <n v="1179.74"/>
    <n v="84333.31"/>
    <n v="84276.9"/>
    <x v="1"/>
    <x v="0"/>
    <n v="10"/>
    <n v="696.96950413223135"/>
    <n v="1.0006693411836458"/>
    <n v="56.410000000003492"/>
    <n v="0"/>
  </r>
  <r>
    <s v="S00471"/>
    <d v="2024-10-01T00:00:00"/>
    <s v="R04"/>
    <x v="3"/>
    <s v="T10"/>
    <s v="REP10"/>
    <s v="P003"/>
    <n v="138"/>
    <n v="85206.6"/>
    <n v="2986.56"/>
    <n v="1063.26"/>
    <n v="81156.78"/>
    <n v="84457.98"/>
    <x v="2"/>
    <x v="0"/>
    <n v="10"/>
    <n v="588.09260869565219"/>
    <n v="0.9609131073227184"/>
    <n v="-3301.1999999999971"/>
    <n v="3301.1999999999971"/>
  </r>
  <r>
    <s v="S00472"/>
    <d v="2024-10-01T00:00:00"/>
    <s v="R04"/>
    <x v="3"/>
    <s v="T10"/>
    <s v="REP10"/>
    <s v="P004"/>
    <n v="77"/>
    <n v="85957.5"/>
    <n v="5748.79"/>
    <n v="401.1"/>
    <n v="79807.61"/>
    <n v="78965.95"/>
    <x v="3"/>
    <x v="0"/>
    <n v="10"/>
    <n v="1036.4624675324676"/>
    <n v="1.0106585180068119"/>
    <n v="841.66000000000349"/>
    <n v="0"/>
  </r>
  <r>
    <s v="S00473"/>
    <d v="2024-10-01T00:00:00"/>
    <s v="R04"/>
    <x v="3"/>
    <s v="T11"/>
    <s v="REP11"/>
    <s v="P001"/>
    <n v="103"/>
    <n v="100838.28"/>
    <n v="4108.2700000000004"/>
    <n v="1151.28"/>
    <n v="95578.73"/>
    <n v="91552.88"/>
    <x v="0"/>
    <x v="0"/>
    <n v="10"/>
    <n v="927.94883495145632"/>
    <n v="1.0439729476560431"/>
    <n v="4025.8499999999913"/>
    <n v="0"/>
  </r>
  <r>
    <s v="S00474"/>
    <d v="2024-10-01T00:00:00"/>
    <s v="R04"/>
    <x v="3"/>
    <s v="T11"/>
    <s v="REP11"/>
    <s v="P002"/>
    <n v="117"/>
    <n v="89520.06"/>
    <n v="6391.55"/>
    <n v="492"/>
    <n v="82636.509999999995"/>
    <n v="84948.87"/>
    <x v="1"/>
    <x v="0"/>
    <n v="10"/>
    <n v="706.29495726495725"/>
    <n v="0.97277939070878749"/>
    <n v="-2312.3600000000006"/>
    <n v="2312.3600000000006"/>
  </r>
  <r>
    <s v="S00475"/>
    <d v="2024-10-01T00:00:00"/>
    <s v="R04"/>
    <x v="3"/>
    <s v="T11"/>
    <s v="REP11"/>
    <s v="P003"/>
    <n v="140"/>
    <n v="86148.27"/>
    <n v="3901.97"/>
    <n v="600.76"/>
    <n v="81645.539999999994"/>
    <n v="83074.850000000006"/>
    <x v="2"/>
    <x v="0"/>
    <n v="10"/>
    <n v="583.18242857142855"/>
    <n v="0.98279491326195578"/>
    <n v="-1429.3100000000122"/>
    <n v="1429.3100000000122"/>
  </r>
  <r>
    <s v="S00476"/>
    <d v="2024-10-01T00:00:00"/>
    <s v="R04"/>
    <x v="3"/>
    <s v="T11"/>
    <s v="REP11"/>
    <s v="P004"/>
    <n v="79"/>
    <n v="86246"/>
    <n v="5194.03"/>
    <n v="842.17"/>
    <n v="80209.8"/>
    <n v="78797.509999999995"/>
    <x v="3"/>
    <x v="0"/>
    <n v="10"/>
    <n v="1015.313924050633"/>
    <n v="1.0179230282784317"/>
    <n v="1412.2900000000081"/>
    <n v="0"/>
  </r>
  <r>
    <s v="S00477"/>
    <d v="2024-10-01T00:00:00"/>
    <s v="R04"/>
    <x v="3"/>
    <s v="T12"/>
    <s v="REP12"/>
    <s v="P001"/>
    <n v="114"/>
    <n v="113254.08"/>
    <n v="5004.96"/>
    <n v="717.08"/>
    <n v="107532.03"/>
    <n v="101978.81"/>
    <x v="0"/>
    <x v="0"/>
    <n v="10"/>
    <n v="943.26342105263154"/>
    <n v="1.0544546460191093"/>
    <n v="5553.2200000000012"/>
    <n v="0"/>
  </r>
  <r>
    <s v="S00478"/>
    <d v="2024-10-01T00:00:00"/>
    <s v="R04"/>
    <x v="3"/>
    <s v="T12"/>
    <s v="REP12"/>
    <s v="P002"/>
    <n v="133"/>
    <n v="100403.6"/>
    <n v="5877.5"/>
    <n v="594.71"/>
    <n v="93931.39"/>
    <n v="96250.27"/>
    <x v="1"/>
    <x v="0"/>
    <n v="10"/>
    <n v="706.25105263157889"/>
    <n v="0.97590780784303255"/>
    <n v="-2318.8800000000047"/>
    <n v="2318.8800000000047"/>
  </r>
  <r>
    <s v="S00479"/>
    <d v="2024-10-01T00:00:00"/>
    <s v="R04"/>
    <x v="3"/>
    <s v="T12"/>
    <s v="REP12"/>
    <s v="P003"/>
    <n v="169"/>
    <n v="105960.21"/>
    <n v="3729.44"/>
    <n v="742.9"/>
    <n v="101487.87"/>
    <n v="95467.44"/>
    <x v="2"/>
    <x v="0"/>
    <n v="10"/>
    <n v="600.51994082840235"/>
    <n v="1.0630626525651048"/>
    <n v="6020.429999999993"/>
    <n v="0"/>
  </r>
  <r>
    <s v="S00480"/>
    <d v="2024-10-01T00:00:00"/>
    <s v="R04"/>
    <x v="3"/>
    <s v="T12"/>
    <s v="REP12"/>
    <s v="P004"/>
    <n v="82"/>
    <n v="88851.42"/>
    <n v="3299.61"/>
    <n v="993.9"/>
    <n v="84557.92"/>
    <n v="87236.27"/>
    <x v="3"/>
    <x v="0"/>
    <n v="10"/>
    <n v="1031.1941463414635"/>
    <n v="0.96929774737044572"/>
    <n v="-2678.3500000000058"/>
    <n v="2678.3500000000058"/>
  </r>
  <r>
    <s v="S00481"/>
    <d v="2024-11-01T00:00:00"/>
    <s v="R01"/>
    <x v="0"/>
    <s v="T01"/>
    <s v="REP01"/>
    <s v="P001"/>
    <n v="161"/>
    <n v="159084.92000000001"/>
    <n v="7750.12"/>
    <n v="2071.48"/>
    <n v="149263.32"/>
    <n v="142165.74"/>
    <x v="0"/>
    <x v="0"/>
    <n v="11"/>
    <n v="927.10136645962734"/>
    <n v="1.0499246864961982"/>
    <n v="7097.5800000000163"/>
    <n v="0"/>
  </r>
  <r>
    <s v="S00482"/>
    <d v="2024-11-01T00:00:00"/>
    <s v="R01"/>
    <x v="0"/>
    <s v="T01"/>
    <s v="REP01"/>
    <s v="P002"/>
    <n v="189"/>
    <n v="142103.65"/>
    <n v="9625.77"/>
    <n v="1063.45"/>
    <n v="131414.42000000001"/>
    <n v="132986.34"/>
    <x v="1"/>
    <x v="0"/>
    <n v="11"/>
    <n v="695.31439153439158"/>
    <n v="0.98817983862101944"/>
    <n v="-1571.9199999999837"/>
    <n v="1571.9199999999837"/>
  </r>
  <r>
    <s v="S00483"/>
    <d v="2024-11-01T00:00:00"/>
    <s v="R01"/>
    <x v="0"/>
    <s v="T01"/>
    <s v="REP01"/>
    <s v="P003"/>
    <n v="227"/>
    <n v="142609.49"/>
    <n v="6951.85"/>
    <n v="760.64"/>
    <n v="134897.01"/>
    <n v="130147.77"/>
    <x v="2"/>
    <x v="0"/>
    <n v="11"/>
    <n v="594.25995594713663"/>
    <n v="1.0364911361908085"/>
    <n v="4749.2400000000052"/>
    <n v="0"/>
  </r>
  <r>
    <s v="S00484"/>
    <d v="2024-11-01T00:00:00"/>
    <s v="R01"/>
    <x v="0"/>
    <s v="T01"/>
    <s v="REP01"/>
    <s v="P004"/>
    <n v="123"/>
    <n v="134244.78"/>
    <n v="7624.4"/>
    <n v="1351.34"/>
    <n v="125269.05"/>
    <n v="120824.71"/>
    <x v="3"/>
    <x v="0"/>
    <n v="11"/>
    <n v="1018.4475609756098"/>
    <n v="1.0367833698918043"/>
    <n v="4444.3399999999965"/>
    <n v="0"/>
  </r>
  <r>
    <s v="S00485"/>
    <d v="2024-11-01T00:00:00"/>
    <s v="R01"/>
    <x v="0"/>
    <s v="T02"/>
    <s v="REP02"/>
    <s v="P001"/>
    <n v="150"/>
    <n v="148813.48000000001"/>
    <n v="8955.7099999999991"/>
    <n v="1018.66"/>
    <n v="138839.10999999999"/>
    <n v="142060.15"/>
    <x v="0"/>
    <x v="0"/>
    <n v="11"/>
    <n v="925.59406666666655"/>
    <n v="0.97732622413815551"/>
    <n v="-3221.0400000000081"/>
    <n v="3221.0400000000081"/>
  </r>
  <r>
    <s v="S00486"/>
    <d v="2024-11-01T00:00:00"/>
    <s v="R01"/>
    <x v="0"/>
    <s v="T02"/>
    <s v="REP02"/>
    <s v="P002"/>
    <n v="191"/>
    <n v="146175.29"/>
    <n v="8683.2099999999991"/>
    <n v="1894.32"/>
    <n v="135597.76000000001"/>
    <n v="134231.75"/>
    <x v="1"/>
    <x v="0"/>
    <n v="11"/>
    <n v="709.9359162303665"/>
    <n v="1.0101765044410134"/>
    <n v="1366.0100000000093"/>
    <n v="0"/>
  </r>
  <r>
    <s v="S00487"/>
    <d v="2024-11-01T00:00:00"/>
    <s v="R01"/>
    <x v="0"/>
    <s v="T02"/>
    <s v="REP02"/>
    <s v="P003"/>
    <n v="237"/>
    <n v="149117.41"/>
    <n v="9193.9699999999993"/>
    <n v="1698.8"/>
    <n v="138224.64000000001"/>
    <n v="130816.26"/>
    <x v="2"/>
    <x v="0"/>
    <n v="11"/>
    <n v="583.22632911392407"/>
    <n v="1.0566319507987769"/>
    <n v="7408.3800000000192"/>
    <n v="0"/>
  </r>
  <r>
    <s v="S00488"/>
    <d v="2024-11-01T00:00:00"/>
    <s v="R01"/>
    <x v="0"/>
    <s v="T02"/>
    <s v="REP02"/>
    <s v="P004"/>
    <n v="118"/>
    <n v="130012.48"/>
    <n v="6354.56"/>
    <n v="603.66"/>
    <n v="123054.26"/>
    <n v="124921.67"/>
    <x v="3"/>
    <x v="0"/>
    <n v="11"/>
    <n v="1042.8327118644067"/>
    <n v="0.98505135257958043"/>
    <n v="-1867.4100000000035"/>
    <n v="1867.4100000000035"/>
  </r>
  <r>
    <s v="S00489"/>
    <d v="2024-11-01T00:00:00"/>
    <s v="R01"/>
    <x v="0"/>
    <s v="T03"/>
    <s v="REP03"/>
    <s v="P001"/>
    <n v="167"/>
    <n v="165273.54999999999"/>
    <n v="9267.65"/>
    <n v="801.94"/>
    <n v="155203.96"/>
    <n v="157368.60999999999"/>
    <x v="0"/>
    <x v="0"/>
    <n v="11"/>
    <n v="929.36502994011971"/>
    <n v="0.98624471551219783"/>
    <n v="-2164.6499999999942"/>
    <n v="2164.6499999999942"/>
  </r>
  <r>
    <s v="S00490"/>
    <d v="2024-11-01T00:00:00"/>
    <s v="R01"/>
    <x v="0"/>
    <s v="T03"/>
    <s v="REP03"/>
    <s v="P002"/>
    <n v="208"/>
    <n v="159175.06"/>
    <n v="9827.49"/>
    <n v="1815.99"/>
    <n v="147531.57999999999"/>
    <n v="149069.71"/>
    <x v="1"/>
    <x v="0"/>
    <n v="11"/>
    <n v="709.28644230769225"/>
    <n v="0.98968180725648425"/>
    <n v="-1538.1300000000047"/>
    <n v="1538.1300000000047"/>
  </r>
  <r>
    <s v="S00491"/>
    <d v="2024-11-01T00:00:00"/>
    <s v="R01"/>
    <x v="0"/>
    <s v="T03"/>
    <s v="REP03"/>
    <s v="P003"/>
    <n v="239"/>
    <n v="148555.10999999999"/>
    <n v="9428.56"/>
    <n v="923.86"/>
    <n v="138202.70000000001"/>
    <n v="145763.94"/>
    <x v="2"/>
    <x v="0"/>
    <n v="11"/>
    <n v="578.2539748953975"/>
    <n v="0.94812681380593866"/>
    <n v="-7561.2399999999907"/>
    <n v="7561.2399999999907"/>
  </r>
  <r>
    <s v="S00492"/>
    <d v="2024-11-01T00:00:00"/>
    <s v="R01"/>
    <x v="0"/>
    <s v="T03"/>
    <s v="REP03"/>
    <s v="P004"/>
    <n v="126"/>
    <n v="137112.9"/>
    <n v="9423.7800000000007"/>
    <n v="674.93"/>
    <n v="127014.19"/>
    <n v="134031.70000000001"/>
    <x v="3"/>
    <x v="0"/>
    <n v="11"/>
    <n v="1008.049126984127"/>
    <n v="0.94764290835675435"/>
    <n v="-7017.5100000000093"/>
    <n v="7017.5100000000093"/>
  </r>
  <r>
    <s v="S00493"/>
    <d v="2024-11-01T00:00:00"/>
    <s v="R02"/>
    <x v="1"/>
    <s v="T04"/>
    <s v="REP04"/>
    <s v="P001"/>
    <n v="130"/>
    <n v="127007.22"/>
    <n v="5313.56"/>
    <n v="1011.51"/>
    <n v="120682.16"/>
    <n v="116295.13"/>
    <x v="0"/>
    <x v="0"/>
    <n v="11"/>
    <n v="928.32430769230768"/>
    <n v="1.0377232477404685"/>
    <n v="4387.0299999999988"/>
    <n v="0"/>
  </r>
  <r>
    <s v="S00494"/>
    <d v="2024-11-01T00:00:00"/>
    <s v="R02"/>
    <x v="1"/>
    <s v="T04"/>
    <s v="REP04"/>
    <s v="P002"/>
    <n v="153"/>
    <n v="115847.97"/>
    <n v="4553.9399999999996"/>
    <n v="1020.76"/>
    <n v="110273.26"/>
    <n v="106223.63"/>
    <x v="1"/>
    <x v="0"/>
    <n v="11"/>
    <n v="720.74026143790843"/>
    <n v="1.0381236265414766"/>
    <n v="4049.6299999999901"/>
    <n v="0"/>
  </r>
  <r>
    <s v="S00495"/>
    <d v="2024-11-01T00:00:00"/>
    <s v="R02"/>
    <x v="1"/>
    <s v="T04"/>
    <s v="REP04"/>
    <s v="P003"/>
    <n v="171"/>
    <n v="106810.02"/>
    <n v="4994.6000000000004"/>
    <n v="1465.26"/>
    <n v="100350.16"/>
    <n v="107185.3"/>
    <x v="2"/>
    <x v="0"/>
    <n v="11"/>
    <n v="586.84304093567255"/>
    <n v="0.93623062117659794"/>
    <n v="-6835.1399999999994"/>
    <n v="6835.1399999999994"/>
  </r>
  <r>
    <s v="S00496"/>
    <d v="2024-11-01T00:00:00"/>
    <s v="R02"/>
    <x v="1"/>
    <s v="T04"/>
    <s v="REP04"/>
    <s v="P004"/>
    <n v="99"/>
    <n v="110009.23"/>
    <n v="4205.03"/>
    <n v="1161.18"/>
    <n v="104643.02"/>
    <n v="99477.55"/>
    <x v="3"/>
    <x v="0"/>
    <n v="11"/>
    <n v="1057.0002020202021"/>
    <n v="1.0519259873207574"/>
    <n v="5165.4700000000012"/>
    <n v="0"/>
  </r>
  <r>
    <s v="S00497"/>
    <d v="2024-11-01T00:00:00"/>
    <s v="R02"/>
    <x v="1"/>
    <s v="T05"/>
    <s v="REP05"/>
    <s v="P001"/>
    <n v="112"/>
    <n v="110253.33"/>
    <n v="7345.93"/>
    <n v="875.3"/>
    <n v="102032.09"/>
    <n v="102713.86"/>
    <x v="0"/>
    <x v="0"/>
    <n v="11"/>
    <n v="911.00080357142849"/>
    <n v="0.99336243424207793"/>
    <n v="-681.77000000000407"/>
    <n v="681.77000000000407"/>
  </r>
  <r>
    <s v="S00498"/>
    <d v="2024-11-01T00:00:00"/>
    <s v="R02"/>
    <x v="1"/>
    <s v="T05"/>
    <s v="REP05"/>
    <s v="P002"/>
    <n v="138"/>
    <n v="103607.56"/>
    <n v="7072.49"/>
    <n v="1188.3599999999999"/>
    <n v="95346.72"/>
    <n v="93946.52"/>
    <x v="1"/>
    <x v="0"/>
    <n v="11"/>
    <n v="690.91826086956519"/>
    <n v="1.0149042242331061"/>
    <n v="1400.1999999999971"/>
    <n v="0"/>
  </r>
  <r>
    <s v="S00499"/>
    <d v="2024-11-01T00:00:00"/>
    <s v="R02"/>
    <x v="1"/>
    <s v="T05"/>
    <s v="REP05"/>
    <s v="P003"/>
    <n v="158"/>
    <n v="97243.61"/>
    <n v="4617.1400000000003"/>
    <n v="1123.26"/>
    <n v="91503.2"/>
    <n v="92404.1"/>
    <x v="2"/>
    <x v="0"/>
    <n v="11"/>
    <n v="579.13417721518988"/>
    <n v="0.99025043261067414"/>
    <n v="-900.90000000000873"/>
    <n v="900.90000000000873"/>
  </r>
  <r>
    <s v="S00500"/>
    <d v="2024-11-01T00:00:00"/>
    <s v="R02"/>
    <x v="1"/>
    <s v="T05"/>
    <s v="REP05"/>
    <s v="P004"/>
    <n v="79"/>
    <n v="86327.17"/>
    <n v="5276.5"/>
    <n v="1021.05"/>
    <n v="80029.61"/>
    <n v="87881.2"/>
    <x v="3"/>
    <x v="0"/>
    <n v="11"/>
    <n v="1013.0330379746836"/>
    <n v="0.91065677300719616"/>
    <n v="-7851.5899999999965"/>
    <n v="7851.5899999999965"/>
  </r>
  <r>
    <s v="S00501"/>
    <d v="2024-11-01T00:00:00"/>
    <s v="R02"/>
    <x v="1"/>
    <s v="T06"/>
    <s v="REP06"/>
    <s v="P001"/>
    <n v="123"/>
    <n v="118758.91"/>
    <n v="6534.94"/>
    <n v="1587.99"/>
    <n v="110635.97"/>
    <n v="114917.55"/>
    <x v="0"/>
    <x v="0"/>
    <n v="11"/>
    <n v="899.47943089430896"/>
    <n v="0.96274215731191626"/>
    <n v="-4281.5800000000017"/>
    <n v="4281.5800000000017"/>
  </r>
  <r>
    <s v="S00502"/>
    <d v="2024-11-01T00:00:00"/>
    <s v="R02"/>
    <x v="1"/>
    <s v="T06"/>
    <s v="REP06"/>
    <s v="P002"/>
    <n v="158"/>
    <n v="121268.03"/>
    <n v="8113.55"/>
    <n v="1462.81"/>
    <n v="111691.67"/>
    <n v="106838.87"/>
    <x v="1"/>
    <x v="0"/>
    <n v="11"/>
    <n v="706.9093037974684"/>
    <n v="1.0454216709704998"/>
    <n v="4852.8000000000029"/>
    <n v="0"/>
  </r>
  <r>
    <s v="S00503"/>
    <d v="2024-11-01T00:00:00"/>
    <s v="R02"/>
    <x v="1"/>
    <s v="T06"/>
    <s v="REP06"/>
    <s v="P003"/>
    <n v="179"/>
    <n v="112630.93"/>
    <n v="5404.04"/>
    <n v="1115.45"/>
    <n v="106111.44"/>
    <n v="104884.09"/>
    <x v="2"/>
    <x v="0"/>
    <n v="11"/>
    <n v="592.80134078212291"/>
    <n v="1.0117019654744586"/>
    <n v="1227.3500000000058"/>
    <n v="0"/>
  </r>
  <r>
    <s v="S00504"/>
    <d v="2024-11-01T00:00:00"/>
    <s v="R02"/>
    <x v="1"/>
    <s v="T06"/>
    <s v="REP06"/>
    <s v="P004"/>
    <n v="98"/>
    <n v="109344.14"/>
    <n v="4787.92"/>
    <n v="1364.38"/>
    <n v="103191.85"/>
    <n v="99195.12"/>
    <x v="3"/>
    <x v="0"/>
    <n v="11"/>
    <n v="1052.9780612244899"/>
    <n v="1.0402915990222101"/>
    <n v="3996.7300000000105"/>
    <n v="0"/>
  </r>
  <r>
    <s v="S00505"/>
    <d v="2024-11-01T00:00:00"/>
    <s v="R03"/>
    <x v="2"/>
    <s v="T07"/>
    <s v="REP07"/>
    <s v="P001"/>
    <n v="123"/>
    <n v="119888.52"/>
    <n v="4783.6899999999996"/>
    <n v="748.31"/>
    <n v="114356.52"/>
    <n v="116059.7"/>
    <x v="0"/>
    <x v="0"/>
    <n v="11"/>
    <n v="929.7278048780488"/>
    <n v="0.98532496637506395"/>
    <n v="-1703.179999999993"/>
    <n v="1703.179999999993"/>
  </r>
  <r>
    <s v="S00506"/>
    <d v="2024-11-01T00:00:00"/>
    <s v="R03"/>
    <x v="2"/>
    <s v="T07"/>
    <s v="REP07"/>
    <s v="P002"/>
    <n v="157"/>
    <n v="118229.03"/>
    <n v="6719.33"/>
    <n v="1143.56"/>
    <n v="110366.14"/>
    <n v="108261.28"/>
    <x v="1"/>
    <x v="0"/>
    <n v="11"/>
    <n v="702.96904458598726"/>
    <n v="1.01944240821834"/>
    <n v="2104.8600000000006"/>
    <n v="0"/>
  </r>
  <r>
    <s v="S00507"/>
    <d v="2024-11-01T00:00:00"/>
    <s v="R03"/>
    <x v="2"/>
    <s v="T07"/>
    <s v="REP07"/>
    <s v="P003"/>
    <n v="178"/>
    <n v="110373.27"/>
    <n v="6296.83"/>
    <n v="598.11"/>
    <n v="103478.33"/>
    <n v="106886.43"/>
    <x v="2"/>
    <x v="0"/>
    <n v="11"/>
    <n v="581.33893258426963"/>
    <n v="0.96811475507227629"/>
    <n v="-3408.0999999999913"/>
    <n v="3408.0999999999913"/>
  </r>
  <r>
    <s v="S00508"/>
    <d v="2024-11-01T00:00:00"/>
    <s v="R03"/>
    <x v="2"/>
    <s v="T07"/>
    <s v="REP07"/>
    <s v="P004"/>
    <n v="91"/>
    <n v="100537.84"/>
    <n v="5764.23"/>
    <n v="916.18"/>
    <n v="93857.43"/>
    <n v="99755.65"/>
    <x v="3"/>
    <x v="0"/>
    <n v="11"/>
    <n v="1031.4003296703295"/>
    <n v="0.94087332396711365"/>
    <n v="-5898.2200000000012"/>
    <n v="5898.2200000000012"/>
  </r>
  <r>
    <s v="S00509"/>
    <d v="2024-11-01T00:00:00"/>
    <s v="R03"/>
    <x v="2"/>
    <s v="T08"/>
    <s v="REP08"/>
    <s v="P001"/>
    <n v="122"/>
    <n v="120079.48"/>
    <n v="8427.2900000000009"/>
    <n v="1084.5"/>
    <n v="110567.7"/>
    <n v="115052.57"/>
    <x v="0"/>
    <x v="0"/>
    <n v="11"/>
    <n v="906.29262295081969"/>
    <n v="0.96101894985918168"/>
    <n v="-4484.8700000000099"/>
    <n v="4484.8700000000099"/>
  </r>
  <r>
    <s v="S00510"/>
    <d v="2024-11-01T00:00:00"/>
    <s v="R03"/>
    <x v="2"/>
    <s v="T08"/>
    <s v="REP08"/>
    <s v="P002"/>
    <n v="145"/>
    <n v="110397.65"/>
    <n v="5468.78"/>
    <n v="1079.98"/>
    <n v="103848.89"/>
    <n v="107895.34"/>
    <x v="1"/>
    <x v="0"/>
    <n v="11"/>
    <n v="716.19924137931037"/>
    <n v="0.96249652672673358"/>
    <n v="-4046.4499999999971"/>
    <n v="4046.4499999999971"/>
  </r>
  <r>
    <s v="S00511"/>
    <d v="2024-11-01T00:00:00"/>
    <s v="R03"/>
    <x v="2"/>
    <s v="T08"/>
    <s v="REP08"/>
    <s v="P003"/>
    <n v="185"/>
    <n v="116161.36"/>
    <n v="6556.06"/>
    <n v="821.21"/>
    <n v="108784.09"/>
    <n v="105577.55"/>
    <x v="2"/>
    <x v="0"/>
    <n v="11"/>
    <n v="588.02210810810811"/>
    <n v="1.0303714189238147"/>
    <n v="3206.5399999999936"/>
    <n v="0"/>
  </r>
  <r>
    <s v="S00512"/>
    <d v="2024-11-01T00:00:00"/>
    <s v="R03"/>
    <x v="2"/>
    <s v="T08"/>
    <s v="REP08"/>
    <s v="P004"/>
    <n v="99"/>
    <n v="109470.36"/>
    <n v="7541.95"/>
    <n v="461.94"/>
    <n v="101466.47"/>
    <n v="100073.51"/>
    <x v="3"/>
    <x v="0"/>
    <n v="11"/>
    <n v="1024.9138383838383"/>
    <n v="1.0139193678726768"/>
    <n v="1392.9600000000064"/>
    <n v="0"/>
  </r>
  <r>
    <s v="S00513"/>
    <d v="2024-11-01T00:00:00"/>
    <s v="R03"/>
    <x v="2"/>
    <s v="T09"/>
    <s v="REP09"/>
    <s v="P001"/>
    <n v="130"/>
    <n v="126926.1"/>
    <n v="8988.58"/>
    <n v="1382.39"/>
    <n v="116555.13"/>
    <n v="117344.54"/>
    <x v="0"/>
    <x v="0"/>
    <n v="11"/>
    <n v="896.57792307692307"/>
    <n v="0.99327271639566705"/>
    <n v="-789.40999999998894"/>
    <n v="789.40999999998894"/>
  </r>
  <r>
    <s v="S00514"/>
    <d v="2024-11-01T00:00:00"/>
    <s v="R03"/>
    <x v="2"/>
    <s v="T09"/>
    <s v="REP09"/>
    <s v="P002"/>
    <n v="154"/>
    <n v="115539.31"/>
    <n v="4583.8"/>
    <n v="1179.6300000000001"/>
    <n v="109775.88"/>
    <n v="110143.92"/>
    <x v="1"/>
    <x v="0"/>
    <n v="11"/>
    <n v="712.8303896103896"/>
    <n v="0.99665855364508549"/>
    <n v="-368.0399999999936"/>
    <n v="368.0399999999936"/>
  </r>
  <r>
    <s v="S00515"/>
    <d v="2024-11-01T00:00:00"/>
    <s v="R03"/>
    <x v="2"/>
    <s v="T09"/>
    <s v="REP09"/>
    <s v="P003"/>
    <n v="190"/>
    <n v="117756.4"/>
    <n v="5847.52"/>
    <n v="865.16"/>
    <n v="111043.72"/>
    <n v="110361.44"/>
    <x v="2"/>
    <x v="0"/>
    <n v="11"/>
    <n v="584.44063157894732"/>
    <n v="1.0061822317650078"/>
    <n v="682.27999999999884"/>
    <n v="0"/>
  </r>
  <r>
    <s v="S00516"/>
    <d v="2024-11-01T00:00:00"/>
    <s v="R03"/>
    <x v="2"/>
    <s v="T09"/>
    <s v="REP09"/>
    <s v="P004"/>
    <n v="102"/>
    <n v="113454.02"/>
    <n v="6899.95"/>
    <n v="1311.06"/>
    <n v="105243.01"/>
    <n v="103161.60000000001"/>
    <x v="3"/>
    <x v="0"/>
    <n v="11"/>
    <n v="1031.7942156862744"/>
    <n v="1.0201762089769835"/>
    <n v="2081.4099999999889"/>
    <n v="0"/>
  </r>
  <r>
    <s v="S00517"/>
    <d v="2024-11-01T00:00:00"/>
    <s v="R04"/>
    <x v="3"/>
    <s v="T10"/>
    <s v="REP10"/>
    <s v="P001"/>
    <n v="97"/>
    <n v="94350.87"/>
    <n v="3523.22"/>
    <n v="430.89"/>
    <n v="90396.76"/>
    <n v="93322.01"/>
    <x v="0"/>
    <x v="0"/>
    <n v="11"/>
    <n v="931.92536082474226"/>
    <n v="0.96865423280102947"/>
    <n v="-2925.25"/>
    <n v="2925.25"/>
  </r>
  <r>
    <s v="S00518"/>
    <d v="2024-11-01T00:00:00"/>
    <s v="R04"/>
    <x v="3"/>
    <s v="T10"/>
    <s v="REP10"/>
    <s v="P002"/>
    <n v="117"/>
    <n v="87668.75"/>
    <n v="6075.94"/>
    <n v="661.78"/>
    <n v="80931.03"/>
    <n v="86089.49"/>
    <x v="1"/>
    <x v="0"/>
    <n v="11"/>
    <n v="691.71820512820511"/>
    <n v="0.94008025834512432"/>
    <n v="-5158.4600000000064"/>
    <n v="5158.4600000000064"/>
  </r>
  <r>
    <s v="S00519"/>
    <d v="2024-11-01T00:00:00"/>
    <s v="R04"/>
    <x v="3"/>
    <s v="T10"/>
    <s v="REP10"/>
    <s v="P003"/>
    <n v="150"/>
    <n v="92876.81"/>
    <n v="6242.92"/>
    <n v="608.05999999999995"/>
    <n v="86025.83"/>
    <n v="86633.78"/>
    <x v="2"/>
    <x v="0"/>
    <n v="11"/>
    <n v="573.50553333333335"/>
    <n v="0.99298252944752041"/>
    <n v="-607.94999999999709"/>
    <n v="607.94999999999709"/>
  </r>
  <r>
    <s v="S00520"/>
    <d v="2024-11-01T00:00:00"/>
    <s v="R04"/>
    <x v="3"/>
    <s v="T10"/>
    <s v="REP10"/>
    <s v="P004"/>
    <n v="75"/>
    <n v="82039.320000000007"/>
    <n v="4427.53"/>
    <n v="620.92999999999995"/>
    <n v="76990.86"/>
    <n v="80004"/>
    <x v="3"/>
    <x v="0"/>
    <n v="11"/>
    <n v="1026.5447999999999"/>
    <n v="0.96233763311834408"/>
    <n v="-3013.1399999999994"/>
    <n v="3013.1399999999994"/>
  </r>
  <r>
    <s v="S00521"/>
    <d v="2024-11-01T00:00:00"/>
    <s v="R04"/>
    <x v="3"/>
    <s v="T11"/>
    <s v="REP11"/>
    <s v="P001"/>
    <n v="102"/>
    <n v="98893.63"/>
    <n v="3510.72"/>
    <n v="1227.78"/>
    <n v="94155.12"/>
    <n v="92361.83"/>
    <x v="0"/>
    <x v="0"/>
    <n v="11"/>
    <n v="923.0894117647058"/>
    <n v="1.0194159210574325"/>
    <n v="1793.2899999999936"/>
    <n v="0"/>
  </r>
  <r>
    <s v="S00522"/>
    <d v="2024-11-01T00:00:00"/>
    <s v="R04"/>
    <x v="3"/>
    <s v="T11"/>
    <s v="REP11"/>
    <s v="P002"/>
    <n v="114"/>
    <n v="87089.93"/>
    <n v="6335.99"/>
    <n v="857.06"/>
    <n v="79896.87"/>
    <n v="87645.95"/>
    <x v="1"/>
    <x v="0"/>
    <n v="11"/>
    <n v="700.84973684210524"/>
    <n v="0.91158655933331767"/>
    <n v="-7749.0800000000017"/>
    <n v="7749.0800000000017"/>
  </r>
  <r>
    <s v="S00523"/>
    <d v="2024-11-01T00:00:00"/>
    <s v="R04"/>
    <x v="3"/>
    <s v="T11"/>
    <s v="REP11"/>
    <s v="P003"/>
    <n v="149"/>
    <n v="91675.08"/>
    <n v="4066.16"/>
    <n v="832.51"/>
    <n v="86776.41"/>
    <n v="85399.44"/>
    <x v="2"/>
    <x v="0"/>
    <n v="11"/>
    <n v="582.39201342281876"/>
    <n v="1.0161238762221392"/>
    <n v="1376.9700000000012"/>
    <n v="0"/>
  </r>
  <r>
    <s v="S00524"/>
    <d v="2024-11-01T00:00:00"/>
    <s v="R04"/>
    <x v="3"/>
    <s v="T11"/>
    <s v="REP11"/>
    <s v="P004"/>
    <n v="76"/>
    <n v="83435.39"/>
    <n v="2990.84"/>
    <n v="851.7"/>
    <n v="79592.84"/>
    <n v="78834.87"/>
    <x v="3"/>
    <x v="0"/>
    <n v="11"/>
    <n v="1047.2742105263158"/>
    <n v="1.0096146540230231"/>
    <n v="757.97000000000116"/>
    <n v="0"/>
  </r>
  <r>
    <s v="S00525"/>
    <d v="2024-11-01T00:00:00"/>
    <s v="R04"/>
    <x v="3"/>
    <s v="T12"/>
    <s v="REP12"/>
    <s v="P001"/>
    <n v="116"/>
    <n v="114185.95"/>
    <n v="8163.9"/>
    <n v="935.41"/>
    <n v="105086.64"/>
    <n v="104215.99"/>
    <x v="0"/>
    <x v="0"/>
    <n v="11"/>
    <n v="905.91931034482764"/>
    <n v="1.008354284213008"/>
    <n v="870.64999999999418"/>
    <n v="0"/>
  </r>
  <r>
    <s v="S00526"/>
    <d v="2024-11-01T00:00:00"/>
    <s v="R04"/>
    <x v="3"/>
    <s v="T12"/>
    <s v="REP12"/>
    <s v="P002"/>
    <n v="137"/>
    <n v="104372.61"/>
    <n v="5349.25"/>
    <n v="1241.05"/>
    <n v="97782.3"/>
    <n v="98672.99"/>
    <x v="1"/>
    <x v="0"/>
    <n v="11"/>
    <n v="713.73941605839423"/>
    <n v="0.99097331498721175"/>
    <n v="-890.69000000000233"/>
    <n v="890.69000000000233"/>
  </r>
  <r>
    <s v="S00527"/>
    <d v="2024-11-01T00:00:00"/>
    <s v="R04"/>
    <x v="3"/>
    <s v="T12"/>
    <s v="REP12"/>
    <s v="P003"/>
    <n v="163"/>
    <n v="99814.46"/>
    <n v="5992.02"/>
    <n v="607.59"/>
    <n v="93214.85"/>
    <n v="97930.96"/>
    <x v="2"/>
    <x v="0"/>
    <n v="11"/>
    <n v="571.87024539877302"/>
    <n v="0.95184250210556498"/>
    <n v="-4716.1100000000006"/>
    <n v="4716.1100000000006"/>
  </r>
  <r>
    <s v="S00528"/>
    <d v="2024-11-01T00:00:00"/>
    <s v="R04"/>
    <x v="3"/>
    <s v="T12"/>
    <s v="REP12"/>
    <s v="P004"/>
    <n v="92"/>
    <n v="100570.93"/>
    <n v="5346.97"/>
    <n v="801.07"/>
    <n v="94422.9"/>
    <n v="89696.29"/>
    <x v="3"/>
    <x v="0"/>
    <n v="11"/>
    <n v="1026.3358695652173"/>
    <n v="1.0526957135016399"/>
    <n v="4726.6100000000006"/>
    <n v="0"/>
  </r>
  <r>
    <s v="S00529"/>
    <d v="2024-12-01T00:00:00"/>
    <s v="R01"/>
    <x v="0"/>
    <s v="T01"/>
    <s v="REP01"/>
    <s v="P001"/>
    <n v="160"/>
    <n v="156022.01"/>
    <n v="5533.4"/>
    <n v="1342.93"/>
    <n v="149145.68"/>
    <n v="145031.51"/>
    <x v="0"/>
    <x v="0"/>
    <n v="12"/>
    <n v="932.16049999999996"/>
    <n v="1.0283674216727108"/>
    <n v="4114.1699999999837"/>
    <n v="0"/>
  </r>
  <r>
    <s v="S00530"/>
    <d v="2024-12-01T00:00:00"/>
    <s v="R01"/>
    <x v="0"/>
    <s v="T01"/>
    <s v="REP01"/>
    <s v="P002"/>
    <n v="192"/>
    <n v="144088.1"/>
    <n v="7842.47"/>
    <n v="971.34"/>
    <n v="135274.29"/>
    <n v="135599.49"/>
    <x v="1"/>
    <x v="0"/>
    <n v="12"/>
    <n v="704.55359375"/>
    <n v="0.9976017608915787"/>
    <n v="-325.19999999998254"/>
    <n v="325.19999999998254"/>
  </r>
  <r>
    <s v="S00531"/>
    <d v="2024-12-01T00:00:00"/>
    <s v="R01"/>
    <x v="0"/>
    <s v="T01"/>
    <s v="REP01"/>
    <s v="P003"/>
    <n v="223"/>
    <n v="139987.57"/>
    <n v="8889.31"/>
    <n v="1324.34"/>
    <n v="129773.93"/>
    <n v="132715.91"/>
    <x v="2"/>
    <x v="0"/>
    <n v="12"/>
    <n v="581.94587443946182"/>
    <n v="0.97783249950966689"/>
    <n v="-2941.9800000000105"/>
    <n v="2941.9800000000105"/>
  </r>
  <r>
    <s v="S00532"/>
    <d v="2024-12-01T00:00:00"/>
    <s v="R01"/>
    <x v="0"/>
    <s v="T01"/>
    <s v="REP01"/>
    <s v="P004"/>
    <n v="118"/>
    <n v="130438.16"/>
    <n v="6450.81"/>
    <n v="1708.05"/>
    <n v="122279.29"/>
    <n v="122843.86"/>
    <x v="3"/>
    <x v="0"/>
    <n v="12"/>
    <n v="1036.2651694915253"/>
    <n v="0.99540416590621617"/>
    <n v="-564.57000000000698"/>
    <n v="564.57000000000698"/>
  </r>
  <r>
    <s v="S00533"/>
    <d v="2024-12-01T00:00:00"/>
    <s v="R01"/>
    <x v="0"/>
    <s v="T02"/>
    <s v="REP02"/>
    <s v="P001"/>
    <n v="160"/>
    <n v="156861.09"/>
    <n v="11509.7"/>
    <n v="1867.17"/>
    <n v="143484.22"/>
    <n v="148066.6"/>
    <x v="0"/>
    <x v="0"/>
    <n v="12"/>
    <n v="896.77637500000003"/>
    <n v="0.96905189961814475"/>
    <n v="-4582.3800000000047"/>
    <n v="4582.3800000000047"/>
  </r>
  <r>
    <s v="S00534"/>
    <d v="2024-12-01T00:00:00"/>
    <s v="R01"/>
    <x v="0"/>
    <s v="T02"/>
    <s v="REP02"/>
    <s v="P002"/>
    <n v="189"/>
    <n v="144678.66"/>
    <n v="9699.94"/>
    <n v="749.03"/>
    <n v="134229.69"/>
    <n v="137158.91"/>
    <x v="1"/>
    <x v="0"/>
    <n v="12"/>
    <n v="710.21"/>
    <n v="0.97864360397731365"/>
    <n v="-2929.2200000000012"/>
    <n v="2929.2200000000012"/>
  </r>
  <r>
    <s v="S00535"/>
    <d v="2024-12-01T00:00:00"/>
    <s v="R01"/>
    <x v="0"/>
    <s v="T02"/>
    <s v="REP02"/>
    <s v="P003"/>
    <n v="241"/>
    <n v="147199.16"/>
    <n v="10147.1"/>
    <n v="1967.83"/>
    <n v="135084.22"/>
    <n v="135064.54"/>
    <x v="2"/>
    <x v="0"/>
    <n v="12"/>
    <n v="560.51543568464729"/>
    <n v="1.0001457081185039"/>
    <n v="19.679999999993015"/>
    <n v="0"/>
  </r>
  <r>
    <s v="S00536"/>
    <d v="2024-12-01T00:00:00"/>
    <s v="R01"/>
    <x v="0"/>
    <s v="T02"/>
    <s v="REP02"/>
    <s v="P004"/>
    <n v="117"/>
    <n v="130257.89"/>
    <n v="8241.86"/>
    <n v="1740.97"/>
    <n v="120275.06"/>
    <n v="126356.52"/>
    <x v="3"/>
    <x v="0"/>
    <n v="12"/>
    <n v="1027.9919658119659"/>
    <n v="0.95187062764944774"/>
    <n v="-6081.4600000000064"/>
    <n v="6081.4600000000064"/>
  </r>
  <r>
    <s v="S00537"/>
    <d v="2024-12-01T00:00:00"/>
    <s v="R01"/>
    <x v="0"/>
    <s v="T03"/>
    <s v="REP03"/>
    <s v="P001"/>
    <n v="166"/>
    <n v="163323.65"/>
    <n v="12245.8"/>
    <n v="2142.67"/>
    <n v="148935.18"/>
    <n v="161947.51"/>
    <x v="0"/>
    <x v="0"/>
    <n v="12"/>
    <n v="897.19987951807229"/>
    <n v="0.91965094122163404"/>
    <n v="-13012.330000000016"/>
    <n v="13012.330000000016"/>
  </r>
  <r>
    <s v="S00538"/>
    <d v="2024-12-01T00:00:00"/>
    <s v="R01"/>
    <x v="0"/>
    <s v="T03"/>
    <s v="REP03"/>
    <s v="P002"/>
    <n v="211"/>
    <n v="160442.92000000001"/>
    <n v="7810.61"/>
    <n v="992.03"/>
    <n v="151640.29"/>
    <n v="150312.43"/>
    <x v="1"/>
    <x v="0"/>
    <n v="12"/>
    <n v="718.67436018957346"/>
    <n v="1.0088339999559586"/>
    <n v="1327.8600000000151"/>
    <n v="0"/>
  </r>
  <r>
    <s v="S00539"/>
    <d v="2024-12-01T00:00:00"/>
    <s v="R01"/>
    <x v="0"/>
    <s v="T03"/>
    <s v="REP03"/>
    <s v="P003"/>
    <n v="243"/>
    <n v="151706.65"/>
    <n v="10628.39"/>
    <n v="2052.4499999999998"/>
    <n v="139025.81"/>
    <n v="149960.15"/>
    <x v="2"/>
    <x v="0"/>
    <n v="12"/>
    <n v="572.12267489711928"/>
    <n v="0.92708502892268385"/>
    <n v="-10934.339999999997"/>
    <n v="10934.339999999997"/>
  </r>
  <r>
    <s v="S00540"/>
    <d v="2024-12-01T00:00:00"/>
    <s v="R01"/>
    <x v="0"/>
    <s v="T03"/>
    <s v="REP03"/>
    <s v="P004"/>
    <n v="136"/>
    <n v="147649.87"/>
    <n v="10854.32"/>
    <n v="594.09"/>
    <n v="136201.46"/>
    <n v="137259.34"/>
    <x v="3"/>
    <x v="0"/>
    <n v="12"/>
    <n v="1001.4813235294117"/>
    <n v="0.99229283777701394"/>
    <n v="-1057.8800000000047"/>
    <n v="1057.8800000000047"/>
  </r>
  <r>
    <s v="S00541"/>
    <d v="2024-12-01T00:00:00"/>
    <s v="R02"/>
    <x v="1"/>
    <s v="T04"/>
    <s v="REP04"/>
    <s v="P001"/>
    <n v="128"/>
    <n v="125307.46"/>
    <n v="7133.69"/>
    <n v="1679.42"/>
    <n v="116494.36"/>
    <n v="117272.46"/>
    <x v="0"/>
    <x v="0"/>
    <n v="12"/>
    <n v="910.1121875"/>
    <n v="0.99336502363811585"/>
    <n v="-778.10000000000582"/>
    <n v="778.10000000000582"/>
  </r>
  <r>
    <s v="S00542"/>
    <d v="2024-12-01T00:00:00"/>
    <s v="R02"/>
    <x v="1"/>
    <s v="T04"/>
    <s v="REP04"/>
    <s v="P002"/>
    <n v="148"/>
    <n v="111381.75999999999"/>
    <n v="5077.5"/>
    <n v="877.18"/>
    <n v="105427.08"/>
    <n v="109513.83"/>
    <x v="1"/>
    <x v="0"/>
    <n v="12"/>
    <n v="712.34513513513514"/>
    <n v="0.96268279540584056"/>
    <n v="-4086.75"/>
    <n v="4086.75"/>
  </r>
  <r>
    <s v="S00543"/>
    <d v="2024-12-01T00:00:00"/>
    <s v="R02"/>
    <x v="1"/>
    <s v="T04"/>
    <s v="REP04"/>
    <s v="P003"/>
    <n v="195"/>
    <n v="119385.19"/>
    <n v="4489.97"/>
    <n v="1609.81"/>
    <n v="113285.42"/>
    <n v="106798.79"/>
    <x v="2"/>
    <x v="0"/>
    <n v="12"/>
    <n v="580.95087179487177"/>
    <n v="1.0607369240793834"/>
    <n v="6486.6300000000047"/>
    <n v="0"/>
  </r>
  <r>
    <s v="S00544"/>
    <d v="2024-12-01T00:00:00"/>
    <s v="R02"/>
    <x v="1"/>
    <s v="T04"/>
    <s v="REP04"/>
    <s v="P004"/>
    <n v="100"/>
    <n v="108512.57"/>
    <n v="4826.1000000000004"/>
    <n v="1035.94"/>
    <n v="102650.53"/>
    <n v="99577.1"/>
    <x v="3"/>
    <x v="0"/>
    <n v="12"/>
    <n v="1026.5053"/>
    <n v="1.0308648273548837"/>
    <n v="3073.429999999993"/>
    <n v="0"/>
  </r>
  <r>
    <s v="S00545"/>
    <d v="2024-12-01T00:00:00"/>
    <s v="R02"/>
    <x v="1"/>
    <s v="T05"/>
    <s v="REP05"/>
    <s v="P001"/>
    <n v="107"/>
    <n v="104216.71"/>
    <n v="7300.95"/>
    <n v="1286.9000000000001"/>
    <n v="95628.86"/>
    <n v="102200.05"/>
    <x v="0"/>
    <x v="0"/>
    <n v="12"/>
    <n v="893.72766355140186"/>
    <n v="0.93570267333528701"/>
    <n v="-6571.1900000000023"/>
    <n v="6571.1900000000023"/>
  </r>
  <r>
    <s v="S00546"/>
    <d v="2024-12-01T00:00:00"/>
    <s v="R02"/>
    <x v="1"/>
    <s v="T05"/>
    <s v="REP05"/>
    <s v="P002"/>
    <n v="138"/>
    <n v="105654.17"/>
    <n v="5903.35"/>
    <n v="1103.3599999999999"/>
    <n v="98647.46"/>
    <n v="96642.26"/>
    <x v="1"/>
    <x v="0"/>
    <n v="12"/>
    <n v="714.8366666666667"/>
    <n v="1.0207486869615841"/>
    <n v="2005.2000000000116"/>
    <n v="0"/>
  </r>
  <r>
    <s v="S00547"/>
    <d v="2024-12-01T00:00:00"/>
    <s v="R02"/>
    <x v="1"/>
    <s v="T05"/>
    <s v="REP05"/>
    <s v="P003"/>
    <n v="173"/>
    <n v="108725.91"/>
    <n v="4486.18"/>
    <n v="1461.43"/>
    <n v="102778.3"/>
    <n v="94225.48"/>
    <x v="2"/>
    <x v="0"/>
    <n v="12"/>
    <n v="594.09421965317915"/>
    <n v="1.0907697153678602"/>
    <n v="8552.820000000007"/>
    <n v="0"/>
  </r>
  <r>
    <s v="S00548"/>
    <d v="2024-12-01T00:00:00"/>
    <s v="R02"/>
    <x v="1"/>
    <s v="T05"/>
    <s v="REP05"/>
    <s v="P004"/>
    <n v="89"/>
    <n v="98874.3"/>
    <n v="3996.16"/>
    <n v="914.25"/>
    <n v="93963.89"/>
    <n v="90180.17"/>
    <x v="3"/>
    <x v="0"/>
    <n v="12"/>
    <n v="1055.7740449438202"/>
    <n v="1.0419573394017776"/>
    <n v="3783.7200000000012"/>
    <n v="0"/>
  </r>
  <r>
    <s v="S00549"/>
    <d v="2024-12-01T00:00:00"/>
    <s v="R02"/>
    <x v="1"/>
    <s v="T06"/>
    <s v="REP06"/>
    <s v="P001"/>
    <n v="124"/>
    <n v="121581.07"/>
    <n v="8188.35"/>
    <n v="902.91"/>
    <n v="112489.8"/>
    <n v="116006.87"/>
    <x v="0"/>
    <x v="0"/>
    <n v="12"/>
    <n v="907.17580645161297"/>
    <n v="0.96968222657847769"/>
    <n v="-3517.0699999999924"/>
    <n v="3517.0699999999924"/>
  </r>
  <r>
    <s v="S00550"/>
    <d v="2024-12-01T00:00:00"/>
    <s v="R02"/>
    <x v="1"/>
    <s v="T06"/>
    <s v="REP06"/>
    <s v="P002"/>
    <n v="157"/>
    <n v="119344.42"/>
    <n v="7284.43"/>
    <n v="497.18"/>
    <n v="111562.81"/>
    <n v="108980.34"/>
    <x v="1"/>
    <x v="0"/>
    <n v="12"/>
    <n v="710.59114649681533"/>
    <n v="1.0236966594158177"/>
    <n v="2582.4700000000012"/>
    <n v="0"/>
  </r>
  <r>
    <s v="S00551"/>
    <d v="2024-12-01T00:00:00"/>
    <s v="R02"/>
    <x v="1"/>
    <s v="T06"/>
    <s v="REP06"/>
    <s v="P003"/>
    <n v="184"/>
    <n v="115273.59"/>
    <n v="7609.3"/>
    <n v="760.42"/>
    <n v="106903.87"/>
    <n v="108443.3"/>
    <x v="2"/>
    <x v="0"/>
    <n v="12"/>
    <n v="580.99929347826082"/>
    <n v="0.9858042866640907"/>
    <n v="-1539.4300000000076"/>
    <n v="1539.4300000000076"/>
  </r>
  <r>
    <s v="S00552"/>
    <d v="2024-12-01T00:00:00"/>
    <s v="R02"/>
    <x v="1"/>
    <s v="T06"/>
    <s v="REP06"/>
    <s v="P004"/>
    <n v="102"/>
    <n v="113028.66"/>
    <n v="4144.51"/>
    <n v="843.9"/>
    <n v="108040.25"/>
    <n v="99863.03"/>
    <x v="3"/>
    <x v="0"/>
    <n v="12"/>
    <n v="1059.2181372549019"/>
    <n v="1.0818843570037882"/>
    <n v="8177.2200000000012"/>
    <n v="0"/>
  </r>
  <r>
    <s v="S00553"/>
    <d v="2024-12-01T00:00:00"/>
    <s v="R03"/>
    <x v="2"/>
    <s v="T07"/>
    <s v="REP07"/>
    <s v="P001"/>
    <n v="131"/>
    <n v="127623.34"/>
    <n v="8709.6"/>
    <n v="864.42"/>
    <n v="118049.32"/>
    <n v="117204.95"/>
    <x v="0"/>
    <x v="0"/>
    <n v="12"/>
    <n v="901.13984732824429"/>
    <n v="1.0072042179105918"/>
    <n v="844.3700000000099"/>
    <n v="0"/>
  </r>
  <r>
    <s v="S00554"/>
    <d v="2024-12-01T00:00:00"/>
    <s v="R03"/>
    <x v="2"/>
    <s v="T07"/>
    <s v="REP07"/>
    <s v="P002"/>
    <n v="159"/>
    <n v="119218.22"/>
    <n v="6123.38"/>
    <n v="1210.73"/>
    <n v="111884.1"/>
    <n v="107761.44"/>
    <x v="1"/>
    <x v="0"/>
    <n v="12"/>
    <n v="703.67358490566039"/>
    <n v="1.0382572838670308"/>
    <n v="4122.6600000000035"/>
    <n v="0"/>
  </r>
  <r>
    <s v="S00555"/>
    <d v="2024-12-01T00:00:00"/>
    <s v="R03"/>
    <x v="2"/>
    <s v="T07"/>
    <s v="REP07"/>
    <s v="P003"/>
    <n v="185"/>
    <n v="115025.29"/>
    <n v="6548.31"/>
    <n v="620.87"/>
    <n v="107856.12"/>
    <n v="108078.06"/>
    <x v="2"/>
    <x v="0"/>
    <n v="12"/>
    <n v="583.00605405405406"/>
    <n v="0.99794648423556087"/>
    <n v="-221.94000000000233"/>
    <n v="221.94000000000233"/>
  </r>
  <r>
    <s v="S00556"/>
    <d v="2024-12-01T00:00:00"/>
    <s v="R03"/>
    <x v="2"/>
    <s v="T07"/>
    <s v="REP07"/>
    <s v="P004"/>
    <n v="95"/>
    <n v="105505.39"/>
    <n v="6889.94"/>
    <n v="916.7"/>
    <n v="97698.75"/>
    <n v="100779.06"/>
    <x v="3"/>
    <x v="0"/>
    <n v="12"/>
    <n v="1028.4078947368421"/>
    <n v="0.96943501953679667"/>
    <n v="-3080.3099999999977"/>
    <n v="3080.3099999999977"/>
  </r>
  <r>
    <s v="S00557"/>
    <d v="2024-12-01T00:00:00"/>
    <s v="R03"/>
    <x v="2"/>
    <s v="T08"/>
    <s v="REP08"/>
    <s v="P001"/>
    <n v="123"/>
    <n v="121199.96"/>
    <n v="6374"/>
    <n v="1590.99"/>
    <n v="113234.98"/>
    <n v="118940.05"/>
    <x v="0"/>
    <x v="0"/>
    <n v="12"/>
    <n v="920.60959349593497"/>
    <n v="0.95203407094582515"/>
    <n v="-5705.070000000007"/>
    <n v="5705.070000000007"/>
  </r>
  <r>
    <s v="S00558"/>
    <d v="2024-12-01T00:00:00"/>
    <s v="R03"/>
    <x v="2"/>
    <s v="T08"/>
    <s v="REP08"/>
    <s v="P002"/>
    <n v="160"/>
    <n v="121134.08"/>
    <n v="7374.54"/>
    <n v="968.5"/>
    <n v="112791.05"/>
    <n v="109443.59"/>
    <x v="1"/>
    <x v="0"/>
    <n v="12"/>
    <n v="704.94406249999997"/>
    <n v="1.030586167723482"/>
    <n v="3347.4600000000064"/>
    <n v="0"/>
  </r>
  <r>
    <s v="S00559"/>
    <d v="2024-12-01T00:00:00"/>
    <s v="R03"/>
    <x v="2"/>
    <s v="T08"/>
    <s v="REP08"/>
    <s v="P003"/>
    <n v="192"/>
    <n v="117339.2"/>
    <n v="8581.64"/>
    <n v="841.7"/>
    <n v="107915.87"/>
    <n v="109333.39"/>
    <x v="2"/>
    <x v="0"/>
    <n v="12"/>
    <n v="562.06182291666664"/>
    <n v="0.98703488476850476"/>
    <n v="-1417.5200000000041"/>
    <n v="1417.5200000000041"/>
  </r>
  <r>
    <s v="S00560"/>
    <d v="2024-12-01T00:00:00"/>
    <s v="R03"/>
    <x v="2"/>
    <s v="T08"/>
    <s v="REP08"/>
    <s v="P004"/>
    <n v="97"/>
    <n v="107548.13"/>
    <n v="4990.07"/>
    <n v="780.79"/>
    <n v="101777.27"/>
    <n v="99760.75"/>
    <x v="3"/>
    <x v="0"/>
    <n v="12"/>
    <n v="1049.2502061855671"/>
    <n v="1.0202135609445599"/>
    <n v="2016.5200000000041"/>
    <n v="0"/>
  </r>
  <r>
    <s v="S00561"/>
    <d v="2024-12-01T00:00:00"/>
    <s v="R03"/>
    <x v="2"/>
    <s v="T09"/>
    <s v="REP09"/>
    <s v="P001"/>
    <n v="135"/>
    <n v="132039.37"/>
    <n v="7554.35"/>
    <n v="1027.8800000000001"/>
    <n v="123457.14"/>
    <n v="120802.01"/>
    <x v="0"/>
    <x v="0"/>
    <n v="12"/>
    <n v="914.49733333333336"/>
    <n v="1.0219791872668345"/>
    <n v="2655.1300000000047"/>
    <n v="0"/>
  </r>
  <r>
    <s v="S00562"/>
    <d v="2024-12-01T00:00:00"/>
    <s v="R03"/>
    <x v="2"/>
    <s v="T09"/>
    <s v="REP09"/>
    <s v="P002"/>
    <n v="160"/>
    <n v="122776.35"/>
    <n v="5552.2"/>
    <n v="559.51"/>
    <n v="116664.64"/>
    <n v="113480.83"/>
    <x v="1"/>
    <x v="0"/>
    <n v="12"/>
    <n v="729.154"/>
    <n v="1.0280559280364798"/>
    <n v="3183.8099999999977"/>
    <n v="0"/>
  </r>
  <r>
    <s v="S00563"/>
    <d v="2024-12-01T00:00:00"/>
    <s v="R03"/>
    <x v="2"/>
    <s v="T09"/>
    <s v="REP09"/>
    <s v="P003"/>
    <n v="198"/>
    <n v="121620.92"/>
    <n v="7205.5"/>
    <n v="1081.6199999999999"/>
    <n v="113333.8"/>
    <n v="110276.46"/>
    <x v="2"/>
    <x v="0"/>
    <n v="12"/>
    <n v="572.39292929292935"/>
    <n v="1.0277243212195966"/>
    <n v="3057.3399999999965"/>
    <n v="0"/>
  </r>
  <r>
    <s v="S00564"/>
    <d v="2024-12-01T00:00:00"/>
    <s v="R03"/>
    <x v="2"/>
    <s v="T09"/>
    <s v="REP09"/>
    <s v="P004"/>
    <n v="104"/>
    <n v="114192.61"/>
    <n v="7948.82"/>
    <n v="625.99"/>
    <n v="105617.8"/>
    <n v="102970.24000000001"/>
    <x v="3"/>
    <x v="0"/>
    <n v="12"/>
    <n v="1015.5557692307692"/>
    <n v="1.0257118950096649"/>
    <n v="2647.5599999999977"/>
    <n v="0"/>
  </r>
  <r>
    <s v="S00565"/>
    <d v="2024-12-01T00:00:00"/>
    <s v="R04"/>
    <x v="3"/>
    <s v="T10"/>
    <s v="REP10"/>
    <s v="P001"/>
    <n v="105"/>
    <n v="102894.2"/>
    <n v="6776.27"/>
    <n v="671.76"/>
    <n v="95446.16"/>
    <n v="93808.82"/>
    <x v="0"/>
    <x v="0"/>
    <n v="12"/>
    <n v="909.01104761904764"/>
    <n v="1.0174540091219568"/>
    <n v="1637.3399999999965"/>
    <n v="0"/>
  </r>
  <r>
    <s v="S00566"/>
    <d v="2024-12-01T00:00:00"/>
    <s v="R04"/>
    <x v="3"/>
    <s v="T10"/>
    <s v="REP10"/>
    <s v="P002"/>
    <n v="124"/>
    <n v="93242.59"/>
    <n v="5183.1000000000004"/>
    <n v="902.41"/>
    <n v="87157.09"/>
    <n v="89835.28"/>
    <x v="1"/>
    <x v="0"/>
    <n v="12"/>
    <n v="702.87975806451607"/>
    <n v="0.97018777032809378"/>
    <n v="-2678.1900000000023"/>
    <n v="2678.1900000000023"/>
  </r>
  <r>
    <s v="S00567"/>
    <d v="2024-12-01T00:00:00"/>
    <s v="R04"/>
    <x v="3"/>
    <s v="T10"/>
    <s v="REP10"/>
    <s v="P003"/>
    <n v="154"/>
    <n v="96534.13"/>
    <n v="3774.63"/>
    <n v="1199.49"/>
    <n v="91560"/>
    <n v="87685.88"/>
    <x v="2"/>
    <x v="0"/>
    <n v="12"/>
    <n v="594.5454545454545"/>
    <n v="1.0441817998519258"/>
    <n v="3874.1199999999953"/>
    <n v="0"/>
  </r>
  <r>
    <s v="S00568"/>
    <d v="2024-12-01T00:00:00"/>
    <s v="R04"/>
    <x v="3"/>
    <s v="T10"/>
    <s v="REP10"/>
    <s v="P004"/>
    <n v="82"/>
    <n v="89896.29"/>
    <n v="4365.25"/>
    <n v="1102.23"/>
    <n v="84428.81"/>
    <n v="81297.39"/>
    <x v="3"/>
    <x v="0"/>
    <n v="12"/>
    <n v="1029.6196341463415"/>
    <n v="1.0385180877270475"/>
    <n v="3131.4199999999983"/>
    <n v="0"/>
  </r>
  <r>
    <s v="S00569"/>
    <d v="2024-12-01T00:00:00"/>
    <s v="R04"/>
    <x v="3"/>
    <s v="T11"/>
    <s v="REP11"/>
    <s v="P001"/>
    <n v="102"/>
    <n v="99746.25"/>
    <n v="6634.08"/>
    <n v="720.32"/>
    <n v="92391.85"/>
    <n v="93922.54"/>
    <x v="0"/>
    <x v="0"/>
    <n v="12"/>
    <n v="905.80245098039222"/>
    <n v="0.98370263410678638"/>
    <n v="-1530.6899999999878"/>
    <n v="1530.6899999999878"/>
  </r>
  <r>
    <s v="S00570"/>
    <d v="2024-12-01T00:00:00"/>
    <s v="R04"/>
    <x v="3"/>
    <s v="T11"/>
    <s v="REP11"/>
    <s v="P002"/>
    <n v="131"/>
    <n v="100694.11"/>
    <n v="6303.73"/>
    <n v="463"/>
    <n v="93927.38"/>
    <n v="88891.15"/>
    <x v="1"/>
    <x v="0"/>
    <n v="12"/>
    <n v="717.00290076335887"/>
    <n v="1.0566561463092783"/>
    <n v="5036.2300000000105"/>
    <n v="0"/>
  </r>
  <r>
    <s v="S00571"/>
    <d v="2024-12-01T00:00:00"/>
    <s v="R04"/>
    <x v="3"/>
    <s v="T11"/>
    <s v="REP11"/>
    <s v="P003"/>
    <n v="157"/>
    <n v="97829.66"/>
    <n v="3459.92"/>
    <n v="901.58"/>
    <n v="93468.160000000003"/>
    <n v="88167.679999999993"/>
    <x v="2"/>
    <x v="0"/>
    <n v="12"/>
    <n v="595.3385987261147"/>
    <n v="1.060118174823246"/>
    <n v="5300.4800000000105"/>
    <n v="0"/>
  </r>
  <r>
    <s v="S00572"/>
    <d v="2024-12-01T00:00:00"/>
    <s v="R04"/>
    <x v="3"/>
    <s v="T11"/>
    <s v="REP11"/>
    <s v="P004"/>
    <n v="75"/>
    <n v="81346.100000000006"/>
    <n v="3049.25"/>
    <n v="675.36"/>
    <n v="77621.490000000005"/>
    <n v="80796.2"/>
    <x v="3"/>
    <x v="0"/>
    <n v="12"/>
    <n v="1034.9532000000002"/>
    <n v="0.96070718672412825"/>
    <n v="-3174.7099999999919"/>
    <n v="3174.7099999999919"/>
  </r>
  <r>
    <s v="S00573"/>
    <d v="2024-12-01T00:00:00"/>
    <s v="R04"/>
    <x v="3"/>
    <s v="T12"/>
    <s v="REP12"/>
    <s v="P001"/>
    <n v="112"/>
    <n v="110805.28"/>
    <n v="4416.49"/>
    <n v="614.32000000000005"/>
    <n v="105774.46"/>
    <n v="106401.41"/>
    <x v="0"/>
    <x v="0"/>
    <n v="12"/>
    <n v="944.41482142857149"/>
    <n v="0.99410769086612671"/>
    <n v="-626.94999999999709"/>
    <n v="626.94999999999709"/>
  </r>
  <r>
    <s v="S00574"/>
    <d v="2024-12-01T00:00:00"/>
    <s v="R04"/>
    <x v="3"/>
    <s v="T12"/>
    <s v="REP12"/>
    <s v="P002"/>
    <n v="145"/>
    <n v="108746.51"/>
    <n v="4246.71"/>
    <n v="672.62"/>
    <n v="103827.18"/>
    <n v="99867.37"/>
    <x v="1"/>
    <x v="0"/>
    <n v="12"/>
    <n v="716.04951724137925"/>
    <n v="1.039650688708434"/>
    <n v="3959.8099999999977"/>
    <n v="0"/>
  </r>
  <r>
    <s v="S00575"/>
    <d v="2024-12-01T00:00:00"/>
    <s v="R04"/>
    <x v="3"/>
    <s v="T12"/>
    <s v="REP12"/>
    <s v="P003"/>
    <n v="159"/>
    <n v="97410.21"/>
    <n v="6075.11"/>
    <n v="1209.45"/>
    <n v="90125.66"/>
    <n v="98262.55"/>
    <x v="2"/>
    <x v="0"/>
    <n v="12"/>
    <n v="566.82805031446549"/>
    <n v="0.91719235863510562"/>
    <n v="-8136.8899999999994"/>
    <n v="8136.8899999999994"/>
  </r>
  <r>
    <s v="S00576"/>
    <d v="2024-12-01T00:00:00"/>
    <s v="R04"/>
    <x v="3"/>
    <s v="T12"/>
    <s v="REP12"/>
    <s v="P004"/>
    <n v="85"/>
    <n v="92795.74"/>
    <n v="4720.63"/>
    <n v="736.92"/>
    <n v="87338.2"/>
    <n v="91263.91"/>
    <x v="3"/>
    <x v="0"/>
    <n v="12"/>
    <n v="1027.5082352941176"/>
    <n v="0.95698507767199537"/>
    <n v="-3925.7100000000064"/>
    <n v="3925.7100000000064"/>
  </r>
  <r>
    <s v="S00577"/>
    <d v="2025-01-01T00:00:00"/>
    <s v="R01"/>
    <x v="0"/>
    <s v="T01"/>
    <s v="REP01"/>
    <s v="P001"/>
    <n v="154"/>
    <n v="149697.10999999999"/>
    <n v="10679.72"/>
    <n v="1607.61"/>
    <n v="137409.78"/>
    <n v="139239.38"/>
    <x v="0"/>
    <x v="1"/>
    <n v="1"/>
    <n v="892.27129870129875"/>
    <n v="0.98686003916420773"/>
    <n v="-1829.6000000000058"/>
    <n v="1829.6000000000058"/>
  </r>
  <r>
    <s v="S00578"/>
    <d v="2025-01-01T00:00:00"/>
    <s v="R01"/>
    <x v="0"/>
    <s v="T01"/>
    <s v="REP01"/>
    <s v="P002"/>
    <n v="177"/>
    <n v="136020.01999999999"/>
    <n v="7222.4"/>
    <n v="1147.04"/>
    <n v="127650.58"/>
    <n v="127922.36"/>
    <x v="1"/>
    <x v="1"/>
    <n v="1"/>
    <n v="721.18971751412425"/>
    <n v="0.99787543006554913"/>
    <n v="-271.77999999999884"/>
    <n v="271.77999999999884"/>
  </r>
  <r>
    <s v="S00579"/>
    <d v="2025-01-01T00:00:00"/>
    <s v="R01"/>
    <x v="0"/>
    <s v="T01"/>
    <s v="REP01"/>
    <s v="P003"/>
    <n v="197"/>
    <n v="122559.23"/>
    <n v="7004.83"/>
    <n v="540.44000000000005"/>
    <n v="115013.96"/>
    <n v="118629.98"/>
    <x v="2"/>
    <x v="1"/>
    <n v="1"/>
    <n v="583.82720812182743"/>
    <n v="0.96951849776928234"/>
    <n v="-3616.0199999999895"/>
    <n v="3616.0199999999895"/>
  </r>
  <r>
    <s v="S00580"/>
    <d v="2025-01-01T00:00:00"/>
    <s v="R01"/>
    <x v="0"/>
    <s v="T01"/>
    <s v="REP01"/>
    <s v="P004"/>
    <n v="118"/>
    <n v="130299.13"/>
    <n v="7792.09"/>
    <n v="1290.18"/>
    <n v="121216.86"/>
    <n v="115330.62"/>
    <x v="3"/>
    <x v="1"/>
    <n v="1"/>
    <n v="1027.2615254237289"/>
    <n v="1.051037963725505"/>
    <n v="5886.2400000000052"/>
    <n v="0"/>
  </r>
  <r>
    <s v="S00581"/>
    <d v="2025-01-01T00:00:00"/>
    <s v="R01"/>
    <x v="0"/>
    <s v="T02"/>
    <s v="REP02"/>
    <s v="P001"/>
    <n v="157"/>
    <n v="155105.29"/>
    <n v="10908.78"/>
    <n v="715.21"/>
    <n v="143481.29999999999"/>
    <n v="139923.21"/>
    <x v="0"/>
    <x v="1"/>
    <n v="1"/>
    <n v="913.89363057324829"/>
    <n v="1.0254288763100847"/>
    <n v="3558.0899999999965"/>
    <n v="0"/>
  </r>
  <r>
    <s v="S00582"/>
    <d v="2025-01-01T00:00:00"/>
    <s v="R01"/>
    <x v="0"/>
    <s v="T02"/>
    <s v="REP02"/>
    <s v="P002"/>
    <n v="177"/>
    <n v="134571.76999999999"/>
    <n v="7552.28"/>
    <n v="1717.44"/>
    <n v="125302.05"/>
    <n v="129503.58"/>
    <x v="1"/>
    <x v="1"/>
    <n v="1"/>
    <n v="707.92118644067796"/>
    <n v="0.96755664978528011"/>
    <n v="-4201.5299999999988"/>
    <n v="4201.5299999999988"/>
  </r>
  <r>
    <s v="S00583"/>
    <d v="2025-01-01T00:00:00"/>
    <s v="R01"/>
    <x v="0"/>
    <s v="T02"/>
    <s v="REP02"/>
    <s v="P003"/>
    <n v="206"/>
    <n v="128117.57"/>
    <n v="5406.32"/>
    <n v="1332.4"/>
    <n v="121378.85"/>
    <n v="121333.26"/>
    <x v="2"/>
    <x v="1"/>
    <n v="1"/>
    <n v="589.21771844660202"/>
    <n v="1.0003757419853387"/>
    <n v="45.590000000011059"/>
    <n v="0"/>
  </r>
  <r>
    <s v="S00584"/>
    <d v="2025-01-01T00:00:00"/>
    <s v="R01"/>
    <x v="0"/>
    <s v="T02"/>
    <s v="REP02"/>
    <s v="P004"/>
    <n v="119"/>
    <n v="129485.32"/>
    <n v="8354.6200000000008"/>
    <n v="938.91"/>
    <n v="120191.79"/>
    <n v="116375.58"/>
    <x v="3"/>
    <x v="1"/>
    <n v="1"/>
    <n v="1010.0150420168067"/>
    <n v="1.0327921888767384"/>
    <n v="3816.2099999999919"/>
    <n v="0"/>
  </r>
  <r>
    <s v="S00585"/>
    <d v="2025-01-01T00:00:00"/>
    <s v="R01"/>
    <x v="0"/>
    <s v="T03"/>
    <s v="REP03"/>
    <s v="P001"/>
    <n v="169"/>
    <n v="167583.82"/>
    <n v="6778.45"/>
    <n v="789.8"/>
    <n v="160015.57"/>
    <n v="157912.56"/>
    <x v="0"/>
    <x v="1"/>
    <n v="1"/>
    <n v="946.83769230769235"/>
    <n v="1.0133175600471553"/>
    <n v="2103.0100000000093"/>
    <n v="0"/>
  </r>
  <r>
    <s v="S00586"/>
    <d v="2025-01-01T00:00:00"/>
    <s v="R01"/>
    <x v="0"/>
    <s v="T03"/>
    <s v="REP03"/>
    <s v="P002"/>
    <n v="202"/>
    <n v="151515.29999999999"/>
    <n v="7847.21"/>
    <n v="1252.1300000000001"/>
    <n v="142415.96"/>
    <n v="142251.46"/>
    <x v="1"/>
    <x v="1"/>
    <n v="1"/>
    <n v="705.02950495049504"/>
    <n v="1.0011564028938613"/>
    <n v="164.5"/>
    <n v="0"/>
  </r>
  <r>
    <s v="S00587"/>
    <d v="2025-01-01T00:00:00"/>
    <s v="R01"/>
    <x v="0"/>
    <s v="T03"/>
    <s v="REP03"/>
    <s v="P003"/>
    <n v="227"/>
    <n v="142128.63"/>
    <n v="7405.65"/>
    <n v="1684.25"/>
    <n v="133038.73000000001"/>
    <n v="133833.9"/>
    <x v="2"/>
    <x v="1"/>
    <n v="1"/>
    <n v="586.07370044052868"/>
    <n v="0.99405853076089101"/>
    <n v="-795.1699999999837"/>
    <n v="795.1699999999837"/>
  </r>
  <r>
    <s v="S00588"/>
    <d v="2025-01-01T00:00:00"/>
    <s v="R01"/>
    <x v="0"/>
    <s v="T03"/>
    <s v="REP03"/>
    <s v="P004"/>
    <n v="130"/>
    <n v="141603.07999999999"/>
    <n v="7687.99"/>
    <n v="1372.9"/>
    <n v="132542.19"/>
    <n v="126992.92"/>
    <x v="3"/>
    <x v="1"/>
    <n v="1"/>
    <n v="1019.5553076923077"/>
    <n v="1.0436974754183146"/>
    <n v="5549.2700000000041"/>
    <n v="0"/>
  </r>
  <r>
    <s v="S00589"/>
    <d v="2025-01-01T00:00:00"/>
    <s v="R02"/>
    <x v="1"/>
    <s v="T04"/>
    <s v="REP04"/>
    <s v="P001"/>
    <n v="103"/>
    <n v="101963.7"/>
    <n v="5584.53"/>
    <n v="824.2"/>
    <n v="95554.96"/>
    <n v="113002.95"/>
    <x v="0"/>
    <x v="1"/>
    <n v="1"/>
    <n v="927.71805825242723"/>
    <n v="0.84559703972329936"/>
    <n v="-17447.989999999991"/>
    <n v="17447.989999999991"/>
  </r>
  <r>
    <s v="S00590"/>
    <d v="2025-01-01T00:00:00"/>
    <s v="R02"/>
    <x v="1"/>
    <s v="T04"/>
    <s v="REP04"/>
    <s v="P002"/>
    <n v="146"/>
    <n v="112192.11"/>
    <n v="7987.96"/>
    <n v="857.12"/>
    <n v="103347.02"/>
    <n v="102692.34"/>
    <x v="1"/>
    <x v="1"/>
    <n v="1"/>
    <n v="707.85630136986299"/>
    <n v="1.0063751590430212"/>
    <n v="654.68000000000757"/>
    <n v="0"/>
  </r>
  <r>
    <s v="S00591"/>
    <d v="2025-01-01T00:00:00"/>
    <s v="R02"/>
    <x v="1"/>
    <s v="T04"/>
    <s v="REP04"/>
    <s v="P003"/>
    <n v="165"/>
    <n v="101876.74"/>
    <n v="5339.89"/>
    <n v="956.98"/>
    <n v="95579.87"/>
    <n v="96811.55"/>
    <x v="2"/>
    <x v="1"/>
    <n v="1"/>
    <n v="579.27193939393942"/>
    <n v="0.98727755107732484"/>
    <n v="-1231.6800000000076"/>
    <n v="1231.6800000000076"/>
  </r>
  <r>
    <s v="S00592"/>
    <d v="2025-01-01T00:00:00"/>
    <s v="R02"/>
    <x v="1"/>
    <s v="T04"/>
    <s v="REP04"/>
    <s v="P004"/>
    <n v="92"/>
    <n v="99736.46"/>
    <n v="6976.61"/>
    <n v="826.38"/>
    <n v="91933.46"/>
    <n v="92649.26"/>
    <x v="3"/>
    <x v="1"/>
    <n v="1"/>
    <n v="999.27673913043486"/>
    <n v="0.99227408831975572"/>
    <n v="-715.79999999998836"/>
    <n v="715.79999999998836"/>
  </r>
  <r>
    <s v="S00593"/>
    <d v="2025-01-01T00:00:00"/>
    <s v="R02"/>
    <x v="1"/>
    <s v="T05"/>
    <s v="REP05"/>
    <s v="P001"/>
    <n v="86"/>
    <n v="83040.97"/>
    <n v="3978.74"/>
    <n v="586.29"/>
    <n v="78475.929999999993"/>
    <n v="100336.01"/>
    <x v="0"/>
    <x v="1"/>
    <n v="1"/>
    <n v="912.51081395348831"/>
    <n v="0.78213126075075134"/>
    <n v="-21860.080000000002"/>
    <n v="21860.080000000002"/>
  </r>
  <r>
    <s v="S00594"/>
    <d v="2025-01-01T00:00:00"/>
    <s v="R02"/>
    <x v="1"/>
    <s v="T05"/>
    <s v="REP05"/>
    <s v="P002"/>
    <n v="131"/>
    <n v="99516.35"/>
    <n v="3652.96"/>
    <n v="669.93"/>
    <n v="95193.45"/>
    <n v="90946.52"/>
    <x v="1"/>
    <x v="1"/>
    <n v="1"/>
    <n v="726.66755725190842"/>
    <n v="1.0466970039095502"/>
    <n v="4246.929999999993"/>
    <n v="0"/>
  </r>
  <r>
    <s v="S00595"/>
    <d v="2025-01-01T00:00:00"/>
    <s v="R02"/>
    <x v="1"/>
    <s v="T05"/>
    <s v="REP05"/>
    <s v="P003"/>
    <n v="143"/>
    <n v="88924.26"/>
    <n v="4656.9399999999996"/>
    <n v="793.17"/>
    <n v="83474.149999999994"/>
    <n v="84862.85"/>
    <x v="2"/>
    <x v="1"/>
    <n v="1"/>
    <n v="583.73531468531462"/>
    <n v="0.983635949063695"/>
    <n v="-1388.7000000000116"/>
    <n v="1388.7000000000116"/>
  </r>
  <r>
    <s v="S00596"/>
    <d v="2025-01-01T00:00:00"/>
    <s v="R02"/>
    <x v="1"/>
    <s v="T05"/>
    <s v="REP05"/>
    <s v="P004"/>
    <n v="79"/>
    <n v="87716.81"/>
    <n v="4048.62"/>
    <n v="913.5"/>
    <n v="82754.69"/>
    <n v="81606.63"/>
    <x v="3"/>
    <x v="1"/>
    <n v="1"/>
    <n v="1047.5277215189874"/>
    <n v="1.0140682197022473"/>
    <n v="1148.0599999999977"/>
    <n v="0"/>
  </r>
  <r>
    <s v="S00597"/>
    <d v="2025-01-01T00:00:00"/>
    <s v="R02"/>
    <x v="1"/>
    <s v="T06"/>
    <s v="REP06"/>
    <s v="P001"/>
    <n v="98"/>
    <n v="95850.72"/>
    <n v="3861.69"/>
    <n v="1217.01"/>
    <n v="90772.02"/>
    <n v="112925.23"/>
    <x v="0"/>
    <x v="1"/>
    <n v="1"/>
    <n v="926.24510204081639"/>
    <n v="0.80382408784998716"/>
    <n v="-22153.209999999992"/>
    <n v="22153.209999999992"/>
  </r>
  <r>
    <s v="S00598"/>
    <d v="2025-01-01T00:00:00"/>
    <s v="R02"/>
    <x v="1"/>
    <s v="T06"/>
    <s v="REP06"/>
    <s v="P002"/>
    <n v="137"/>
    <n v="102961.02"/>
    <n v="4243.1899999999996"/>
    <n v="1084.07"/>
    <n v="97633.76"/>
    <n v="101782.27"/>
    <x v="1"/>
    <x v="1"/>
    <n v="1"/>
    <n v="712.65518248175181"/>
    <n v="0.95924132955572705"/>
    <n v="-4148.5100000000093"/>
    <n v="4148.5100000000093"/>
  </r>
  <r>
    <s v="S00599"/>
    <d v="2025-01-01T00:00:00"/>
    <s v="R02"/>
    <x v="1"/>
    <s v="T06"/>
    <s v="REP06"/>
    <s v="P003"/>
    <n v="164"/>
    <n v="102821.52"/>
    <n v="5696.48"/>
    <n v="558.96"/>
    <n v="96566.080000000002"/>
    <n v="95096.48"/>
    <x v="2"/>
    <x v="1"/>
    <n v="1"/>
    <n v="588.81756097560981"/>
    <n v="1.0154537791514471"/>
    <n v="1469.6000000000058"/>
    <n v="0"/>
  </r>
  <r>
    <s v="S00600"/>
    <d v="2025-01-01T00:00:00"/>
    <s v="R02"/>
    <x v="1"/>
    <s v="T06"/>
    <s v="REP06"/>
    <s v="P004"/>
    <n v="91"/>
    <n v="101545.53"/>
    <n v="5796.61"/>
    <n v="1304.8900000000001"/>
    <n v="94444.03"/>
    <n v="93574.13"/>
    <x v="3"/>
    <x v="1"/>
    <n v="1"/>
    <n v="1037.8464835164834"/>
    <n v="1.0092963728329614"/>
    <n v="869.89999999999418"/>
    <n v="0"/>
  </r>
  <r>
    <s v="S00601"/>
    <d v="2025-01-01T00:00:00"/>
    <s v="R03"/>
    <x v="2"/>
    <s v="T07"/>
    <s v="REP07"/>
    <s v="P001"/>
    <n v="115"/>
    <n v="113895.5"/>
    <n v="8031.8"/>
    <n v="736.35"/>
    <n v="105127.35"/>
    <n v="114213.81"/>
    <x v="0"/>
    <x v="1"/>
    <n v="1"/>
    <n v="914.15086956521748"/>
    <n v="0.92044342098385479"/>
    <n v="-9086.4599999999919"/>
    <n v="9086.4599999999919"/>
  </r>
  <r>
    <s v="S00602"/>
    <d v="2025-01-01T00:00:00"/>
    <s v="R03"/>
    <x v="2"/>
    <s v="T07"/>
    <s v="REP07"/>
    <s v="P002"/>
    <n v="146"/>
    <n v="111247.07"/>
    <n v="8258.7999999999993"/>
    <n v="1002.17"/>
    <n v="101986.1"/>
    <n v="101549.9"/>
    <x v="1"/>
    <x v="1"/>
    <n v="1"/>
    <n v="698.53493150684938"/>
    <n v="1.0042954252047516"/>
    <n v="436.20000000001164"/>
    <n v="0"/>
  </r>
  <r>
    <s v="S00603"/>
    <d v="2025-01-01T00:00:00"/>
    <s v="R03"/>
    <x v="2"/>
    <s v="T07"/>
    <s v="REP07"/>
    <s v="P003"/>
    <n v="161"/>
    <n v="99107.75"/>
    <n v="5584.69"/>
    <n v="1069.6300000000001"/>
    <n v="92453.43"/>
    <n v="96848.8"/>
    <x v="2"/>
    <x v="1"/>
    <n v="1"/>
    <n v="574.24490683229806"/>
    <n v="0.95461616457818776"/>
    <n v="-4395.3700000000099"/>
    <n v="4395.3700000000099"/>
  </r>
  <r>
    <s v="S00604"/>
    <d v="2025-01-01T00:00:00"/>
    <s v="R03"/>
    <x v="2"/>
    <s v="T07"/>
    <s v="REP07"/>
    <s v="P004"/>
    <n v="94"/>
    <n v="102620.47"/>
    <n v="4237.45"/>
    <n v="1012.79"/>
    <n v="97370.23"/>
    <n v="94573.32"/>
    <x v="3"/>
    <x v="1"/>
    <n v="1"/>
    <n v="1035.8535106382978"/>
    <n v="1.0295739855595636"/>
    <n v="2796.9099999999889"/>
    <n v="0"/>
  </r>
  <r>
    <s v="S00605"/>
    <d v="2025-01-01T00:00:00"/>
    <s v="R03"/>
    <x v="2"/>
    <s v="T08"/>
    <s v="REP08"/>
    <s v="P001"/>
    <n v="125"/>
    <n v="122890.82"/>
    <n v="4637.82"/>
    <n v="693.33"/>
    <n v="117559.67"/>
    <n v="113786.28"/>
    <x v="0"/>
    <x v="1"/>
    <n v="1"/>
    <n v="940.47735999999998"/>
    <n v="1.0331620824584475"/>
    <n v="3773.3899999999994"/>
    <n v="0"/>
  </r>
  <r>
    <s v="S00606"/>
    <d v="2025-01-01T00:00:00"/>
    <s v="R03"/>
    <x v="2"/>
    <s v="T08"/>
    <s v="REP08"/>
    <s v="P002"/>
    <n v="141"/>
    <n v="106327.7"/>
    <n v="7452.07"/>
    <n v="1252.51"/>
    <n v="97623.12"/>
    <n v="101920.37"/>
    <x v="1"/>
    <x v="1"/>
    <n v="1"/>
    <n v="692.36255319148938"/>
    <n v="0.95783718210599123"/>
    <n v="-4297.25"/>
    <n v="4297.25"/>
  </r>
  <r>
    <s v="S00607"/>
    <d v="2025-01-01T00:00:00"/>
    <s v="R03"/>
    <x v="2"/>
    <s v="T08"/>
    <s v="REP08"/>
    <s v="P003"/>
    <n v="158"/>
    <n v="97091.09"/>
    <n v="5627.84"/>
    <n v="584.36"/>
    <n v="90878.88"/>
    <n v="98432.82"/>
    <x v="2"/>
    <x v="1"/>
    <n v="1"/>
    <n v="575.18278481012658"/>
    <n v="0.92325791336670027"/>
    <n v="-7553.9400000000023"/>
    <n v="7553.9400000000023"/>
  </r>
  <r>
    <s v="S00608"/>
    <d v="2025-01-01T00:00:00"/>
    <s v="R03"/>
    <x v="2"/>
    <s v="T08"/>
    <s v="REP08"/>
    <s v="P004"/>
    <n v="88"/>
    <n v="95678.03"/>
    <n v="4738.2"/>
    <n v="708.68"/>
    <n v="90231.15"/>
    <n v="95025.03"/>
    <x v="3"/>
    <x v="1"/>
    <n v="1"/>
    <n v="1025.3539772727272"/>
    <n v="0.94955139714241599"/>
    <n v="-4793.8800000000047"/>
    <n v="4793.8800000000047"/>
  </r>
  <r>
    <s v="S00609"/>
    <d v="2025-01-01T00:00:00"/>
    <s v="R03"/>
    <x v="2"/>
    <s v="T09"/>
    <s v="REP09"/>
    <s v="P001"/>
    <n v="123"/>
    <n v="120540.5"/>
    <n v="7467.23"/>
    <n v="1544.39"/>
    <n v="111528.88"/>
    <n v="117516.35"/>
    <x v="0"/>
    <x v="1"/>
    <n v="1"/>
    <n v="906.7388617886179"/>
    <n v="0.9490498981631067"/>
    <n v="-5987.4700000000012"/>
    <n v="5987.4700000000012"/>
  </r>
  <r>
    <s v="S00610"/>
    <d v="2025-01-01T00:00:00"/>
    <s v="R03"/>
    <x v="2"/>
    <s v="T09"/>
    <s v="REP09"/>
    <s v="P002"/>
    <n v="152"/>
    <n v="115388.7"/>
    <n v="6187.58"/>
    <n v="1335.94"/>
    <n v="107865.18"/>
    <n v="106361.21"/>
    <x v="1"/>
    <x v="1"/>
    <n v="1"/>
    <n v="709.63934210526315"/>
    <n v="1.014140211454909"/>
    <n v="1503.9699999999866"/>
    <n v="0"/>
  </r>
  <r>
    <s v="S00611"/>
    <d v="2025-01-01T00:00:00"/>
    <s v="R03"/>
    <x v="2"/>
    <s v="T09"/>
    <s v="REP09"/>
    <s v="P003"/>
    <n v="175"/>
    <n v="108332.62"/>
    <n v="4863.1499999999996"/>
    <n v="1103.0899999999999"/>
    <n v="102366.38"/>
    <n v="99081.11"/>
    <x v="2"/>
    <x v="1"/>
    <n v="1"/>
    <n v="584.95074285714293"/>
    <n v="1.0331573798476823"/>
    <n v="3285.2700000000041"/>
    <n v="0"/>
  </r>
  <r>
    <s v="S00612"/>
    <d v="2025-01-01T00:00:00"/>
    <s v="R03"/>
    <x v="2"/>
    <s v="T09"/>
    <s v="REP09"/>
    <s v="P004"/>
    <n v="95"/>
    <n v="103433.21"/>
    <n v="5051.05"/>
    <n v="1407.62"/>
    <n v="96974.53"/>
    <n v="97524.03"/>
    <x v="3"/>
    <x v="1"/>
    <n v="1"/>
    <n v="1020.7845263157894"/>
    <n v="0.99436549125379659"/>
    <n v="-549.5"/>
    <n v="549.5"/>
  </r>
  <r>
    <s v="S00613"/>
    <d v="2025-01-01T00:00:00"/>
    <s v="R04"/>
    <x v="3"/>
    <s v="T10"/>
    <s v="REP10"/>
    <s v="P001"/>
    <n v="99"/>
    <n v="96527.49"/>
    <n v="5806.43"/>
    <n v="1050.8"/>
    <n v="89670.26"/>
    <n v="92694.3"/>
    <x v="0"/>
    <x v="1"/>
    <n v="1"/>
    <n v="905.76020202020197"/>
    <n v="0.96737620328326546"/>
    <n v="-3024.0400000000081"/>
    <n v="3024.0400000000081"/>
  </r>
  <r>
    <s v="S00614"/>
    <d v="2025-01-01T00:00:00"/>
    <s v="R04"/>
    <x v="3"/>
    <s v="T10"/>
    <s v="REP10"/>
    <s v="P002"/>
    <n v="118"/>
    <n v="89758.63"/>
    <n v="4137.78"/>
    <n v="1114.8499999999999"/>
    <n v="84506"/>
    <n v="83845"/>
    <x v="1"/>
    <x v="1"/>
    <n v="1"/>
    <n v="716.15254237288138"/>
    <n v="1.0078835947283677"/>
    <n v="661"/>
    <n v="0"/>
  </r>
  <r>
    <s v="S00615"/>
    <d v="2025-01-01T00:00:00"/>
    <s v="R04"/>
    <x v="3"/>
    <s v="T10"/>
    <s v="REP10"/>
    <s v="P003"/>
    <n v="135"/>
    <n v="84844.66"/>
    <n v="4296.1000000000004"/>
    <n v="367.76"/>
    <n v="80180.800000000003"/>
    <n v="77180.429999999993"/>
    <x v="2"/>
    <x v="1"/>
    <n v="1"/>
    <n v="593.93185185185189"/>
    <n v="1.0388747510217293"/>
    <n v="3000.3700000000099"/>
    <n v="0"/>
  </r>
  <r>
    <s v="S00616"/>
    <d v="2025-01-01T00:00:00"/>
    <s v="R04"/>
    <x v="3"/>
    <s v="T10"/>
    <s v="REP10"/>
    <s v="P004"/>
    <n v="69"/>
    <n v="75565.64"/>
    <n v="4525.38"/>
    <n v="358.89"/>
    <n v="70681.37"/>
    <n v="74828.100000000006"/>
    <x v="3"/>
    <x v="1"/>
    <n v="1"/>
    <n v="1024.3676811594203"/>
    <n v="0.94458325147905653"/>
    <n v="-4146.7300000000105"/>
    <n v="4146.7300000000105"/>
  </r>
  <r>
    <s v="S00617"/>
    <d v="2025-01-01T00:00:00"/>
    <s v="R04"/>
    <x v="3"/>
    <s v="T11"/>
    <s v="REP11"/>
    <s v="P001"/>
    <n v="92"/>
    <n v="90720.960000000006"/>
    <n v="6450.43"/>
    <n v="538.55999999999995"/>
    <n v="83731.97"/>
    <n v="91132.74"/>
    <x v="0"/>
    <x v="1"/>
    <n v="1"/>
    <n v="910.13010869565221"/>
    <n v="0.91879131473496789"/>
    <n v="-7400.7700000000041"/>
    <n v="7400.7700000000041"/>
  </r>
  <r>
    <s v="S00618"/>
    <d v="2025-01-01T00:00:00"/>
    <s v="R04"/>
    <x v="3"/>
    <s v="T11"/>
    <s v="REP11"/>
    <s v="P002"/>
    <n v="117"/>
    <n v="89379.75"/>
    <n v="6507.62"/>
    <n v="1091.0999999999999"/>
    <n v="81781.03"/>
    <n v="83646.740000000005"/>
    <x v="1"/>
    <x v="1"/>
    <n v="1"/>
    <n v="698.98316239316239"/>
    <n v="0.97769536505547006"/>
    <n v="-1865.7100000000064"/>
    <n v="1865.7100000000064"/>
  </r>
  <r>
    <s v="S00619"/>
    <d v="2025-01-01T00:00:00"/>
    <s v="R04"/>
    <x v="3"/>
    <s v="T11"/>
    <s v="REP11"/>
    <s v="P003"/>
    <n v="127"/>
    <n v="79861.63"/>
    <n v="5688.05"/>
    <n v="925.44"/>
    <n v="73248.14"/>
    <n v="78048.149999999994"/>
    <x v="2"/>
    <x v="1"/>
    <n v="1"/>
    <n v="576.7570078740157"/>
    <n v="0.93849937506526426"/>
    <n v="-4800.0099999999948"/>
    <n v="4800.0099999999948"/>
  </r>
  <r>
    <s v="S00620"/>
    <d v="2025-01-01T00:00:00"/>
    <s v="R04"/>
    <x v="3"/>
    <s v="T11"/>
    <s v="REP11"/>
    <s v="P004"/>
    <n v="71"/>
    <n v="76936.62"/>
    <n v="5697.63"/>
    <n v="789.85"/>
    <n v="70449.14"/>
    <n v="74517.210000000006"/>
    <x v="3"/>
    <x v="1"/>
    <n v="1"/>
    <n v="992.24140845070417"/>
    <n v="0.9454076447574995"/>
    <n v="-4068.070000000007"/>
    <n v="4068.070000000007"/>
  </r>
  <r>
    <s v="S00621"/>
    <d v="2025-01-01T00:00:00"/>
    <s v="R04"/>
    <x v="3"/>
    <s v="T12"/>
    <s v="REP12"/>
    <s v="P001"/>
    <n v="108"/>
    <n v="104345.62"/>
    <n v="6712.77"/>
    <n v="515.66"/>
    <n v="97117.18"/>
    <n v="104950.96"/>
    <x v="0"/>
    <x v="1"/>
    <n v="1"/>
    <n v="899.23314814814808"/>
    <n v="0.92535770992471134"/>
    <n v="-7833.7800000000134"/>
    <n v="7833.7800000000134"/>
  </r>
  <r>
    <s v="S00622"/>
    <d v="2025-01-01T00:00:00"/>
    <s v="R04"/>
    <x v="3"/>
    <s v="T12"/>
    <s v="REP12"/>
    <s v="P002"/>
    <n v="127"/>
    <n v="96392.31"/>
    <n v="5906.3"/>
    <n v="908.89"/>
    <n v="89577.12"/>
    <n v="93264.08"/>
    <x v="1"/>
    <x v="1"/>
    <n v="1"/>
    <n v="705.33165354330708"/>
    <n v="0.96046752404569902"/>
    <n v="-3686.9600000000064"/>
    <n v="3686.9600000000064"/>
  </r>
  <r>
    <s v="S00623"/>
    <d v="2025-01-01T00:00:00"/>
    <s v="R04"/>
    <x v="3"/>
    <s v="T12"/>
    <s v="REP12"/>
    <s v="P003"/>
    <n v="149"/>
    <n v="92255.78"/>
    <n v="4268.78"/>
    <n v="563.45000000000005"/>
    <n v="87423.55"/>
    <n v="88546.81"/>
    <x v="2"/>
    <x v="1"/>
    <n v="1"/>
    <n v="586.73523489932893"/>
    <n v="0.98731450630463147"/>
    <n v="-1123.2599999999948"/>
    <n v="1123.2599999999948"/>
  </r>
  <r>
    <s v="S00624"/>
    <d v="2025-01-01T00:00:00"/>
    <s v="R04"/>
    <x v="3"/>
    <s v="T12"/>
    <s v="REP12"/>
    <s v="P004"/>
    <n v="84"/>
    <n v="91925.37"/>
    <n v="4203.62"/>
    <n v="1179.93"/>
    <n v="86541.83"/>
    <n v="84878.82"/>
    <x v="3"/>
    <x v="1"/>
    <n v="1"/>
    <n v="1030.2598809523811"/>
    <n v="1.0195927558842122"/>
    <n v="1663.0099999999948"/>
    <n v="0"/>
  </r>
  <r>
    <s v="S00625"/>
    <d v="2025-02-01T00:00:00"/>
    <s v="R01"/>
    <x v="0"/>
    <s v="T01"/>
    <s v="REP01"/>
    <s v="P001"/>
    <n v="152"/>
    <n v="148902.87"/>
    <n v="7527.88"/>
    <n v="1578.53"/>
    <n v="139796.46"/>
    <n v="143577.56"/>
    <x v="0"/>
    <x v="1"/>
    <n v="2"/>
    <n v="919.71355263157886"/>
    <n v="0.97366510476985402"/>
    <n v="-3781.1000000000058"/>
    <n v="3781.1000000000058"/>
  </r>
  <r>
    <s v="S00626"/>
    <d v="2025-02-01T00:00:00"/>
    <s v="R01"/>
    <x v="0"/>
    <s v="T01"/>
    <s v="REP01"/>
    <s v="P002"/>
    <n v="176"/>
    <n v="133755.89000000001"/>
    <n v="5837.76"/>
    <n v="1860.77"/>
    <n v="126057.36"/>
    <n v="129586.85"/>
    <x v="1"/>
    <x v="1"/>
    <n v="2"/>
    <n v="716.23500000000001"/>
    <n v="0.97276351728589738"/>
    <n v="-3529.4900000000052"/>
    <n v="3529.4900000000052"/>
  </r>
  <r>
    <s v="S00627"/>
    <d v="2025-02-01T00:00:00"/>
    <s v="R01"/>
    <x v="0"/>
    <s v="T01"/>
    <s v="REP01"/>
    <s v="P003"/>
    <n v="215"/>
    <n v="134476.91"/>
    <n v="7239.39"/>
    <n v="1507.77"/>
    <n v="125729.75"/>
    <n v="122082.13"/>
    <x v="2"/>
    <x v="1"/>
    <n v="2"/>
    <n v="584.78953488372088"/>
    <n v="1.029878410542149"/>
    <n v="3647.6199999999953"/>
    <n v="0"/>
  </r>
  <r>
    <s v="S00628"/>
    <d v="2025-02-01T00:00:00"/>
    <s v="R01"/>
    <x v="0"/>
    <s v="T01"/>
    <s v="REP01"/>
    <s v="P004"/>
    <n v="118"/>
    <n v="128452.43"/>
    <n v="6476.89"/>
    <n v="726.85"/>
    <n v="121248.7"/>
    <n v="117643.41"/>
    <x v="3"/>
    <x v="1"/>
    <n v="2"/>
    <n v="1027.5313559322033"/>
    <n v="1.0306459154830687"/>
    <n v="3605.2899999999936"/>
    <n v="0"/>
  </r>
  <r>
    <s v="S00629"/>
    <d v="2025-02-01T00:00:00"/>
    <s v="R01"/>
    <x v="0"/>
    <s v="T02"/>
    <s v="REP02"/>
    <s v="P001"/>
    <n v="148"/>
    <n v="143170.19"/>
    <n v="8576.51"/>
    <n v="1030.25"/>
    <n v="133563.43"/>
    <n v="147012.91"/>
    <x v="0"/>
    <x v="1"/>
    <n v="2"/>
    <n v="902.45560810810809"/>
    <n v="0.90851497327683661"/>
    <n v="-13449.48000000001"/>
    <n v="13449.48000000001"/>
  </r>
  <r>
    <s v="S00630"/>
    <d v="2025-02-01T00:00:00"/>
    <s v="R01"/>
    <x v="0"/>
    <s v="T02"/>
    <s v="REP02"/>
    <s v="P002"/>
    <n v="185"/>
    <n v="140292.84"/>
    <n v="8530.8700000000008"/>
    <n v="1605.38"/>
    <n v="130156.6"/>
    <n v="129875.43"/>
    <x v="1"/>
    <x v="1"/>
    <n v="2"/>
    <n v="703.54918918918918"/>
    <n v="1.0021649206474235"/>
    <n v="281.17000000001281"/>
    <n v="0"/>
  </r>
  <r>
    <s v="S00631"/>
    <d v="2025-02-01T00:00:00"/>
    <s v="R01"/>
    <x v="0"/>
    <s v="T02"/>
    <s v="REP02"/>
    <s v="P003"/>
    <n v="207"/>
    <n v="127083.62"/>
    <n v="5520.93"/>
    <n v="1170.96"/>
    <n v="120391.73"/>
    <n v="123106.65"/>
    <x v="2"/>
    <x v="1"/>
    <n v="2"/>
    <n v="581.60256038647344"/>
    <n v="0.977946601584886"/>
    <n v="-2714.9199999999983"/>
    <n v="2714.9199999999983"/>
  </r>
  <r>
    <s v="S00632"/>
    <d v="2025-02-01T00:00:00"/>
    <s v="R01"/>
    <x v="0"/>
    <s v="T02"/>
    <s v="REP02"/>
    <s v="P004"/>
    <n v="115"/>
    <n v="127206.6"/>
    <n v="7064.02"/>
    <n v="1720.66"/>
    <n v="118421.92"/>
    <n v="119680.13"/>
    <x v="3"/>
    <x v="1"/>
    <n v="2"/>
    <n v="1029.7558260869564"/>
    <n v="0.98948689310414351"/>
    <n v="-1258.2100000000064"/>
    <n v="1258.2100000000064"/>
  </r>
  <r>
    <s v="S00633"/>
    <d v="2025-02-01T00:00:00"/>
    <s v="R01"/>
    <x v="0"/>
    <s v="T03"/>
    <s v="REP03"/>
    <s v="P001"/>
    <n v="160"/>
    <n v="156747.13"/>
    <n v="10275.969999999999"/>
    <n v="1426.66"/>
    <n v="145044.51"/>
    <n v="160918.39000000001"/>
    <x v="0"/>
    <x v="1"/>
    <n v="2"/>
    <n v="906.52818750000006"/>
    <n v="0.90135446918155215"/>
    <n v="-15873.880000000005"/>
    <n v="15873.880000000005"/>
  </r>
  <r>
    <s v="S00634"/>
    <d v="2025-02-01T00:00:00"/>
    <s v="R01"/>
    <x v="0"/>
    <s v="T03"/>
    <s v="REP03"/>
    <s v="P002"/>
    <n v="207"/>
    <n v="156130.85999999999"/>
    <n v="7087.73"/>
    <n v="1659.24"/>
    <n v="147383.9"/>
    <n v="145874.59"/>
    <x v="1"/>
    <x v="1"/>
    <n v="2"/>
    <n v="711.99951690821251"/>
    <n v="1.010346627195319"/>
    <n v="1509.3099999999977"/>
    <n v="0"/>
  </r>
  <r>
    <s v="S00635"/>
    <d v="2025-02-01T00:00:00"/>
    <s v="R01"/>
    <x v="0"/>
    <s v="T03"/>
    <s v="REP03"/>
    <s v="P003"/>
    <n v="238"/>
    <n v="147982.10999999999"/>
    <n v="9793.8799999999992"/>
    <n v="1970.6"/>
    <n v="136217.62"/>
    <n v="134516.6"/>
    <x v="2"/>
    <x v="1"/>
    <n v="2"/>
    <n v="572.34294117647062"/>
    <n v="1.0126454281479014"/>
    <n v="1701.0199999999895"/>
    <n v="0"/>
  </r>
  <r>
    <s v="S00636"/>
    <d v="2025-02-01T00:00:00"/>
    <s v="R01"/>
    <x v="0"/>
    <s v="T03"/>
    <s v="REP03"/>
    <s v="P004"/>
    <n v="120"/>
    <n v="131112.85999999999"/>
    <n v="7119.32"/>
    <n v="1770.5"/>
    <n v="122223.05"/>
    <n v="131127.92000000001"/>
    <x v="3"/>
    <x v="1"/>
    <n v="2"/>
    <n v="1018.5254166666667"/>
    <n v="0.93209020626575934"/>
    <n v="-8904.8700000000099"/>
    <n v="8904.8700000000099"/>
  </r>
  <r>
    <s v="S00637"/>
    <d v="2025-02-01T00:00:00"/>
    <s v="R02"/>
    <x v="1"/>
    <s v="T04"/>
    <s v="REP04"/>
    <s v="P001"/>
    <n v="107"/>
    <n v="103964.01"/>
    <n v="4768.71"/>
    <n v="1052.46"/>
    <n v="98142.84"/>
    <n v="117960.49"/>
    <x v="0"/>
    <x v="1"/>
    <n v="2"/>
    <n v="917.22280373831768"/>
    <n v="0.83199756121731938"/>
    <n v="-19817.650000000009"/>
    <n v="19817.650000000009"/>
  </r>
  <r>
    <s v="S00638"/>
    <d v="2025-02-01T00:00:00"/>
    <s v="R02"/>
    <x v="1"/>
    <s v="T04"/>
    <s v="REP04"/>
    <s v="P002"/>
    <n v="142"/>
    <n v="107429.35"/>
    <n v="7920.15"/>
    <n v="1087.67"/>
    <n v="98421.53"/>
    <n v="105433.31"/>
    <x v="1"/>
    <x v="1"/>
    <n v="2"/>
    <n v="693.10936619718314"/>
    <n v="0.93349559071985888"/>
    <n v="-7011.7799999999988"/>
    <n v="7011.7799999999988"/>
  </r>
  <r>
    <s v="S00639"/>
    <d v="2025-02-01T00:00:00"/>
    <s v="R02"/>
    <x v="1"/>
    <s v="T04"/>
    <s v="REP04"/>
    <s v="P003"/>
    <n v="171"/>
    <n v="106556.36"/>
    <n v="7734.45"/>
    <n v="1040.32"/>
    <n v="97781.6"/>
    <n v="97915.19"/>
    <x v="2"/>
    <x v="1"/>
    <n v="2"/>
    <n v="571.82222222222231"/>
    <n v="0.99863565602027637"/>
    <n v="-133.58999999999651"/>
    <n v="133.58999999999651"/>
  </r>
  <r>
    <s v="S00640"/>
    <d v="2025-02-01T00:00:00"/>
    <s v="R02"/>
    <x v="1"/>
    <s v="T04"/>
    <s v="REP04"/>
    <s v="P004"/>
    <n v="88"/>
    <n v="96471.69"/>
    <n v="6221.79"/>
    <n v="1331.36"/>
    <n v="88918.54"/>
    <n v="96222.37"/>
    <x v="3"/>
    <x v="1"/>
    <n v="2"/>
    <n v="1010.4379545454544"/>
    <n v="0.9240942620723227"/>
    <n v="-7303.8300000000017"/>
    <n v="7303.8300000000017"/>
  </r>
  <r>
    <s v="S00641"/>
    <d v="2025-02-01T00:00:00"/>
    <s v="R02"/>
    <x v="1"/>
    <s v="T05"/>
    <s v="REP05"/>
    <s v="P001"/>
    <n v="86"/>
    <n v="84138.52"/>
    <n v="6073.19"/>
    <n v="369.38"/>
    <n v="77695.95"/>
    <n v="102716.39"/>
    <x v="0"/>
    <x v="1"/>
    <n v="2"/>
    <n v="903.44127906976746"/>
    <n v="0.75641238949304967"/>
    <n v="-25020.440000000002"/>
    <n v="25020.440000000002"/>
  </r>
  <r>
    <s v="S00642"/>
    <d v="2025-02-01T00:00:00"/>
    <s v="R02"/>
    <x v="1"/>
    <s v="T05"/>
    <s v="REP05"/>
    <s v="P002"/>
    <n v="127"/>
    <n v="97508.73"/>
    <n v="4112.09"/>
    <n v="575.80999999999995"/>
    <n v="92820.83"/>
    <n v="93152.05"/>
    <x v="1"/>
    <x v="1"/>
    <n v="2"/>
    <n v="730.87267716535439"/>
    <n v="0.9964443079889278"/>
    <n v="-331.22000000000116"/>
    <n v="331.22000000000116"/>
  </r>
  <r>
    <s v="S00643"/>
    <d v="2025-02-01T00:00:00"/>
    <s v="R02"/>
    <x v="1"/>
    <s v="T05"/>
    <s v="REP05"/>
    <s v="P003"/>
    <n v="138"/>
    <n v="84726.26"/>
    <n v="6315.36"/>
    <n v="658.67"/>
    <n v="77752.240000000005"/>
    <n v="87199.66"/>
    <x v="2"/>
    <x v="1"/>
    <n v="2"/>
    <n v="563.42202898550727"/>
    <n v="0.89165760508699232"/>
    <n v="-9447.4199999999983"/>
    <n v="9447.4199999999983"/>
  </r>
  <r>
    <s v="S00644"/>
    <d v="2025-02-01T00:00:00"/>
    <s v="R02"/>
    <x v="1"/>
    <s v="T05"/>
    <s v="REP05"/>
    <s v="P004"/>
    <n v="81"/>
    <n v="88250.9"/>
    <n v="5597.1"/>
    <n v="709.86"/>
    <n v="81943.94"/>
    <n v="85019.16"/>
    <x v="3"/>
    <x v="1"/>
    <n v="2"/>
    <n v="1011.6535802469136"/>
    <n v="0.96382909452410492"/>
    <n v="-3075.2200000000012"/>
    <n v="3075.2200000000012"/>
  </r>
  <r>
    <s v="S00645"/>
    <d v="2025-02-01T00:00:00"/>
    <s v="R02"/>
    <x v="1"/>
    <s v="T06"/>
    <s v="REP06"/>
    <s v="P001"/>
    <n v="106"/>
    <n v="102597.17"/>
    <n v="5528.86"/>
    <n v="895.76"/>
    <n v="96172.55"/>
    <n v="116105.67"/>
    <x v="0"/>
    <x v="1"/>
    <n v="2"/>
    <n v="907.2882075471698"/>
    <n v="0.82831915099409015"/>
    <n v="-19933.119999999995"/>
    <n v="19933.119999999995"/>
  </r>
  <r>
    <s v="S00646"/>
    <d v="2025-02-01T00:00:00"/>
    <s v="R02"/>
    <x v="1"/>
    <s v="T06"/>
    <s v="REP06"/>
    <s v="P002"/>
    <n v="143"/>
    <n v="109054.72"/>
    <n v="8153.86"/>
    <n v="706.26"/>
    <n v="100194.6"/>
    <n v="104348.91"/>
    <x v="1"/>
    <x v="1"/>
    <n v="2"/>
    <n v="700.6615384615385"/>
    <n v="0.96018827604428258"/>
    <n v="-4154.3099999999977"/>
    <n v="4154.3099999999977"/>
  </r>
  <r>
    <s v="S00647"/>
    <d v="2025-02-01T00:00:00"/>
    <s v="R02"/>
    <x v="1"/>
    <s v="T06"/>
    <s v="REP06"/>
    <s v="P003"/>
    <n v="153"/>
    <n v="94260.800000000003"/>
    <n v="4239.41"/>
    <n v="492.58"/>
    <n v="89528.81"/>
    <n v="97322.27"/>
    <x v="2"/>
    <x v="1"/>
    <n v="2"/>
    <n v="585.15562091503261"/>
    <n v="0.91992110336102928"/>
    <n v="-7793.4600000000064"/>
    <n v="7793.4600000000064"/>
  </r>
  <r>
    <s v="S00648"/>
    <d v="2025-02-01T00:00:00"/>
    <s v="R02"/>
    <x v="1"/>
    <s v="T06"/>
    <s v="REP06"/>
    <s v="P004"/>
    <n v="91"/>
    <n v="100641.25"/>
    <n v="4557.2299999999996"/>
    <n v="898.16"/>
    <n v="95185.86"/>
    <n v="93922.65"/>
    <x v="3"/>
    <x v="1"/>
    <n v="2"/>
    <n v="1045.9984615384615"/>
    <n v="1.0134494714533715"/>
    <n v="1263.2100000000064"/>
    <n v="0"/>
  </r>
  <r>
    <s v="S00649"/>
    <d v="2025-02-01T00:00:00"/>
    <s v="R03"/>
    <x v="2"/>
    <s v="T07"/>
    <s v="REP07"/>
    <s v="P001"/>
    <n v="118"/>
    <n v="117071.77"/>
    <n v="7955.51"/>
    <n v="1604.68"/>
    <n v="107511.58"/>
    <n v="114037.38"/>
    <x v="0"/>
    <x v="1"/>
    <n v="2"/>
    <n v="911.11508474576272"/>
    <n v="0.94277490415861886"/>
    <n v="-6525.8000000000029"/>
    <n v="6525.8000000000029"/>
  </r>
  <r>
    <s v="S00650"/>
    <d v="2025-02-01T00:00:00"/>
    <s v="R03"/>
    <x v="2"/>
    <s v="T07"/>
    <s v="REP07"/>
    <s v="P002"/>
    <n v="152"/>
    <n v="117109.64"/>
    <n v="7074.02"/>
    <n v="926.35"/>
    <n v="109109.27"/>
    <n v="103827.29"/>
    <x v="1"/>
    <x v="1"/>
    <n v="2"/>
    <n v="717.82414473684219"/>
    <n v="1.0508727522407646"/>
    <n v="5281.9800000000105"/>
    <n v="0"/>
  </r>
  <r>
    <s v="S00651"/>
    <d v="2025-02-01T00:00:00"/>
    <s v="R03"/>
    <x v="2"/>
    <s v="T07"/>
    <s v="REP07"/>
    <s v="P003"/>
    <n v="162"/>
    <n v="99336.97"/>
    <n v="3510.3"/>
    <n v="883.61"/>
    <n v="94943.07"/>
    <n v="97465.93"/>
    <x v="2"/>
    <x v="1"/>
    <n v="2"/>
    <n v="586.06833333333338"/>
    <n v="0.9741154678357864"/>
    <n v="-2522.859999999986"/>
    <n v="2522.859999999986"/>
  </r>
  <r>
    <s v="S00652"/>
    <d v="2025-02-01T00:00:00"/>
    <s v="R03"/>
    <x v="2"/>
    <s v="T07"/>
    <s v="REP07"/>
    <s v="P004"/>
    <n v="87"/>
    <n v="96986.32"/>
    <n v="5447.6"/>
    <n v="1214.3900000000001"/>
    <n v="90324.33"/>
    <n v="94787.68"/>
    <x v="3"/>
    <x v="1"/>
    <n v="2"/>
    <n v="1038.2106896551725"/>
    <n v="0.95291212950881388"/>
    <n v="-4463.3499999999913"/>
    <n v="4463.3499999999913"/>
  </r>
  <r>
    <s v="S00653"/>
    <d v="2025-02-01T00:00:00"/>
    <s v="R03"/>
    <x v="2"/>
    <s v="T08"/>
    <s v="REP08"/>
    <s v="P001"/>
    <n v="127"/>
    <n v="124926.19"/>
    <n v="4825.2"/>
    <n v="656.31"/>
    <n v="119444.67"/>
    <n v="115181.22"/>
    <x v="0"/>
    <x v="1"/>
    <n v="2"/>
    <n v="940.50921259842517"/>
    <n v="1.0370151488237405"/>
    <n v="4263.4499999999971"/>
    <n v="0"/>
  </r>
  <r>
    <s v="S00654"/>
    <d v="2025-02-01T00:00:00"/>
    <s v="R03"/>
    <x v="2"/>
    <s v="T08"/>
    <s v="REP08"/>
    <s v="P002"/>
    <n v="157"/>
    <n v="119547.05"/>
    <n v="5203.9399999999996"/>
    <n v="1012.39"/>
    <n v="113330.72"/>
    <n v="107092.37"/>
    <x v="1"/>
    <x v="1"/>
    <n v="2"/>
    <n v="721.85171974522291"/>
    <n v="1.0582520491422498"/>
    <n v="6238.3500000000058"/>
    <n v="0"/>
  </r>
  <r>
    <s v="S00655"/>
    <d v="2025-02-01T00:00:00"/>
    <s v="R03"/>
    <x v="2"/>
    <s v="T08"/>
    <s v="REP08"/>
    <s v="P003"/>
    <n v="165"/>
    <n v="101421.77"/>
    <n v="5144.8999999999996"/>
    <n v="523.45000000000005"/>
    <n v="95753.42"/>
    <n v="98396.32"/>
    <x v="2"/>
    <x v="1"/>
    <n v="2"/>
    <n v="580.32375757575755"/>
    <n v="0.97314025565183726"/>
    <n v="-2642.9000000000087"/>
    <n v="2642.9000000000087"/>
  </r>
  <r>
    <s v="S00656"/>
    <d v="2025-02-01T00:00:00"/>
    <s v="R03"/>
    <x v="2"/>
    <s v="T08"/>
    <s v="REP08"/>
    <s v="P004"/>
    <n v="88"/>
    <n v="95973.93"/>
    <n v="4795.09"/>
    <n v="509.9"/>
    <n v="90668.94"/>
    <n v="95680.63"/>
    <x v="3"/>
    <x v="1"/>
    <n v="2"/>
    <n v="1030.3288636363636"/>
    <n v="0.94762064171191174"/>
    <n v="-5011.6900000000023"/>
    <n v="5011.6900000000023"/>
  </r>
  <r>
    <s v="S00657"/>
    <d v="2025-02-01T00:00:00"/>
    <s v="R03"/>
    <x v="2"/>
    <s v="T09"/>
    <s v="REP09"/>
    <s v="P001"/>
    <n v="122"/>
    <n v="121263.54"/>
    <n v="4544.6099999999997"/>
    <n v="1572.49"/>
    <n v="115146.44"/>
    <n v="121199.76"/>
    <x v="0"/>
    <x v="1"/>
    <n v="2"/>
    <n v="943.82327868852462"/>
    <n v="0.95005501661059399"/>
    <n v="-6053.3199999999924"/>
    <n v="6053.3199999999924"/>
  </r>
  <r>
    <s v="S00658"/>
    <d v="2025-02-01T00:00:00"/>
    <s v="R03"/>
    <x v="2"/>
    <s v="T09"/>
    <s v="REP09"/>
    <s v="P002"/>
    <n v="144"/>
    <n v="110270.43"/>
    <n v="5276.91"/>
    <n v="1276.71"/>
    <n v="103716.81"/>
    <n v="107438.87"/>
    <x v="1"/>
    <x v="1"/>
    <n v="2"/>
    <n v="720.25562500000001"/>
    <n v="0.96535648597197643"/>
    <n v="-3722.0599999999977"/>
    <n v="3722.0599999999977"/>
  </r>
  <r>
    <s v="S00659"/>
    <d v="2025-02-01T00:00:00"/>
    <s v="R03"/>
    <x v="2"/>
    <s v="T09"/>
    <s v="REP09"/>
    <s v="P003"/>
    <n v="175"/>
    <n v="109311.67999999999"/>
    <n v="5830.45"/>
    <n v="1344.57"/>
    <n v="102136.65"/>
    <n v="100626.28"/>
    <x v="2"/>
    <x v="1"/>
    <n v="2"/>
    <n v="583.63799999999992"/>
    <n v="1.0150096972679503"/>
    <n v="1510.3699999999953"/>
    <n v="0"/>
  </r>
  <r>
    <s v="S00660"/>
    <d v="2025-02-01T00:00:00"/>
    <s v="R03"/>
    <x v="2"/>
    <s v="T09"/>
    <s v="REP09"/>
    <s v="P004"/>
    <n v="98"/>
    <n v="106618.1"/>
    <n v="4562.88"/>
    <n v="1272.76"/>
    <n v="100782.47"/>
    <n v="98434.63"/>
    <x v="3"/>
    <x v="1"/>
    <n v="2"/>
    <n v="1028.3925510204081"/>
    <n v="1.0238517684274324"/>
    <n v="2347.8399999999965"/>
    <n v="0"/>
  </r>
  <r>
    <s v="S00661"/>
    <d v="2025-02-01T00:00:00"/>
    <s v="R04"/>
    <x v="3"/>
    <s v="T10"/>
    <s v="REP10"/>
    <s v="P001"/>
    <n v="103"/>
    <n v="102015.19"/>
    <n v="5096.8500000000004"/>
    <n v="827.91"/>
    <n v="96090.43"/>
    <n v="93172"/>
    <x v="0"/>
    <x v="1"/>
    <n v="2"/>
    <n v="932.91679611650477"/>
    <n v="1.0313230369638946"/>
    <n v="2918.429999999993"/>
    <n v="0"/>
  </r>
  <r>
    <s v="S00662"/>
    <d v="2025-02-01T00:00:00"/>
    <s v="R04"/>
    <x v="3"/>
    <s v="T10"/>
    <s v="REP10"/>
    <s v="P002"/>
    <n v="123"/>
    <n v="94293.58"/>
    <n v="6726.96"/>
    <n v="1261.5999999999999"/>
    <n v="86305.01"/>
    <n v="84769.5"/>
    <x v="1"/>
    <x v="1"/>
    <n v="2"/>
    <n v="701.66674796747964"/>
    <n v="1.018113944284206"/>
    <n v="1535.5099999999948"/>
    <n v="0"/>
  </r>
  <r>
    <s v="S00663"/>
    <d v="2025-02-01T00:00:00"/>
    <s v="R04"/>
    <x v="3"/>
    <s v="T10"/>
    <s v="REP10"/>
    <s v="P003"/>
    <n v="128"/>
    <n v="79041.820000000007"/>
    <n v="5922.91"/>
    <n v="760.4"/>
    <n v="72358.509999999995"/>
    <n v="81187.899999999994"/>
    <x v="2"/>
    <x v="1"/>
    <n v="2"/>
    <n v="565.30085937499996"/>
    <n v="0.89124746421572676"/>
    <n v="-8829.39"/>
    <n v="8829.39"/>
  </r>
  <r>
    <s v="S00664"/>
    <d v="2025-02-01T00:00:00"/>
    <s v="R04"/>
    <x v="3"/>
    <s v="T10"/>
    <s v="REP10"/>
    <s v="P004"/>
    <n v="72"/>
    <n v="78211.63"/>
    <n v="3152.89"/>
    <n v="723.02"/>
    <n v="74335.72"/>
    <n v="76589.39"/>
    <x v="3"/>
    <x v="1"/>
    <n v="2"/>
    <n v="1032.4405555555556"/>
    <n v="0.97057464486921752"/>
    <n v="-2253.6699999999983"/>
    <n v="2253.6699999999983"/>
  </r>
  <r>
    <s v="S00665"/>
    <d v="2025-02-01T00:00:00"/>
    <s v="R04"/>
    <x v="3"/>
    <s v="T11"/>
    <s v="REP11"/>
    <s v="P001"/>
    <n v="92"/>
    <n v="90398.29"/>
    <n v="4597.54"/>
    <n v="370.54"/>
    <n v="85430.22"/>
    <n v="94053.69"/>
    <x v="0"/>
    <x v="1"/>
    <n v="2"/>
    <n v="928.58934782608696"/>
    <n v="0.90831332614382276"/>
    <n v="-8623.4700000000012"/>
    <n v="8623.4700000000012"/>
  </r>
  <r>
    <s v="S00666"/>
    <d v="2025-02-01T00:00:00"/>
    <s v="R04"/>
    <x v="3"/>
    <s v="T11"/>
    <s v="REP11"/>
    <s v="P002"/>
    <n v="124"/>
    <n v="93981.58"/>
    <n v="5868.93"/>
    <n v="1199.03"/>
    <n v="86913.62"/>
    <n v="86084.29"/>
    <x v="1"/>
    <x v="1"/>
    <n v="2"/>
    <n v="700.91629032258061"/>
    <n v="1.0096339297216717"/>
    <n v="829.33000000000175"/>
    <n v="0"/>
  </r>
  <r>
    <s v="S00667"/>
    <d v="2025-02-01T00:00:00"/>
    <s v="R04"/>
    <x v="3"/>
    <s v="T11"/>
    <s v="REP11"/>
    <s v="P003"/>
    <n v="127"/>
    <n v="78416.45"/>
    <n v="3232.5"/>
    <n v="932.33"/>
    <n v="74251.62"/>
    <n v="80139.17"/>
    <x v="2"/>
    <x v="1"/>
    <n v="2"/>
    <n v="584.65842519685032"/>
    <n v="0.92653342928308335"/>
    <n v="-5887.5500000000029"/>
    <n v="5887.5500000000029"/>
  </r>
  <r>
    <s v="S00668"/>
    <d v="2025-02-01T00:00:00"/>
    <s v="R04"/>
    <x v="3"/>
    <s v="T11"/>
    <s v="REP11"/>
    <s v="P004"/>
    <n v="70"/>
    <n v="76348.69"/>
    <n v="3465.03"/>
    <n v="308.95999999999998"/>
    <n v="72574.7"/>
    <n v="77233.78"/>
    <x v="3"/>
    <x v="1"/>
    <n v="2"/>
    <n v="1036.7814285714285"/>
    <n v="0.93967561862179994"/>
    <n v="-4659.0800000000017"/>
    <n v="4659.0800000000017"/>
  </r>
  <r>
    <s v="S00669"/>
    <d v="2025-02-01T00:00:00"/>
    <s v="R04"/>
    <x v="3"/>
    <s v="T12"/>
    <s v="REP12"/>
    <s v="P001"/>
    <n v="113"/>
    <n v="111929.53"/>
    <n v="6011.83"/>
    <n v="568.4"/>
    <n v="105349.3"/>
    <n v="105412.18"/>
    <x v="0"/>
    <x v="1"/>
    <n v="2"/>
    <n v="932.29469026548679"/>
    <n v="0.99940348449296856"/>
    <n v="-62.879999999990105"/>
    <n v="62.879999999990105"/>
  </r>
  <r>
    <s v="S00670"/>
    <d v="2025-02-01T00:00:00"/>
    <s v="R04"/>
    <x v="3"/>
    <s v="T12"/>
    <s v="REP12"/>
    <s v="P002"/>
    <n v="138"/>
    <n v="104621.12"/>
    <n v="6331.86"/>
    <n v="1217.21"/>
    <n v="97072.06"/>
    <n v="94979.22"/>
    <x v="1"/>
    <x v="1"/>
    <n v="2"/>
    <n v="703.42072463768113"/>
    <n v="1.0220347145407174"/>
    <n v="2092.8399999999965"/>
    <n v="0"/>
  </r>
  <r>
    <s v="S00671"/>
    <d v="2025-02-01T00:00:00"/>
    <s v="R04"/>
    <x v="3"/>
    <s v="T12"/>
    <s v="REP12"/>
    <s v="P003"/>
    <n v="155"/>
    <n v="97528"/>
    <n v="4590.16"/>
    <n v="1297.8"/>
    <n v="91640.05"/>
    <n v="90844.33"/>
    <x v="2"/>
    <x v="1"/>
    <n v="2"/>
    <n v="591.22612903225809"/>
    <n v="1.0087591597626402"/>
    <n v="795.72000000000116"/>
    <n v="0"/>
  </r>
  <r>
    <s v="S00672"/>
    <d v="2025-02-01T00:00:00"/>
    <s v="R04"/>
    <x v="3"/>
    <s v="T12"/>
    <s v="REP12"/>
    <s v="P004"/>
    <n v="79"/>
    <n v="87073.55"/>
    <n v="5385.09"/>
    <n v="413.45"/>
    <n v="81275"/>
    <n v="86767.18"/>
    <x v="3"/>
    <x v="1"/>
    <n v="2"/>
    <n v="1028.7974683544303"/>
    <n v="0.93670210326070302"/>
    <n v="-5492.179999999993"/>
    <n v="5492.179999999993"/>
  </r>
  <r>
    <s v="S00673"/>
    <d v="2025-03-01T00:00:00"/>
    <s v="R01"/>
    <x v="0"/>
    <s v="T01"/>
    <s v="REP01"/>
    <s v="P001"/>
    <n v="159"/>
    <n v="155945.51"/>
    <n v="6105.9"/>
    <n v="1128.1400000000001"/>
    <n v="148711.46"/>
    <n v="150160.22"/>
    <x v="0"/>
    <x v="1"/>
    <n v="3"/>
    <n v="935.29220125786162"/>
    <n v="0.99035190545139051"/>
    <n v="-1448.7600000000093"/>
    <n v="1448.7600000000093"/>
  </r>
  <r>
    <s v="S00674"/>
    <d v="2025-03-01T00:00:00"/>
    <s v="R01"/>
    <x v="0"/>
    <s v="T01"/>
    <s v="REP01"/>
    <s v="P002"/>
    <n v="184"/>
    <n v="139898.51"/>
    <n v="6446.27"/>
    <n v="1729.31"/>
    <n v="131722.93"/>
    <n v="137820.57"/>
    <x v="1"/>
    <x v="1"/>
    <n v="3"/>
    <n v="715.88548913043473"/>
    <n v="0.95575667696048561"/>
    <n v="-6097.640000000014"/>
    <n v="6097.640000000014"/>
  </r>
  <r>
    <s v="S00675"/>
    <d v="2025-03-01T00:00:00"/>
    <s v="R01"/>
    <x v="0"/>
    <s v="T01"/>
    <s v="REP01"/>
    <s v="P003"/>
    <n v="219"/>
    <n v="137632.35999999999"/>
    <n v="5416.25"/>
    <n v="1911.38"/>
    <n v="130304.73"/>
    <n v="129645.67"/>
    <x v="2"/>
    <x v="1"/>
    <n v="3"/>
    <n v="594.99876712328762"/>
    <n v="1.0050835481046148"/>
    <n v="659.05999999999767"/>
    <n v="0"/>
  </r>
  <r>
    <s v="S00676"/>
    <d v="2025-03-01T00:00:00"/>
    <s v="R01"/>
    <x v="0"/>
    <s v="T01"/>
    <s v="REP01"/>
    <s v="P004"/>
    <n v="120"/>
    <n v="131995.60999999999"/>
    <n v="9270.0300000000007"/>
    <n v="737.6"/>
    <n v="121987.98"/>
    <n v="124158.66"/>
    <x v="3"/>
    <x v="1"/>
    <n v="3"/>
    <n v="1016.5665"/>
    <n v="0.98251688605531018"/>
    <n v="-2170.6800000000076"/>
    <n v="2170.6800000000076"/>
  </r>
  <r>
    <s v="S00677"/>
    <d v="2025-03-01T00:00:00"/>
    <s v="R01"/>
    <x v="0"/>
    <s v="T02"/>
    <s v="REP02"/>
    <s v="P001"/>
    <n v="159"/>
    <n v="154312.43"/>
    <n v="8338.24"/>
    <n v="2011"/>
    <n v="143963.19"/>
    <n v="151269.12"/>
    <x v="0"/>
    <x v="1"/>
    <n v="3"/>
    <n v="905.42886792452828"/>
    <n v="0.95170243602924387"/>
    <n v="-7305.929999999993"/>
    <n v="7305.929999999993"/>
  </r>
  <r>
    <s v="S00678"/>
    <d v="2025-03-01T00:00:00"/>
    <s v="R01"/>
    <x v="0"/>
    <s v="T02"/>
    <s v="REP02"/>
    <s v="P002"/>
    <n v="196"/>
    <n v="149250.1"/>
    <n v="5260.97"/>
    <n v="892.27"/>
    <n v="143096.87"/>
    <n v="138562.03"/>
    <x v="1"/>
    <x v="1"/>
    <n v="3"/>
    <n v="730.08607142857136"/>
    <n v="1.0327278692438324"/>
    <n v="4534.8399999999965"/>
    <n v="0"/>
  </r>
  <r>
    <s v="S00679"/>
    <d v="2025-03-01T00:00:00"/>
    <s v="R01"/>
    <x v="0"/>
    <s v="T02"/>
    <s v="REP02"/>
    <s v="P003"/>
    <n v="232"/>
    <n v="142024.82999999999"/>
    <n v="10125.620000000001"/>
    <n v="1140.98"/>
    <n v="130758.22"/>
    <n v="127867.95"/>
    <x v="2"/>
    <x v="1"/>
    <n v="3"/>
    <n v="563.61301724137934"/>
    <n v="1.0226035531186666"/>
    <n v="2890.2700000000041"/>
    <n v="0"/>
  </r>
  <r>
    <s v="S00680"/>
    <d v="2025-03-01T00:00:00"/>
    <s v="R01"/>
    <x v="0"/>
    <s v="T02"/>
    <s v="REP02"/>
    <s v="P004"/>
    <n v="115"/>
    <n v="126075.94"/>
    <n v="8679.11"/>
    <n v="1101.56"/>
    <n v="116295.28"/>
    <n v="127194.9"/>
    <x v="3"/>
    <x v="1"/>
    <n v="3"/>
    <n v="1011.2633043478261"/>
    <n v="0.91430772774694591"/>
    <n v="-10899.619999999995"/>
    <n v="10899.619999999995"/>
  </r>
  <r>
    <s v="S00681"/>
    <d v="2025-03-01T00:00:00"/>
    <s v="R01"/>
    <x v="0"/>
    <s v="T03"/>
    <s v="REP03"/>
    <s v="P001"/>
    <n v="170"/>
    <n v="168215.75"/>
    <n v="7751.41"/>
    <n v="1037.4000000000001"/>
    <n v="159426.94"/>
    <n v="165686.91"/>
    <x v="0"/>
    <x v="1"/>
    <n v="3"/>
    <n v="937.80552941176472"/>
    <n v="0.96221807745705434"/>
    <n v="-6259.9700000000012"/>
    <n v="6259.9700000000012"/>
  </r>
  <r>
    <s v="S00682"/>
    <d v="2025-03-01T00:00:00"/>
    <s v="R01"/>
    <x v="0"/>
    <s v="T03"/>
    <s v="REP03"/>
    <s v="P002"/>
    <n v="218"/>
    <n v="166235.25"/>
    <n v="11554.44"/>
    <n v="1182.8399999999999"/>
    <n v="153497.97"/>
    <n v="153722.76"/>
    <x v="1"/>
    <x v="1"/>
    <n v="3"/>
    <n v="704.11912844036692"/>
    <n v="0.99853769214135879"/>
    <n v="-224.79000000000815"/>
    <n v="224.79000000000815"/>
  </r>
  <r>
    <s v="S00683"/>
    <d v="2025-03-01T00:00:00"/>
    <s v="R01"/>
    <x v="0"/>
    <s v="T03"/>
    <s v="REP03"/>
    <s v="P003"/>
    <n v="251"/>
    <n v="153810.34"/>
    <n v="7041.45"/>
    <n v="762.16"/>
    <n v="146006.73000000001"/>
    <n v="143969.38"/>
    <x v="2"/>
    <x v="1"/>
    <n v="3"/>
    <n v="581.70011952191237"/>
    <n v="1.0141512729998561"/>
    <n v="2037.3500000000058"/>
    <n v="0"/>
  </r>
  <r>
    <s v="S00684"/>
    <d v="2025-03-01T00:00:00"/>
    <s v="R01"/>
    <x v="0"/>
    <s v="T03"/>
    <s v="REP03"/>
    <s v="P004"/>
    <n v="136"/>
    <n v="150909.85"/>
    <n v="8599.14"/>
    <n v="765.41"/>
    <n v="141545.29999999999"/>
    <n v="138204.60999999999"/>
    <x v="3"/>
    <x v="1"/>
    <n v="3"/>
    <n v="1040.7742647058822"/>
    <n v="1.0241720590941215"/>
    <n v="3340.6900000000023"/>
    <n v="0"/>
  </r>
  <r>
    <s v="S00685"/>
    <d v="2025-03-01T00:00:00"/>
    <s v="R02"/>
    <x v="1"/>
    <s v="T04"/>
    <s v="REP04"/>
    <s v="P001"/>
    <n v="106"/>
    <n v="104723.29"/>
    <n v="7301.62"/>
    <n v="1306.28"/>
    <n v="96115.4"/>
    <n v="120720.68"/>
    <x v="0"/>
    <x v="1"/>
    <n v="3"/>
    <n v="906.74905660377351"/>
    <n v="0.79618007453238338"/>
    <n v="-24605.279999999999"/>
    <n v="24605.279999999999"/>
  </r>
  <r>
    <s v="S00686"/>
    <d v="2025-03-01T00:00:00"/>
    <s v="R02"/>
    <x v="1"/>
    <s v="T04"/>
    <s v="REP04"/>
    <s v="P002"/>
    <n v="145"/>
    <n v="109360.37"/>
    <n v="7332.58"/>
    <n v="1504.81"/>
    <n v="100522.98"/>
    <n v="112344.9"/>
    <x v="1"/>
    <x v="1"/>
    <n v="3"/>
    <n v="693.2619310344827"/>
    <n v="0.89477119121562265"/>
    <n v="-11821.919999999998"/>
    <n v="11821.919999999998"/>
  </r>
  <r>
    <s v="S00687"/>
    <d v="2025-03-01T00:00:00"/>
    <s v="R02"/>
    <x v="1"/>
    <s v="T04"/>
    <s v="REP04"/>
    <s v="P003"/>
    <n v="179"/>
    <n v="109401.76"/>
    <n v="5273.69"/>
    <n v="839.25"/>
    <n v="103288.82"/>
    <n v="105626.84"/>
    <x v="2"/>
    <x v="1"/>
    <n v="3"/>
    <n v="577.03251396648045"/>
    <n v="0.97786528499763892"/>
    <n v="-2338.0199999999895"/>
    <n v="2338.0199999999895"/>
  </r>
  <r>
    <s v="S00688"/>
    <d v="2025-03-01T00:00:00"/>
    <s v="R02"/>
    <x v="1"/>
    <s v="T04"/>
    <s v="REP04"/>
    <s v="P004"/>
    <n v="89"/>
    <n v="98267.43"/>
    <n v="3844.8"/>
    <n v="657.94"/>
    <n v="93764.7"/>
    <n v="99811.44"/>
    <x v="3"/>
    <x v="1"/>
    <n v="3"/>
    <n v="1053.5359550561798"/>
    <n v="0.9394183672733305"/>
    <n v="-6046.7400000000052"/>
    <n v="6046.7400000000052"/>
  </r>
  <r>
    <s v="S00689"/>
    <d v="2025-03-01T00:00:00"/>
    <s v="R02"/>
    <x v="1"/>
    <s v="T05"/>
    <s v="REP05"/>
    <s v="P001"/>
    <n v="92"/>
    <n v="89515.82"/>
    <n v="5811.16"/>
    <n v="1104.69"/>
    <n v="82599.97"/>
    <n v="109250.16"/>
    <x v="0"/>
    <x v="1"/>
    <n v="3"/>
    <n v="897.82576086956522"/>
    <n v="0.75606269134983417"/>
    <n v="-26650.190000000002"/>
    <n v="26650.190000000002"/>
  </r>
  <r>
    <s v="S00690"/>
    <d v="2025-03-01T00:00:00"/>
    <s v="R02"/>
    <x v="1"/>
    <s v="T05"/>
    <s v="REP05"/>
    <s v="P002"/>
    <n v="137"/>
    <n v="104012.82"/>
    <n v="4669.5600000000004"/>
    <n v="823.89"/>
    <n v="98519.38"/>
    <n v="98573.440000000002"/>
    <x v="1"/>
    <x v="1"/>
    <n v="3"/>
    <n v="719.11956204379567"/>
    <n v="0.99945157640841187"/>
    <n v="-54.059999999997672"/>
    <n v="54.059999999997672"/>
  </r>
  <r>
    <s v="S00691"/>
    <d v="2025-03-01T00:00:00"/>
    <s v="R02"/>
    <x v="1"/>
    <s v="T05"/>
    <s v="REP05"/>
    <s v="P003"/>
    <n v="151"/>
    <n v="94285.47"/>
    <n v="3975.45"/>
    <n v="558.96"/>
    <n v="89751.06"/>
    <n v="91988.59"/>
    <x v="2"/>
    <x v="1"/>
    <n v="3"/>
    <n v="594.37788079470192"/>
    <n v="0.97567600503497232"/>
    <n v="-2237.5299999999988"/>
    <n v="2237.5299999999988"/>
  </r>
  <r>
    <s v="S00692"/>
    <d v="2025-03-01T00:00:00"/>
    <s v="R02"/>
    <x v="1"/>
    <s v="T05"/>
    <s v="REP05"/>
    <s v="P004"/>
    <n v="79"/>
    <n v="86415.05"/>
    <n v="4632.3500000000004"/>
    <n v="780.78"/>
    <n v="81001.919999999998"/>
    <n v="89953.87"/>
    <x v="3"/>
    <x v="1"/>
    <n v="3"/>
    <n v="1025.3407594936709"/>
    <n v="0.90048288083658878"/>
    <n v="-8951.9499999999971"/>
    <n v="8951.9499999999971"/>
  </r>
  <r>
    <s v="S00693"/>
    <d v="2025-03-01T00:00:00"/>
    <s v="R02"/>
    <x v="1"/>
    <s v="T06"/>
    <s v="REP06"/>
    <s v="P001"/>
    <n v="112"/>
    <n v="109933.18"/>
    <n v="6010.41"/>
    <n v="604.09"/>
    <n v="103318.67"/>
    <n v="123268.15"/>
    <x v="0"/>
    <x v="1"/>
    <n v="3"/>
    <n v="922.48812499999997"/>
    <n v="0.83816192585027038"/>
    <n v="-19949.479999999996"/>
    <n v="19949.479999999996"/>
  </r>
  <r>
    <s v="S00694"/>
    <d v="2025-03-01T00:00:00"/>
    <s v="R02"/>
    <x v="1"/>
    <s v="T06"/>
    <s v="REP06"/>
    <s v="P002"/>
    <n v="141"/>
    <n v="106861.36"/>
    <n v="4288.74"/>
    <n v="1177.9000000000001"/>
    <n v="101394.73"/>
    <n v="109236.38"/>
    <x v="1"/>
    <x v="1"/>
    <n v="3"/>
    <n v="719.11156028368794"/>
    <n v="0.92821393385610174"/>
    <n v="-7841.6500000000087"/>
    <n v="7841.6500000000087"/>
  </r>
  <r>
    <s v="S00695"/>
    <d v="2025-03-01T00:00:00"/>
    <s v="R02"/>
    <x v="1"/>
    <s v="T06"/>
    <s v="REP06"/>
    <s v="P003"/>
    <n v="174"/>
    <n v="107478.83"/>
    <n v="7989.2"/>
    <n v="1184.45"/>
    <n v="98305.18"/>
    <n v="104457.74"/>
    <x v="2"/>
    <x v="1"/>
    <n v="3"/>
    <n v="564.9722988505747"/>
    <n v="0.9411000084818989"/>
    <n v="-6152.5600000000122"/>
    <n v="6152.5600000000122"/>
  </r>
  <r>
    <s v="S00696"/>
    <d v="2025-03-01T00:00:00"/>
    <s v="R02"/>
    <x v="1"/>
    <s v="T06"/>
    <s v="REP06"/>
    <s v="P004"/>
    <n v="93"/>
    <n v="101026.71"/>
    <n v="5646.33"/>
    <n v="1205.51"/>
    <n v="94174.87"/>
    <n v="99001.19"/>
    <x v="3"/>
    <x v="1"/>
    <n v="3"/>
    <n v="1012.6330107526882"/>
    <n v="0.95124987891559676"/>
    <n v="-4826.320000000007"/>
    <n v="4826.320000000007"/>
  </r>
  <r>
    <s v="S00697"/>
    <d v="2025-03-01T00:00:00"/>
    <s v="R03"/>
    <x v="2"/>
    <s v="T07"/>
    <s v="REP07"/>
    <s v="P001"/>
    <n v="134"/>
    <n v="132385.12"/>
    <n v="8562.34"/>
    <n v="793.36"/>
    <n v="123029.42"/>
    <n v="120755.93"/>
    <x v="0"/>
    <x v="1"/>
    <n v="3"/>
    <n v="918.13"/>
    <n v="1.0188271499378954"/>
    <n v="2273.4900000000052"/>
    <n v="0"/>
  </r>
  <r>
    <s v="S00698"/>
    <d v="2025-03-01T00:00:00"/>
    <s v="R03"/>
    <x v="2"/>
    <s v="T07"/>
    <s v="REP07"/>
    <s v="P002"/>
    <n v="158"/>
    <n v="120191.69"/>
    <n v="8510.7900000000009"/>
    <n v="1548.34"/>
    <n v="110132.57"/>
    <n v="111791.81"/>
    <x v="1"/>
    <x v="1"/>
    <n v="3"/>
    <n v="697.04158227848109"/>
    <n v="0.98515776781859077"/>
    <n v="-1659.2399999999907"/>
    <n v="1659.2399999999907"/>
  </r>
  <r>
    <s v="S00699"/>
    <d v="2025-03-01T00:00:00"/>
    <s v="R03"/>
    <x v="2"/>
    <s v="T07"/>
    <s v="REP07"/>
    <s v="P003"/>
    <n v="179"/>
    <n v="109339.01"/>
    <n v="4360.6000000000004"/>
    <n v="795.87"/>
    <n v="104182.54"/>
    <n v="104853.02"/>
    <x v="2"/>
    <x v="1"/>
    <n v="3"/>
    <n v="582.02536312849156"/>
    <n v="0.9936055251436724"/>
    <n v="-670.48000000001048"/>
    <n v="670.48000000001048"/>
  </r>
  <r>
    <s v="S00700"/>
    <d v="2025-03-01T00:00:00"/>
    <s v="R03"/>
    <x v="2"/>
    <s v="T07"/>
    <s v="REP07"/>
    <s v="P004"/>
    <n v="97"/>
    <n v="106488.85"/>
    <n v="5493.23"/>
    <n v="689.94"/>
    <n v="100305.68"/>
    <n v="100870.16"/>
    <x v="3"/>
    <x v="1"/>
    <n v="3"/>
    <n v="1034.0791752577318"/>
    <n v="0.99440389506668758"/>
    <n v="-564.48000000001048"/>
    <n v="564.48000000001048"/>
  </r>
  <r>
    <s v="S00701"/>
    <d v="2025-03-01T00:00:00"/>
    <s v="R03"/>
    <x v="2"/>
    <s v="T08"/>
    <s v="REP08"/>
    <s v="P001"/>
    <n v="121"/>
    <n v="119594.56"/>
    <n v="6092.07"/>
    <n v="1300.3599999999999"/>
    <n v="112202.13"/>
    <n v="124360.16"/>
    <x v="0"/>
    <x v="1"/>
    <n v="3"/>
    <n v="927.29033057851245"/>
    <n v="0.90223533002852363"/>
    <n v="-12158.029999999999"/>
    <n v="12158.029999999999"/>
  </r>
  <r>
    <s v="S00702"/>
    <d v="2025-03-01T00:00:00"/>
    <s v="R03"/>
    <x v="2"/>
    <s v="T08"/>
    <s v="REP08"/>
    <s v="P002"/>
    <n v="164"/>
    <n v="124342.66"/>
    <n v="5261.84"/>
    <n v="1283.67"/>
    <n v="117797.15"/>
    <n v="110182.85"/>
    <x v="1"/>
    <x v="1"/>
    <n v="3"/>
    <n v="718.2753048780487"/>
    <n v="1.0691060360119564"/>
    <n v="7614.2999999999884"/>
    <n v="0"/>
  </r>
  <r>
    <s v="S00703"/>
    <d v="2025-03-01T00:00:00"/>
    <s v="R03"/>
    <x v="2"/>
    <s v="T08"/>
    <s v="REP08"/>
    <s v="P003"/>
    <n v="180"/>
    <n v="110659.88"/>
    <n v="7553.77"/>
    <n v="1078.42"/>
    <n v="102027.69"/>
    <n v="104730.22"/>
    <x v="2"/>
    <x v="1"/>
    <n v="3"/>
    <n v="566.82050000000004"/>
    <n v="0.97419531821856198"/>
    <n v="-2702.5299999999988"/>
    <n v="2702.5299999999988"/>
  </r>
  <r>
    <s v="S00704"/>
    <d v="2025-03-01T00:00:00"/>
    <s v="R03"/>
    <x v="2"/>
    <s v="T08"/>
    <s v="REP08"/>
    <s v="P004"/>
    <n v="94"/>
    <n v="102624.57"/>
    <n v="6356.65"/>
    <n v="1293.53"/>
    <n v="94974.39"/>
    <n v="100463.85"/>
    <x v="3"/>
    <x v="1"/>
    <n v="3"/>
    <n v="1010.3658510638298"/>
    <n v="0.94535885296054245"/>
    <n v="-5489.4600000000064"/>
    <n v="5489.4600000000064"/>
  </r>
  <r>
    <s v="S00705"/>
    <d v="2025-03-01T00:00:00"/>
    <s v="R03"/>
    <x v="2"/>
    <s v="T09"/>
    <s v="REP09"/>
    <s v="P001"/>
    <n v="136"/>
    <n v="133992.18"/>
    <n v="6792.69"/>
    <n v="1410.35"/>
    <n v="125789.13"/>
    <n v="126095.76"/>
    <x v="0"/>
    <x v="1"/>
    <n v="3"/>
    <n v="924.92007352941175"/>
    <n v="0.997568276681151"/>
    <n v="-306.6299999999901"/>
    <n v="306.6299999999901"/>
  </r>
  <r>
    <s v="S00706"/>
    <d v="2025-03-01T00:00:00"/>
    <s v="R03"/>
    <x v="2"/>
    <s v="T09"/>
    <s v="REP09"/>
    <s v="P002"/>
    <n v="154"/>
    <n v="116538.83"/>
    <n v="6736.84"/>
    <n v="1258.71"/>
    <n v="108543.28"/>
    <n v="115233.19"/>
    <x v="1"/>
    <x v="1"/>
    <n v="3"/>
    <n v="704.82649350649353"/>
    <n v="0.94194459079020543"/>
    <n v="-6689.9100000000035"/>
    <n v="6689.9100000000035"/>
  </r>
  <r>
    <s v="S00707"/>
    <d v="2025-03-01T00:00:00"/>
    <s v="R03"/>
    <x v="2"/>
    <s v="T09"/>
    <s v="REP09"/>
    <s v="P003"/>
    <n v="173"/>
    <n v="108567.66"/>
    <n v="5173.29"/>
    <n v="1473.66"/>
    <n v="101920.71"/>
    <n v="108047.15"/>
    <x v="2"/>
    <x v="1"/>
    <n v="3"/>
    <n v="589.13705202312144"/>
    <n v="0.94329845812684565"/>
    <n v="-6126.4399999999878"/>
    <n v="6126.4399999999878"/>
  </r>
  <r>
    <s v="S00708"/>
    <d v="2025-03-01T00:00:00"/>
    <s v="R03"/>
    <x v="2"/>
    <s v="T09"/>
    <s v="REP09"/>
    <s v="P004"/>
    <n v="99"/>
    <n v="109561.46"/>
    <n v="6347.22"/>
    <n v="963.56"/>
    <n v="102250.68"/>
    <n v="103865.61"/>
    <x v="3"/>
    <x v="1"/>
    <n v="3"/>
    <n v="1032.8351515151514"/>
    <n v="0.98445173527599739"/>
    <n v="-1614.9300000000076"/>
    <n v="1614.9300000000076"/>
  </r>
  <r>
    <s v="S00709"/>
    <d v="2025-03-01T00:00:00"/>
    <s v="R04"/>
    <x v="3"/>
    <s v="T10"/>
    <s v="REP10"/>
    <s v="P001"/>
    <n v="97"/>
    <n v="93675.03"/>
    <n v="4763.8100000000004"/>
    <n v="1153.32"/>
    <n v="87757.9"/>
    <n v="98055.19"/>
    <x v="0"/>
    <x v="1"/>
    <n v="3"/>
    <n v="904.72061855670097"/>
    <n v="0.89498475297431979"/>
    <n v="-10297.290000000008"/>
    <n v="10297.290000000008"/>
  </r>
  <r>
    <s v="S00710"/>
    <d v="2025-03-01T00:00:00"/>
    <s v="R04"/>
    <x v="3"/>
    <s v="T10"/>
    <s v="REP10"/>
    <s v="P002"/>
    <n v="122"/>
    <n v="92686.57"/>
    <n v="5910.16"/>
    <n v="1287.5"/>
    <n v="85488.91"/>
    <n v="89446.51"/>
    <x v="1"/>
    <x v="1"/>
    <n v="3"/>
    <n v="700.72877049180329"/>
    <n v="0.95575456213998744"/>
    <n v="-3957.5999999999913"/>
    <n v="3957.5999999999913"/>
  </r>
  <r>
    <s v="S00711"/>
    <d v="2025-03-01T00:00:00"/>
    <s v="R04"/>
    <x v="3"/>
    <s v="T10"/>
    <s v="REP10"/>
    <s v="P003"/>
    <n v="134"/>
    <n v="82314.75"/>
    <n v="3571.35"/>
    <n v="718.7"/>
    <n v="78024.7"/>
    <n v="83201.31"/>
    <x v="2"/>
    <x v="1"/>
    <n v="3"/>
    <n v="582.27388059701491"/>
    <n v="0.93778210944034412"/>
    <n v="-5176.6100000000006"/>
    <n v="5176.6100000000006"/>
  </r>
  <r>
    <s v="S00712"/>
    <d v="2025-03-01T00:00:00"/>
    <s v="R04"/>
    <x v="3"/>
    <s v="T10"/>
    <s v="REP10"/>
    <s v="P004"/>
    <n v="79"/>
    <n v="86699.29"/>
    <n v="3112.67"/>
    <n v="385.24"/>
    <n v="83201.38"/>
    <n v="80777.27"/>
    <x v="3"/>
    <x v="1"/>
    <n v="3"/>
    <n v="1053.1820253164558"/>
    <n v="1.0300098035004155"/>
    <n v="2424.1100000000006"/>
    <n v="0"/>
  </r>
  <r>
    <s v="S00713"/>
    <d v="2025-03-01T00:00:00"/>
    <s v="R04"/>
    <x v="3"/>
    <s v="T11"/>
    <s v="REP11"/>
    <s v="P001"/>
    <n v="101"/>
    <n v="99892.61"/>
    <n v="5326.1"/>
    <n v="1320.91"/>
    <n v="93245.61"/>
    <n v="98739.48"/>
    <x v="0"/>
    <x v="1"/>
    <n v="3"/>
    <n v="923.22386138613865"/>
    <n v="0.94435994599120843"/>
    <n v="-5493.8699999999953"/>
    <n v="5493.8699999999953"/>
  </r>
  <r>
    <s v="S00714"/>
    <d v="2025-03-01T00:00:00"/>
    <s v="R04"/>
    <x v="3"/>
    <s v="T11"/>
    <s v="REP11"/>
    <s v="P002"/>
    <n v="126"/>
    <n v="95457.42"/>
    <n v="3475.89"/>
    <n v="942.48"/>
    <n v="91039.039999999994"/>
    <n v="89415.7"/>
    <x v="1"/>
    <x v="1"/>
    <n v="3"/>
    <n v="722.53206349206346"/>
    <n v="1.0181549772579088"/>
    <n v="1623.3399999999965"/>
    <n v="0"/>
  </r>
  <r>
    <s v="S00715"/>
    <d v="2025-03-01T00:00:00"/>
    <s v="R04"/>
    <x v="3"/>
    <s v="T11"/>
    <s v="REP11"/>
    <s v="P003"/>
    <n v="143"/>
    <n v="87871.86"/>
    <n v="5181.97"/>
    <n v="553.64"/>
    <n v="82136.25"/>
    <n v="83371.77"/>
    <x v="2"/>
    <x v="1"/>
    <n v="3"/>
    <n v="574.37937062937067"/>
    <n v="0.98518059530222279"/>
    <n v="-1235.5200000000041"/>
    <n v="1235.5200000000041"/>
  </r>
  <r>
    <s v="S00716"/>
    <d v="2025-03-01T00:00:00"/>
    <s v="R04"/>
    <x v="3"/>
    <s v="T11"/>
    <s v="REP11"/>
    <s v="P004"/>
    <n v="80"/>
    <n v="88903.12"/>
    <n v="4280.08"/>
    <n v="1086.67"/>
    <n v="83536.36"/>
    <n v="81541.61"/>
    <x v="3"/>
    <x v="1"/>
    <n v="3"/>
    <n v="1044.2045000000001"/>
    <n v="1.0244629705005825"/>
    <n v="1994.75"/>
    <n v="0"/>
  </r>
  <r>
    <s v="S00717"/>
    <d v="2025-03-01T00:00:00"/>
    <s v="R04"/>
    <x v="3"/>
    <s v="T12"/>
    <s v="REP12"/>
    <s v="P001"/>
    <n v="121"/>
    <n v="118561.4"/>
    <n v="5953.18"/>
    <n v="1491.86"/>
    <n v="111116.36"/>
    <n v="110032.86"/>
    <x v="0"/>
    <x v="1"/>
    <n v="3"/>
    <n v="918.31702479338844"/>
    <n v="1.0098470584150954"/>
    <n v="1083.5"/>
    <n v="0"/>
  </r>
  <r>
    <s v="S00718"/>
    <d v="2025-03-01T00:00:00"/>
    <s v="R04"/>
    <x v="3"/>
    <s v="T12"/>
    <s v="REP12"/>
    <s v="P002"/>
    <n v="143"/>
    <n v="107976.83"/>
    <n v="7638.13"/>
    <n v="630.1"/>
    <n v="99708.59"/>
    <n v="101813.05"/>
    <x v="1"/>
    <x v="1"/>
    <n v="3"/>
    <n v="697.26286713286709"/>
    <n v="0.97933015463145434"/>
    <n v="-2104.4600000000064"/>
    <n v="2104.4600000000064"/>
  </r>
  <r>
    <s v="S00719"/>
    <d v="2025-03-01T00:00:00"/>
    <s v="R04"/>
    <x v="3"/>
    <s v="T12"/>
    <s v="REP12"/>
    <s v="P003"/>
    <n v="165"/>
    <n v="102968.09"/>
    <n v="6480.71"/>
    <n v="1299.21"/>
    <n v="95188.17"/>
    <n v="93753.22"/>
    <x v="2"/>
    <x v="1"/>
    <n v="3"/>
    <n v="576.89800000000002"/>
    <n v="1.0153056076367297"/>
    <n v="1434.9499999999971"/>
    <n v="0"/>
  </r>
  <r>
    <s v="S00720"/>
    <d v="2025-03-01T00:00:00"/>
    <s v="R04"/>
    <x v="3"/>
    <s v="T12"/>
    <s v="REP12"/>
    <s v="P004"/>
    <n v="92"/>
    <n v="100447.1"/>
    <n v="6838.15"/>
    <n v="637.9"/>
    <n v="92971.06"/>
    <n v="93079.08"/>
    <x v="3"/>
    <x v="1"/>
    <n v="3"/>
    <n v="1010.5549999999999"/>
    <n v="0.99883948143879375"/>
    <n v="-108.02000000000407"/>
    <n v="108.02000000000407"/>
  </r>
  <r>
    <s v="S00721"/>
    <d v="2025-04-01T00:00:00"/>
    <s v="R01"/>
    <x v="0"/>
    <s v="T01"/>
    <s v="REP01"/>
    <s v="P001"/>
    <n v="154"/>
    <n v="150633"/>
    <n v="5297.4"/>
    <n v="1406.21"/>
    <n v="143929.38"/>
    <n v="158000.63"/>
    <x v="0"/>
    <x v="1"/>
    <n v="4"/>
    <n v="934.60636363636365"/>
    <n v="0.91094181080164049"/>
    <n v="-14071.25"/>
    <n v="14071.25"/>
  </r>
  <r>
    <s v="S00722"/>
    <d v="2025-04-01T00:00:00"/>
    <s v="R01"/>
    <x v="0"/>
    <s v="T01"/>
    <s v="REP01"/>
    <s v="P002"/>
    <n v="193"/>
    <n v="146106.71"/>
    <n v="7147.46"/>
    <n v="637.65"/>
    <n v="138321.60000000001"/>
    <n v="140737.19"/>
    <x v="1"/>
    <x v="1"/>
    <n v="4"/>
    <n v="716.69222797927466"/>
    <n v="0.98283616434291465"/>
    <n v="-2415.5899999999965"/>
    <n v="2415.5899999999965"/>
  </r>
  <r>
    <s v="S00723"/>
    <d v="2025-04-01T00:00:00"/>
    <s v="R01"/>
    <x v="0"/>
    <s v="T01"/>
    <s v="REP01"/>
    <s v="P003"/>
    <n v="237"/>
    <n v="145719.98000000001"/>
    <n v="10634.18"/>
    <n v="1875.57"/>
    <n v="133210.22"/>
    <n v="131470.19"/>
    <x v="2"/>
    <x v="1"/>
    <n v="4"/>
    <n v="562.06843881856537"/>
    <n v="1.0132351676071967"/>
    <n v="1740.0299999999988"/>
    <n v="0"/>
  </r>
  <r>
    <s v="S00724"/>
    <d v="2025-04-01T00:00:00"/>
    <s v="R01"/>
    <x v="0"/>
    <s v="T01"/>
    <s v="REP01"/>
    <s v="P004"/>
    <n v="128"/>
    <n v="142714.64000000001"/>
    <n v="10228.65"/>
    <n v="1871.69"/>
    <n v="130614.31"/>
    <n v="128705.05"/>
    <x v="3"/>
    <x v="1"/>
    <n v="4"/>
    <n v="1020.424296875"/>
    <n v="1.0148343829554474"/>
    <n v="1909.2599999999948"/>
    <n v="0"/>
  </r>
  <r>
    <s v="S00725"/>
    <d v="2025-04-01T00:00:00"/>
    <s v="R01"/>
    <x v="0"/>
    <s v="T02"/>
    <s v="REP02"/>
    <s v="P001"/>
    <n v="166"/>
    <n v="161749.22"/>
    <n v="7641.47"/>
    <n v="1602.75"/>
    <n v="152505.01"/>
    <n v="156049.57"/>
    <x v="0"/>
    <x v="1"/>
    <n v="4"/>
    <n v="918.70487951807229"/>
    <n v="0.97728567915951325"/>
    <n v="-3544.5599999999977"/>
    <n v="3544.5599999999977"/>
  </r>
  <r>
    <s v="S00726"/>
    <d v="2025-04-01T00:00:00"/>
    <s v="R01"/>
    <x v="0"/>
    <s v="T02"/>
    <s v="REP02"/>
    <s v="P002"/>
    <n v="195"/>
    <n v="147628.26"/>
    <n v="9460.57"/>
    <n v="1194.3599999999999"/>
    <n v="136973.32999999999"/>
    <n v="143988.09"/>
    <x v="1"/>
    <x v="1"/>
    <n v="4"/>
    <n v="702.42733333333331"/>
    <n v="0.95128235953404194"/>
    <n v="-7014.7600000000093"/>
    <n v="7014.7600000000093"/>
  </r>
  <r>
    <s v="S00727"/>
    <d v="2025-04-01T00:00:00"/>
    <s v="R01"/>
    <x v="0"/>
    <s v="T02"/>
    <s v="REP02"/>
    <s v="P003"/>
    <n v="226"/>
    <n v="142062.19"/>
    <n v="7656.79"/>
    <n v="1663.29"/>
    <n v="132742.1"/>
    <n v="133874.23000000001"/>
    <x v="2"/>
    <x v="1"/>
    <n v="4"/>
    <n v="587.35442477876109"/>
    <n v="0.99154333137901141"/>
    <n v="-1132.1300000000047"/>
    <n v="1132.1300000000047"/>
  </r>
  <r>
    <s v="S00728"/>
    <d v="2025-04-01T00:00:00"/>
    <s v="R01"/>
    <x v="0"/>
    <s v="T02"/>
    <s v="REP02"/>
    <s v="P004"/>
    <n v="124"/>
    <n v="135382.51999999999"/>
    <n v="8711.11"/>
    <n v="1735.04"/>
    <n v="124936.37"/>
    <n v="129132.46"/>
    <x v="3"/>
    <x v="1"/>
    <n v="4"/>
    <n v="1007.5513709677419"/>
    <n v="0.96750553656299887"/>
    <n v="-4196.0900000000111"/>
    <n v="4196.0900000000111"/>
  </r>
  <r>
    <s v="S00729"/>
    <d v="2025-04-01T00:00:00"/>
    <s v="R01"/>
    <x v="0"/>
    <s v="T03"/>
    <s v="REP03"/>
    <s v="P001"/>
    <n v="174"/>
    <n v="170841.15"/>
    <n v="9351.2099999999991"/>
    <n v="1834.55"/>
    <n v="159655.39000000001"/>
    <n v="174647.21"/>
    <x v="0"/>
    <x v="1"/>
    <n v="4"/>
    <n v="917.55971264367827"/>
    <n v="0.91415940741337931"/>
    <n v="-14991.819999999978"/>
    <n v="14991.819999999978"/>
  </r>
  <r>
    <s v="S00730"/>
    <d v="2025-04-01T00:00:00"/>
    <s v="R01"/>
    <x v="0"/>
    <s v="T03"/>
    <s v="REP03"/>
    <s v="P002"/>
    <n v="217"/>
    <n v="164429.24"/>
    <n v="11636.38"/>
    <n v="1875.22"/>
    <n v="150917.65"/>
    <n v="155695.56"/>
    <x v="1"/>
    <x v="1"/>
    <n v="4"/>
    <n v="695.47304147465434"/>
    <n v="0.96931248392696612"/>
    <n v="-4777.9100000000035"/>
    <n v="4777.9100000000035"/>
  </r>
  <r>
    <s v="S00731"/>
    <d v="2025-04-01T00:00:00"/>
    <s v="R01"/>
    <x v="0"/>
    <s v="T03"/>
    <s v="REP03"/>
    <s v="P003"/>
    <n v="261"/>
    <n v="160553.73000000001"/>
    <n v="6231.61"/>
    <n v="1903.62"/>
    <n v="152418.49"/>
    <n v="145743.13"/>
    <x v="2"/>
    <x v="1"/>
    <n v="4"/>
    <n v="583.97888888888883"/>
    <n v="1.0458022275218049"/>
    <n v="6675.359999999986"/>
    <n v="0"/>
  </r>
  <r>
    <s v="S00732"/>
    <d v="2025-04-01T00:00:00"/>
    <s v="R01"/>
    <x v="0"/>
    <s v="T03"/>
    <s v="REP03"/>
    <s v="P004"/>
    <n v="138"/>
    <n v="152283.5"/>
    <n v="11155.85"/>
    <n v="1828.45"/>
    <n v="139299.19"/>
    <n v="143513.25"/>
    <x v="3"/>
    <x v="1"/>
    <n v="4"/>
    <n v="1009.4144202898551"/>
    <n v="0.97063643949252076"/>
    <n v="-4214.0599999999977"/>
    <n v="4214.0599999999977"/>
  </r>
  <r>
    <s v="S00733"/>
    <d v="2025-04-01T00:00:00"/>
    <s v="R02"/>
    <x v="1"/>
    <s v="T04"/>
    <s v="REP04"/>
    <s v="P001"/>
    <n v="111"/>
    <n v="109070.8"/>
    <n v="7004.28"/>
    <n v="1118"/>
    <n v="100948.53"/>
    <n v="125850.84"/>
    <x v="0"/>
    <x v="1"/>
    <n v="4"/>
    <n v="909.44621621621616"/>
    <n v="0.80212837673550685"/>
    <n v="-24902.309999999998"/>
    <n v="24902.309999999998"/>
  </r>
  <r>
    <s v="S00734"/>
    <d v="2025-04-01T00:00:00"/>
    <s v="R02"/>
    <x v="1"/>
    <s v="T04"/>
    <s v="REP04"/>
    <s v="P002"/>
    <n v="162"/>
    <n v="123944.26"/>
    <n v="8439.08"/>
    <n v="948.03"/>
    <n v="114557.15"/>
    <n v="113839.32"/>
    <x v="1"/>
    <x v="1"/>
    <n v="4"/>
    <n v="707.14290123456783"/>
    <n v="1.0063056420224574"/>
    <n v="717.82999999998719"/>
    <n v="0"/>
  </r>
  <r>
    <s v="S00735"/>
    <d v="2025-04-01T00:00:00"/>
    <s v="R02"/>
    <x v="1"/>
    <s v="T04"/>
    <s v="REP04"/>
    <s v="P003"/>
    <n v="182"/>
    <n v="113317.15"/>
    <n v="4058.09"/>
    <n v="585.22"/>
    <n v="108673.84"/>
    <n v="107949.58"/>
    <x v="2"/>
    <x v="1"/>
    <n v="4"/>
    <n v="597.10901098901093"/>
    <n v="1.0067092433337859"/>
    <n v="724.25999999999476"/>
    <n v="0"/>
  </r>
  <r>
    <s v="S00736"/>
    <d v="2025-04-01T00:00:00"/>
    <s v="R02"/>
    <x v="1"/>
    <s v="T04"/>
    <s v="REP04"/>
    <s v="P004"/>
    <n v="96"/>
    <n v="105950.5"/>
    <n v="4796.92"/>
    <n v="834.06"/>
    <n v="100319.53"/>
    <n v="102974.87"/>
    <x v="3"/>
    <x v="1"/>
    <n v="4"/>
    <n v="1044.9951041666666"/>
    <n v="0.9742137086456143"/>
    <n v="-2655.3399999999965"/>
    <n v="2655.3399999999965"/>
  </r>
  <r>
    <s v="S00737"/>
    <d v="2025-04-01T00:00:00"/>
    <s v="R02"/>
    <x v="1"/>
    <s v="T05"/>
    <s v="REP05"/>
    <s v="P001"/>
    <n v="94"/>
    <n v="91165.2"/>
    <n v="6170.32"/>
    <n v="542.41999999999996"/>
    <n v="84452.46"/>
    <n v="111349.8"/>
    <x v="0"/>
    <x v="1"/>
    <n v="4"/>
    <n v="898.43042553191492"/>
    <n v="0.75844285306305004"/>
    <n v="-26897.339999999997"/>
    <n v="26897.339999999997"/>
  </r>
  <r>
    <s v="S00738"/>
    <d v="2025-04-01T00:00:00"/>
    <s v="R02"/>
    <x v="1"/>
    <s v="T05"/>
    <s v="REP05"/>
    <s v="P002"/>
    <n v="130"/>
    <n v="97414.5"/>
    <n v="4579.2700000000004"/>
    <n v="584.63"/>
    <n v="92250.6"/>
    <n v="99619.3"/>
    <x v="1"/>
    <x v="1"/>
    <n v="4"/>
    <n v="709.62"/>
    <n v="0.92603140154568442"/>
    <n v="-7368.6999999999971"/>
    <n v="7368.6999999999971"/>
  </r>
  <r>
    <s v="S00739"/>
    <d v="2025-04-01T00:00:00"/>
    <s v="R02"/>
    <x v="1"/>
    <s v="T05"/>
    <s v="REP05"/>
    <s v="P003"/>
    <n v="155"/>
    <n v="94925.52"/>
    <n v="3583.53"/>
    <n v="662.9"/>
    <n v="90679.09"/>
    <n v="95497.77"/>
    <x v="2"/>
    <x v="1"/>
    <n v="4"/>
    <n v="585.02638709677422"/>
    <n v="0.94954143955403347"/>
    <n v="-4818.6800000000076"/>
    <n v="4818.6800000000076"/>
  </r>
  <r>
    <s v="S00740"/>
    <d v="2025-04-01T00:00:00"/>
    <s v="R02"/>
    <x v="1"/>
    <s v="T05"/>
    <s v="REP05"/>
    <s v="P004"/>
    <n v="81"/>
    <n v="88774.71"/>
    <n v="3455.68"/>
    <n v="608.54999999999995"/>
    <n v="84710.48"/>
    <n v="91532.62"/>
    <x v="3"/>
    <x v="1"/>
    <n v="4"/>
    <n v="1045.8083950617283"/>
    <n v="0.92546766387764279"/>
    <n v="-6822.1399999999994"/>
    <n v="6822.1399999999994"/>
  </r>
  <r>
    <s v="S00741"/>
    <d v="2025-04-01T00:00:00"/>
    <s v="R02"/>
    <x v="1"/>
    <s v="T06"/>
    <s v="REP06"/>
    <s v="P001"/>
    <n v="112"/>
    <n v="108255.05"/>
    <n v="7244.09"/>
    <n v="695.05"/>
    <n v="100315.9"/>
    <n v="126610.99"/>
    <x v="0"/>
    <x v="1"/>
    <n v="4"/>
    <n v="895.67767857142849"/>
    <n v="0.79231589611612696"/>
    <n v="-26295.090000000011"/>
    <n v="26295.090000000011"/>
  </r>
  <r>
    <s v="S00742"/>
    <d v="2025-04-01T00:00:00"/>
    <s v="R02"/>
    <x v="1"/>
    <s v="T06"/>
    <s v="REP06"/>
    <s v="P002"/>
    <n v="148"/>
    <n v="111459.76"/>
    <n v="4177.3999999999996"/>
    <n v="1449.92"/>
    <n v="105832.43"/>
    <n v="115076.83"/>
    <x v="1"/>
    <x v="1"/>
    <n v="4"/>
    <n v="715.08398648648642"/>
    <n v="0.91966758208407362"/>
    <n v="-9244.4000000000087"/>
    <n v="9244.4000000000087"/>
  </r>
  <r>
    <s v="S00743"/>
    <d v="2025-04-01T00:00:00"/>
    <s v="R02"/>
    <x v="1"/>
    <s v="T06"/>
    <s v="REP06"/>
    <s v="P003"/>
    <n v="174"/>
    <n v="109413.63"/>
    <n v="7760.09"/>
    <n v="451.65"/>
    <n v="101201.89"/>
    <n v="106060.26"/>
    <x v="2"/>
    <x v="1"/>
    <n v="4"/>
    <n v="581.62005747126432"/>
    <n v="0.95419236196479251"/>
    <n v="-4858.3699999999953"/>
    <n v="4858.3699999999953"/>
  </r>
  <r>
    <s v="S00744"/>
    <d v="2025-04-01T00:00:00"/>
    <s v="R02"/>
    <x v="1"/>
    <s v="T06"/>
    <s v="REP06"/>
    <s v="P004"/>
    <n v="100"/>
    <n v="109973.2"/>
    <n v="6171.39"/>
    <n v="953.97"/>
    <n v="102847.83"/>
    <n v="102370.73"/>
    <x v="3"/>
    <x v="1"/>
    <n v="4"/>
    <n v="1028.4783"/>
    <n v="1.0046605118474783"/>
    <n v="477.10000000000582"/>
    <n v="0"/>
  </r>
  <r>
    <s v="S00745"/>
    <d v="2025-04-01T00:00:00"/>
    <s v="R03"/>
    <x v="2"/>
    <s v="T07"/>
    <s v="REP07"/>
    <s v="P001"/>
    <n v="125"/>
    <n v="123971.85"/>
    <n v="8271.52"/>
    <n v="761.8"/>
    <n v="114938.53"/>
    <n v="126633.94"/>
    <x v="0"/>
    <x v="1"/>
    <n v="4"/>
    <n v="919.50824"/>
    <n v="0.90764395390366903"/>
    <n v="-11695.410000000003"/>
    <n v="11695.410000000003"/>
  </r>
  <r>
    <s v="S00746"/>
    <d v="2025-04-01T00:00:00"/>
    <s v="R03"/>
    <x v="2"/>
    <s v="T07"/>
    <s v="REP07"/>
    <s v="P002"/>
    <n v="169"/>
    <n v="127989.66"/>
    <n v="9029.9599999999991"/>
    <n v="594.70000000000005"/>
    <n v="118365"/>
    <n v="113534.71"/>
    <x v="1"/>
    <x v="1"/>
    <n v="4"/>
    <n v="700.38461538461536"/>
    <n v="1.0425446103662923"/>
    <n v="4830.2899999999936"/>
    <n v="0"/>
  </r>
  <r>
    <s v="S00747"/>
    <d v="2025-04-01T00:00:00"/>
    <s v="R03"/>
    <x v="2"/>
    <s v="T07"/>
    <s v="REP07"/>
    <s v="P003"/>
    <n v="185"/>
    <n v="115685.58"/>
    <n v="6749.62"/>
    <n v="1041.44"/>
    <n v="107894.52"/>
    <n v="105134.79"/>
    <x v="2"/>
    <x v="1"/>
    <n v="4"/>
    <n v="583.21362162162166"/>
    <n v="1.026249446068233"/>
    <n v="2759.7300000000105"/>
    <n v="0"/>
  </r>
  <r>
    <s v="S00748"/>
    <d v="2025-04-01T00:00:00"/>
    <s v="R03"/>
    <x v="2"/>
    <s v="T07"/>
    <s v="REP07"/>
    <s v="P004"/>
    <n v="103"/>
    <n v="114716.24"/>
    <n v="4784.33"/>
    <n v="819.06"/>
    <n v="109112.85"/>
    <n v="102941.43"/>
    <x v="3"/>
    <x v="1"/>
    <n v="4"/>
    <n v="1059.3480582524273"/>
    <n v="1.0599507894926272"/>
    <n v="6171.4200000000128"/>
    <n v="0"/>
  </r>
  <r>
    <s v="S00749"/>
    <d v="2025-04-01T00:00:00"/>
    <s v="R03"/>
    <x v="2"/>
    <s v="T08"/>
    <s v="REP08"/>
    <s v="P001"/>
    <n v="126"/>
    <n v="124366.56"/>
    <n v="6728.92"/>
    <n v="1723.52"/>
    <n v="115914.12"/>
    <n v="125785.5"/>
    <x v="0"/>
    <x v="1"/>
    <n v="4"/>
    <n v="919.95333333333326"/>
    <n v="0.92152211502915671"/>
    <n v="-9871.3800000000047"/>
    <n v="9871.3800000000047"/>
  </r>
  <r>
    <s v="S00750"/>
    <d v="2025-04-01T00:00:00"/>
    <s v="R03"/>
    <x v="2"/>
    <s v="T08"/>
    <s v="REP08"/>
    <s v="P002"/>
    <n v="157"/>
    <n v="119027.13"/>
    <n v="7684.81"/>
    <n v="932"/>
    <n v="110410.33"/>
    <n v="114088.64"/>
    <x v="1"/>
    <x v="1"/>
    <n v="4"/>
    <n v="703.25050955414019"/>
    <n v="0.96775919144973599"/>
    <n v="-3678.3099999999977"/>
    <n v="3678.3099999999977"/>
  </r>
  <r>
    <s v="S00751"/>
    <d v="2025-04-01T00:00:00"/>
    <s v="R03"/>
    <x v="2"/>
    <s v="T08"/>
    <s v="REP08"/>
    <s v="P003"/>
    <n v="180"/>
    <n v="111861.18"/>
    <n v="4046.2"/>
    <n v="693.16"/>
    <n v="107121.82"/>
    <n v="108762.05"/>
    <x v="2"/>
    <x v="1"/>
    <n v="4"/>
    <n v="595.12122222222229"/>
    <n v="0.98491909632082153"/>
    <n v="-1640.2299999999959"/>
    <n v="1640.2299999999959"/>
  </r>
  <r>
    <s v="S00752"/>
    <d v="2025-04-01T00:00:00"/>
    <s v="R03"/>
    <x v="2"/>
    <s v="T08"/>
    <s v="REP08"/>
    <s v="P004"/>
    <n v="102"/>
    <n v="111449.68"/>
    <n v="4792.62"/>
    <n v="1140.3699999999999"/>
    <n v="105516.69"/>
    <n v="103810.78"/>
    <x v="3"/>
    <x v="1"/>
    <n v="4"/>
    <n v="1034.4773529411766"/>
    <n v="1.0164328791287378"/>
    <n v="1705.9100000000035"/>
    <n v="0"/>
  </r>
  <r>
    <s v="S00753"/>
    <d v="2025-04-01T00:00:00"/>
    <s v="R03"/>
    <x v="2"/>
    <s v="T09"/>
    <s v="REP09"/>
    <s v="P001"/>
    <n v="133"/>
    <n v="131281.35999999999"/>
    <n v="5618.52"/>
    <n v="1154.1300000000001"/>
    <n v="124508.71"/>
    <n v="129954.69"/>
    <x v="0"/>
    <x v="1"/>
    <n v="4"/>
    <n v="936.15571428571434"/>
    <n v="0.95809324003620033"/>
    <n v="-5445.9799999999959"/>
    <n v="5445.9799999999959"/>
  </r>
  <r>
    <s v="S00754"/>
    <d v="2025-04-01T00:00:00"/>
    <s v="R03"/>
    <x v="2"/>
    <s v="T09"/>
    <s v="REP09"/>
    <s v="P002"/>
    <n v="162"/>
    <n v="123345.67"/>
    <n v="5650.97"/>
    <n v="1204.5899999999999"/>
    <n v="116490.1"/>
    <n v="116639.54"/>
    <x v="1"/>
    <x v="1"/>
    <n v="4"/>
    <n v="719.07469135802478"/>
    <n v="0.99871878781414958"/>
    <n v="-149.43999999998778"/>
    <n v="149.43999999998778"/>
  </r>
  <r>
    <s v="S00755"/>
    <d v="2025-04-01T00:00:00"/>
    <s v="R03"/>
    <x v="2"/>
    <s v="T09"/>
    <s v="REP09"/>
    <s v="P003"/>
    <n v="182"/>
    <n v="114419.7"/>
    <n v="5932.29"/>
    <n v="561.69000000000005"/>
    <n v="107925.72"/>
    <n v="110264.45"/>
    <x v="2"/>
    <x v="1"/>
    <n v="4"/>
    <n v="592.99846153846158"/>
    <n v="0.97878980940820004"/>
    <n v="-2338.7299999999959"/>
    <n v="2338.7299999999959"/>
  </r>
  <r>
    <s v="S00756"/>
    <d v="2025-04-01T00:00:00"/>
    <s v="R03"/>
    <x v="2"/>
    <s v="T09"/>
    <s v="REP09"/>
    <s v="P004"/>
    <n v="106"/>
    <n v="115418.73"/>
    <n v="6932.51"/>
    <n v="950.06"/>
    <n v="107536.16"/>
    <n v="105234.62"/>
    <x v="3"/>
    <x v="1"/>
    <n v="4"/>
    <n v="1014.4920754716982"/>
    <n v="1.0218705593273394"/>
    <n v="2301.5400000000081"/>
    <n v="0"/>
  </r>
  <r>
    <s v="S00757"/>
    <d v="2025-04-01T00:00:00"/>
    <s v="R04"/>
    <x v="3"/>
    <s v="T10"/>
    <s v="REP10"/>
    <s v="P001"/>
    <n v="108"/>
    <n v="104954.18"/>
    <n v="7724.37"/>
    <n v="896.63"/>
    <n v="96333.18"/>
    <n v="101493.06"/>
    <x v="0"/>
    <x v="1"/>
    <n v="4"/>
    <n v="891.97388888888884"/>
    <n v="0.94916026770697415"/>
    <n v="-5159.8800000000047"/>
    <n v="5159.8800000000047"/>
  </r>
  <r>
    <s v="S00758"/>
    <d v="2025-04-01T00:00:00"/>
    <s v="R04"/>
    <x v="3"/>
    <s v="T10"/>
    <s v="REP10"/>
    <s v="P002"/>
    <n v="124"/>
    <n v="92843.33"/>
    <n v="3981.08"/>
    <n v="790.06"/>
    <n v="88072.19"/>
    <n v="93073.66"/>
    <x v="1"/>
    <x v="1"/>
    <n v="4"/>
    <n v="710.2595967741936"/>
    <n v="0.9462633144543795"/>
    <n v="-5001.4700000000012"/>
    <n v="5001.4700000000012"/>
  </r>
  <r>
    <s v="S00759"/>
    <d v="2025-04-01T00:00:00"/>
    <s v="R04"/>
    <x v="3"/>
    <s v="T10"/>
    <s v="REP10"/>
    <s v="P003"/>
    <n v="142"/>
    <n v="87688.82"/>
    <n v="5361.71"/>
    <n v="352.16"/>
    <n v="81974.94"/>
    <n v="87734.45"/>
    <x v="2"/>
    <x v="1"/>
    <n v="4"/>
    <n v="577.28830985915499"/>
    <n v="0.93435292521922697"/>
    <n v="-5759.5099999999948"/>
    <n v="5759.5099999999948"/>
  </r>
  <r>
    <s v="S00760"/>
    <d v="2025-04-01T00:00:00"/>
    <s v="R04"/>
    <x v="3"/>
    <s v="T10"/>
    <s v="REP10"/>
    <s v="P004"/>
    <n v="83"/>
    <n v="91781.04"/>
    <n v="5801.92"/>
    <n v="876.55"/>
    <n v="85102.58"/>
    <n v="83359.8"/>
    <x v="3"/>
    <x v="1"/>
    <n v="4"/>
    <n v="1025.3322891566265"/>
    <n v="1.0209067200257198"/>
    <n v="1742.7799999999988"/>
    <n v="0"/>
  </r>
  <r>
    <s v="S00761"/>
    <d v="2025-04-01T00:00:00"/>
    <s v="R04"/>
    <x v="3"/>
    <s v="T11"/>
    <s v="REP11"/>
    <s v="P001"/>
    <n v="105"/>
    <n v="101493.21"/>
    <n v="5362.64"/>
    <n v="458.93"/>
    <n v="95671.64"/>
    <n v="102496.47"/>
    <x v="0"/>
    <x v="1"/>
    <n v="4"/>
    <n v="911.15847619047622"/>
    <n v="0.93341399952603243"/>
    <n v="-6824.8300000000017"/>
    <n v="6824.8300000000017"/>
  </r>
  <r>
    <s v="S00762"/>
    <d v="2025-04-01T00:00:00"/>
    <s v="R04"/>
    <x v="3"/>
    <s v="T11"/>
    <s v="REP11"/>
    <s v="P002"/>
    <n v="134"/>
    <n v="103324.18"/>
    <n v="7341.99"/>
    <n v="589.19000000000005"/>
    <n v="95393"/>
    <n v="91439.25"/>
    <x v="1"/>
    <x v="1"/>
    <n v="4"/>
    <n v="711.88805970149258"/>
    <n v="1.0432390904343594"/>
    <n v="3953.75"/>
    <n v="0"/>
  </r>
  <r>
    <s v="S00763"/>
    <d v="2025-04-01T00:00:00"/>
    <s v="R04"/>
    <x v="3"/>
    <s v="T11"/>
    <s v="REP11"/>
    <s v="P003"/>
    <n v="151"/>
    <n v="94727.58"/>
    <n v="5115.4399999999996"/>
    <n v="872.18"/>
    <n v="88739.96"/>
    <n v="85414.61"/>
    <x v="2"/>
    <x v="1"/>
    <n v="4"/>
    <n v="587.68185430463575"/>
    <n v="1.0389318642325944"/>
    <n v="3325.3500000000058"/>
    <n v="0"/>
  </r>
  <r>
    <s v="S00764"/>
    <d v="2025-04-01T00:00:00"/>
    <s v="R04"/>
    <x v="3"/>
    <s v="T11"/>
    <s v="REP11"/>
    <s v="P004"/>
    <n v="78"/>
    <n v="85361.14"/>
    <n v="3694.32"/>
    <n v="756.81"/>
    <n v="80910.02"/>
    <n v="83974.94"/>
    <x v="3"/>
    <x v="1"/>
    <n v="4"/>
    <n v="1037.3079487179489"/>
    <n v="0.96350196856347858"/>
    <n v="-3064.9199999999983"/>
    <n v="3064.9199999999983"/>
  </r>
  <r>
    <s v="S00765"/>
    <d v="2025-04-01T00:00:00"/>
    <s v="R04"/>
    <x v="3"/>
    <s v="T12"/>
    <s v="REP12"/>
    <s v="P001"/>
    <n v="121"/>
    <n v="117313.7"/>
    <n v="6976.31"/>
    <n v="1595.44"/>
    <n v="108741.95"/>
    <n v="115544.54"/>
    <x v="0"/>
    <x v="1"/>
    <n v="4"/>
    <n v="898.69380165289249"/>
    <n v="0.94112582039791759"/>
    <n v="-6802.5899999999965"/>
    <n v="6802.5899999999965"/>
  </r>
  <r>
    <s v="S00766"/>
    <d v="2025-04-01T00:00:00"/>
    <s v="R04"/>
    <x v="3"/>
    <s v="T12"/>
    <s v="REP12"/>
    <s v="P002"/>
    <n v="140"/>
    <n v="105768.76"/>
    <n v="5660.8"/>
    <n v="1419.17"/>
    <n v="98688.79"/>
    <n v="103352.13"/>
    <x v="1"/>
    <x v="1"/>
    <n v="4"/>
    <n v="704.9199285714285"/>
    <n v="0.95487911086109201"/>
    <n v="-4663.3400000000111"/>
    <n v="4663.3400000000111"/>
  </r>
  <r>
    <s v="S00767"/>
    <d v="2025-04-01T00:00:00"/>
    <s v="R04"/>
    <x v="3"/>
    <s v="T12"/>
    <s v="REP12"/>
    <s v="P003"/>
    <n v="167"/>
    <n v="102860.25"/>
    <n v="7566.5"/>
    <n v="421.62"/>
    <n v="94872.13"/>
    <n v="97778.83"/>
    <x v="2"/>
    <x v="1"/>
    <n v="4"/>
    <n v="568.09658682634733"/>
    <n v="0.97027270626985418"/>
    <n v="-2906.6999999999971"/>
    <n v="2906.6999999999971"/>
  </r>
  <r>
    <s v="S00768"/>
    <d v="2025-04-01T00:00:00"/>
    <s v="R04"/>
    <x v="3"/>
    <s v="T12"/>
    <s v="REP12"/>
    <s v="P004"/>
    <n v="93"/>
    <n v="102435.86"/>
    <n v="5826.1"/>
    <n v="1005.31"/>
    <n v="95604.45"/>
    <n v="94541.24"/>
    <x v="3"/>
    <x v="1"/>
    <n v="4"/>
    <n v="1028.0048387096774"/>
    <n v="1.0112459916963221"/>
    <n v="1063.2099999999919"/>
    <n v="0"/>
  </r>
  <r>
    <s v="S00769"/>
    <d v="2025-05-01T00:00:00"/>
    <s v="R01"/>
    <x v="0"/>
    <s v="T01"/>
    <s v="REP01"/>
    <s v="P001"/>
    <n v="160"/>
    <n v="155709.68"/>
    <n v="8186.92"/>
    <n v="1930.76"/>
    <n v="145592"/>
    <n v="156681.18"/>
    <x v="0"/>
    <x v="1"/>
    <n v="5"/>
    <n v="909.95"/>
    <n v="0.92922455651661551"/>
    <n v="-11089.179999999993"/>
    <n v="11089.179999999993"/>
  </r>
  <r>
    <s v="S00770"/>
    <d v="2025-05-01T00:00:00"/>
    <s v="R01"/>
    <x v="0"/>
    <s v="T01"/>
    <s v="REP01"/>
    <s v="P002"/>
    <n v="207"/>
    <n v="156115.35"/>
    <n v="9946.2199999999993"/>
    <n v="951.17"/>
    <n v="145217.97"/>
    <n v="144539.21"/>
    <x v="1"/>
    <x v="1"/>
    <n v="5"/>
    <n v="701.53608695652179"/>
    <n v="1.0046960267736347"/>
    <n v="678.76000000000931"/>
    <n v="0"/>
  </r>
  <r>
    <s v="S00771"/>
    <d v="2025-05-01T00:00:00"/>
    <s v="R01"/>
    <x v="0"/>
    <s v="T01"/>
    <s v="REP01"/>
    <s v="P003"/>
    <n v="220"/>
    <n v="137337.15"/>
    <n v="9392.33"/>
    <n v="1033.32"/>
    <n v="126911.5"/>
    <n v="134231.57"/>
    <x v="2"/>
    <x v="1"/>
    <n v="5"/>
    <n v="576.87045454545455"/>
    <n v="0.94546685254444984"/>
    <n v="-7320.070000000007"/>
    <n v="7320.070000000007"/>
  </r>
  <r>
    <s v="S00772"/>
    <d v="2025-05-01T00:00:00"/>
    <s v="R01"/>
    <x v="0"/>
    <s v="T01"/>
    <s v="REP01"/>
    <s v="P004"/>
    <n v="130"/>
    <n v="141388.24"/>
    <n v="7535.93"/>
    <n v="825.85"/>
    <n v="133026.47"/>
    <n v="128144.89"/>
    <x v="3"/>
    <x v="1"/>
    <n v="5"/>
    <n v="1023.2805384615385"/>
    <n v="1.0380942228753718"/>
    <n v="4881.5800000000017"/>
    <n v="0"/>
  </r>
  <r>
    <s v="S00773"/>
    <d v="2025-05-01T00:00:00"/>
    <s v="R01"/>
    <x v="0"/>
    <s v="T02"/>
    <s v="REP02"/>
    <s v="P001"/>
    <n v="175"/>
    <n v="173152.07"/>
    <n v="8549.5499999999993"/>
    <n v="931.65"/>
    <n v="163670.85999999999"/>
    <n v="159368.29999999999"/>
    <x v="0"/>
    <x v="1"/>
    <n v="5"/>
    <n v="935.26205714285709"/>
    <n v="1.0269975898594639"/>
    <n v="4302.5599999999977"/>
    <n v="0"/>
  </r>
  <r>
    <s v="S00774"/>
    <d v="2025-05-01T00:00:00"/>
    <s v="R01"/>
    <x v="0"/>
    <s v="T02"/>
    <s v="REP02"/>
    <s v="P002"/>
    <n v="202"/>
    <n v="154100.04999999999"/>
    <n v="5664.77"/>
    <n v="784.78"/>
    <n v="147650.51"/>
    <n v="143087.57999999999"/>
    <x v="1"/>
    <x v="1"/>
    <n v="5"/>
    <n v="730.94311881188128"/>
    <n v="1.0318890710151085"/>
    <n v="4562.9300000000221"/>
    <n v="0"/>
  </r>
  <r>
    <s v="S00775"/>
    <d v="2025-05-01T00:00:00"/>
    <s v="R01"/>
    <x v="0"/>
    <s v="T02"/>
    <s v="REP02"/>
    <s v="P003"/>
    <n v="232"/>
    <n v="142686.97"/>
    <n v="8599.11"/>
    <n v="1905.05"/>
    <n v="132182.82"/>
    <n v="136694.60999999999"/>
    <x v="2"/>
    <x v="1"/>
    <n v="5"/>
    <n v="569.7535344827586"/>
    <n v="0.96699365102983958"/>
    <n v="-4511.789999999979"/>
    <n v="4511.789999999979"/>
  </r>
  <r>
    <s v="S00776"/>
    <d v="2025-05-01T00:00:00"/>
    <s v="R01"/>
    <x v="0"/>
    <s v="T02"/>
    <s v="REP02"/>
    <s v="P004"/>
    <n v="128"/>
    <n v="140737.85"/>
    <n v="7135.13"/>
    <n v="633.54999999999995"/>
    <n v="132969.18"/>
    <n v="129487.78"/>
    <x v="3"/>
    <x v="1"/>
    <n v="5"/>
    <n v="1038.8217187499999"/>
    <n v="1.0268859347190908"/>
    <n v="3481.3999999999942"/>
    <n v="0"/>
  </r>
  <r>
    <s v="S00777"/>
    <d v="2025-05-01T00:00:00"/>
    <s v="R01"/>
    <x v="0"/>
    <s v="T03"/>
    <s v="REP03"/>
    <s v="P001"/>
    <n v="184"/>
    <n v="180388.38"/>
    <n v="6349.47"/>
    <n v="1626.29"/>
    <n v="172412.62"/>
    <n v="173755.34"/>
    <x v="0"/>
    <x v="1"/>
    <n v="5"/>
    <n v="937.02510869565219"/>
    <n v="0.99227235260798319"/>
    <n v="-1342.7200000000012"/>
    <n v="1342.7200000000012"/>
  </r>
  <r>
    <s v="S00778"/>
    <d v="2025-05-01T00:00:00"/>
    <s v="R01"/>
    <x v="0"/>
    <s v="T03"/>
    <s v="REP03"/>
    <s v="P002"/>
    <n v="231"/>
    <n v="173591.73"/>
    <n v="6150.78"/>
    <n v="1942.91"/>
    <n v="165498.04"/>
    <n v="157400.53"/>
    <x v="1"/>
    <x v="1"/>
    <n v="5"/>
    <n v="716.44173160173159"/>
    <n v="1.0514452524397473"/>
    <n v="8097.5100000000093"/>
    <n v="0"/>
  </r>
  <r>
    <s v="S00779"/>
    <d v="2025-05-01T00:00:00"/>
    <s v="R01"/>
    <x v="0"/>
    <s v="T03"/>
    <s v="REP03"/>
    <s v="P003"/>
    <n v="245"/>
    <n v="154007.28"/>
    <n v="7075.68"/>
    <n v="2032.35"/>
    <n v="144899.24"/>
    <n v="147583.07999999999"/>
    <x v="2"/>
    <x v="1"/>
    <n v="5"/>
    <n v="591.42546938775502"/>
    <n v="0.98181471751368787"/>
    <n v="-2683.8399999999965"/>
    <n v="2683.8399999999965"/>
  </r>
  <r>
    <s v="S00780"/>
    <d v="2025-05-01T00:00:00"/>
    <s v="R01"/>
    <x v="0"/>
    <s v="T03"/>
    <s v="REP03"/>
    <s v="P004"/>
    <n v="137"/>
    <n v="152614.76"/>
    <n v="10515.91"/>
    <n v="1721.95"/>
    <n v="140376.91"/>
    <n v="145362.54"/>
    <x v="3"/>
    <x v="1"/>
    <n v="5"/>
    <n v="1024.6489781021899"/>
    <n v="0.96570209904147242"/>
    <n v="-4985.6300000000047"/>
    <n v="4985.6300000000047"/>
  </r>
  <r>
    <s v="S00781"/>
    <d v="2025-05-01T00:00:00"/>
    <s v="R02"/>
    <x v="1"/>
    <s v="T04"/>
    <s v="REP04"/>
    <s v="P001"/>
    <n v="110"/>
    <n v="108200.56"/>
    <n v="4542.1899999999996"/>
    <n v="787.5"/>
    <n v="102870.86"/>
    <n v="127792.17"/>
    <x v="0"/>
    <x v="1"/>
    <n v="5"/>
    <n v="935.1896363636364"/>
    <n v="0.80498562627115577"/>
    <n v="-24921.309999999998"/>
    <n v="24921.309999999998"/>
  </r>
  <r>
    <s v="S00782"/>
    <d v="2025-05-01T00:00:00"/>
    <s v="R02"/>
    <x v="1"/>
    <s v="T04"/>
    <s v="REP04"/>
    <s v="P002"/>
    <n v="164"/>
    <n v="125265.45"/>
    <n v="7528.87"/>
    <n v="1259.33"/>
    <n v="116477.26"/>
    <n v="113605.52"/>
    <x v="1"/>
    <x v="1"/>
    <n v="5"/>
    <n v="710.22719512195124"/>
    <n v="1.0252781731028562"/>
    <n v="2871.7399999999907"/>
    <n v="0"/>
  </r>
  <r>
    <s v="S00783"/>
    <d v="2025-05-01T00:00:00"/>
    <s v="R02"/>
    <x v="1"/>
    <s v="T04"/>
    <s v="REP04"/>
    <s v="P003"/>
    <n v="175"/>
    <n v="108768.02"/>
    <n v="6503.58"/>
    <n v="813.82"/>
    <n v="101450.61"/>
    <n v="107513.46"/>
    <x v="2"/>
    <x v="1"/>
    <n v="5"/>
    <n v="579.71777142857138"/>
    <n v="0.94360845609470656"/>
    <n v="-6062.8500000000058"/>
    <n v="6062.8500000000058"/>
  </r>
  <r>
    <s v="S00784"/>
    <d v="2025-05-01T00:00:00"/>
    <s v="R02"/>
    <x v="1"/>
    <s v="T04"/>
    <s v="REP04"/>
    <s v="P004"/>
    <n v="98"/>
    <n v="109145.74"/>
    <n v="7628.27"/>
    <n v="1207.21"/>
    <n v="100310.26"/>
    <n v="105557.61"/>
    <x v="3"/>
    <x v="1"/>
    <n v="5"/>
    <n v="1023.574081632653"/>
    <n v="0.95028923068644688"/>
    <n v="-5247.3500000000058"/>
    <n v="5247.3500000000058"/>
  </r>
  <r>
    <s v="S00785"/>
    <d v="2025-05-01T00:00:00"/>
    <s v="R02"/>
    <x v="1"/>
    <s v="T05"/>
    <s v="REP05"/>
    <s v="P001"/>
    <n v="101"/>
    <n v="99114.73"/>
    <n v="4749.79"/>
    <n v="787.23"/>
    <n v="93577.71"/>
    <n v="112503.57"/>
    <x v="0"/>
    <x v="1"/>
    <n v="5"/>
    <n v="926.51198019801984"/>
    <n v="0.83177547165836607"/>
    <n v="-18925.86"/>
    <n v="18925.86"/>
  </r>
  <r>
    <s v="S00786"/>
    <d v="2025-05-01T00:00:00"/>
    <s v="R02"/>
    <x v="1"/>
    <s v="T05"/>
    <s v="REP05"/>
    <s v="P002"/>
    <n v="131"/>
    <n v="100380.81"/>
    <n v="3584.31"/>
    <n v="944.36"/>
    <n v="95852.14"/>
    <n v="101355.27"/>
    <x v="1"/>
    <x v="1"/>
    <n v="5"/>
    <n v="731.69572519083965"/>
    <n v="0.94570454994594755"/>
    <n v="-5503.1300000000047"/>
    <n v="5503.1300000000047"/>
  </r>
  <r>
    <s v="S00787"/>
    <d v="2025-05-01T00:00:00"/>
    <s v="R02"/>
    <x v="1"/>
    <s v="T05"/>
    <s v="REP05"/>
    <s v="P003"/>
    <n v="151"/>
    <n v="94108.84"/>
    <n v="3955.9"/>
    <n v="558.49"/>
    <n v="89594.45"/>
    <n v="95281.74"/>
    <x v="2"/>
    <x v="1"/>
    <n v="5"/>
    <n v="593.34072847682114"/>
    <n v="0.94031080876566686"/>
    <n v="-5687.2900000000081"/>
    <n v="5687.2900000000081"/>
  </r>
  <r>
    <s v="S00788"/>
    <d v="2025-05-01T00:00:00"/>
    <s v="R02"/>
    <x v="1"/>
    <s v="T05"/>
    <s v="REP05"/>
    <s v="P004"/>
    <n v="87"/>
    <n v="94508.71"/>
    <n v="6226.78"/>
    <n v="652.69000000000005"/>
    <n v="87629.24"/>
    <n v="91640.11"/>
    <x v="3"/>
    <x v="1"/>
    <n v="5"/>
    <n v="1007.232643678161"/>
    <n v="0.95623237466650801"/>
    <n v="-4010.8699999999953"/>
    <n v="4010.8699999999953"/>
  </r>
  <r>
    <s v="S00789"/>
    <d v="2025-05-01T00:00:00"/>
    <s v="R02"/>
    <x v="1"/>
    <s v="T06"/>
    <s v="REP06"/>
    <s v="P001"/>
    <n v="109"/>
    <n v="105521.68"/>
    <n v="7536.46"/>
    <n v="473.76"/>
    <n v="97511.46"/>
    <n v="127555.53"/>
    <x v="0"/>
    <x v="1"/>
    <n v="5"/>
    <n v="894.6005504587157"/>
    <n v="0.76446281866415366"/>
    <n v="-30044.069999999992"/>
    <n v="30044.069999999992"/>
  </r>
  <r>
    <s v="S00790"/>
    <d v="2025-05-01T00:00:00"/>
    <s v="R02"/>
    <x v="1"/>
    <s v="T06"/>
    <s v="REP06"/>
    <s v="P002"/>
    <n v="162"/>
    <n v="121387.35"/>
    <n v="6279.4"/>
    <n v="1653.13"/>
    <n v="113454.83"/>
    <n v="113835.34"/>
    <x v="1"/>
    <x v="1"/>
    <n v="5"/>
    <n v="700.33845679012347"/>
    <n v="0.99665736492727131"/>
    <n v="-380.50999999999476"/>
    <n v="380.50999999999476"/>
  </r>
  <r>
    <s v="S00791"/>
    <d v="2025-05-01T00:00:00"/>
    <s v="R02"/>
    <x v="1"/>
    <s v="T06"/>
    <s v="REP06"/>
    <s v="P003"/>
    <n v="174"/>
    <n v="108036"/>
    <n v="5407"/>
    <n v="755.75"/>
    <n v="101873.25"/>
    <n v="107268.46"/>
    <x v="2"/>
    <x v="1"/>
    <n v="5"/>
    <n v="585.47844827586209"/>
    <n v="0.9497036687205167"/>
    <n v="-5395.2100000000064"/>
    <n v="5395.2100000000064"/>
  </r>
  <r>
    <s v="S00792"/>
    <d v="2025-05-01T00:00:00"/>
    <s v="R02"/>
    <x v="1"/>
    <s v="T06"/>
    <s v="REP06"/>
    <s v="P004"/>
    <n v="92"/>
    <n v="100722.03"/>
    <n v="5458.4"/>
    <n v="509.64"/>
    <n v="94753.99"/>
    <n v="102699.91"/>
    <x v="3"/>
    <x v="1"/>
    <n v="5"/>
    <n v="1029.9346739130435"/>
    <n v="0.92262972771835927"/>
    <n v="-7945.9199999999983"/>
    <n v="7945.9199999999983"/>
  </r>
  <r>
    <s v="S00793"/>
    <d v="2025-05-01T00:00:00"/>
    <s v="R03"/>
    <x v="2"/>
    <s v="T07"/>
    <s v="REP07"/>
    <s v="P001"/>
    <n v="135"/>
    <n v="130379.31"/>
    <n v="4662.9799999999996"/>
    <n v="1362.81"/>
    <n v="124353.52"/>
    <n v="127199.83"/>
    <x v="0"/>
    <x v="1"/>
    <n v="5"/>
    <n v="921.13718518518522"/>
    <n v="0.97762331915066236"/>
    <n v="-2846.3099999999977"/>
    <n v="2846.3099999999977"/>
  </r>
  <r>
    <s v="S00794"/>
    <d v="2025-05-01T00:00:00"/>
    <s v="R03"/>
    <x v="2"/>
    <s v="T07"/>
    <s v="REP07"/>
    <s v="P002"/>
    <n v="164"/>
    <n v="125353.23"/>
    <n v="6083.9"/>
    <n v="684.91"/>
    <n v="118584.43"/>
    <n v="113091.78"/>
    <x v="1"/>
    <x v="1"/>
    <n v="5"/>
    <n v="723.07579268292682"/>
    <n v="1.0485680745320305"/>
    <n v="5492.6499999999942"/>
    <n v="0"/>
  </r>
  <r>
    <s v="S00795"/>
    <d v="2025-05-01T00:00:00"/>
    <s v="R03"/>
    <x v="2"/>
    <s v="T07"/>
    <s v="REP07"/>
    <s v="P003"/>
    <n v="188"/>
    <n v="116808.25"/>
    <n v="4509.45"/>
    <n v="947.05"/>
    <n v="111351.75"/>
    <n v="107158.97"/>
    <x v="2"/>
    <x v="1"/>
    <n v="5"/>
    <n v="592.29654255319144"/>
    <n v="1.0391267291949522"/>
    <n v="4192.7799999999988"/>
    <n v="0"/>
  </r>
  <r>
    <s v="S00796"/>
    <d v="2025-05-01T00:00:00"/>
    <s v="R03"/>
    <x v="2"/>
    <s v="T07"/>
    <s v="REP07"/>
    <s v="P004"/>
    <n v="103"/>
    <n v="114218.98"/>
    <n v="6366.41"/>
    <n v="1521.76"/>
    <n v="106330.81"/>
    <n v="105214"/>
    <x v="3"/>
    <x v="1"/>
    <n v="5"/>
    <n v="1032.3379611650485"/>
    <n v="1.0106146520425039"/>
    <n v="1116.8099999999977"/>
    <n v="0"/>
  </r>
  <r>
    <s v="S00797"/>
    <d v="2025-05-01T00:00:00"/>
    <s v="R03"/>
    <x v="2"/>
    <s v="T08"/>
    <s v="REP08"/>
    <s v="P001"/>
    <n v="137"/>
    <n v="134080.51999999999"/>
    <n v="6786.79"/>
    <n v="1293.8599999999999"/>
    <n v="125999.87"/>
    <n v="126301.51"/>
    <x v="0"/>
    <x v="1"/>
    <n v="5"/>
    <n v="919.70708029197078"/>
    <n v="0.99761174668458041"/>
    <n v="-301.63999999999942"/>
    <n v="301.63999999999942"/>
  </r>
  <r>
    <s v="S00798"/>
    <d v="2025-05-01T00:00:00"/>
    <s v="R03"/>
    <x v="2"/>
    <s v="T08"/>
    <s v="REP08"/>
    <s v="P002"/>
    <n v="160"/>
    <n v="122559.11"/>
    <n v="8027.57"/>
    <n v="1412.92"/>
    <n v="113118.63"/>
    <n v="116094.24"/>
    <x v="1"/>
    <x v="1"/>
    <n v="5"/>
    <n v="706.99143750000007"/>
    <n v="0.97436901262284847"/>
    <n v="-2975.6100000000006"/>
    <n v="2975.6100000000006"/>
  </r>
  <r>
    <s v="S00799"/>
    <d v="2025-05-01T00:00:00"/>
    <s v="R03"/>
    <x v="2"/>
    <s v="T08"/>
    <s v="REP08"/>
    <s v="P003"/>
    <n v="189"/>
    <n v="118870.53"/>
    <n v="6222.25"/>
    <n v="707.42"/>
    <n v="111940.86"/>
    <n v="109498.75"/>
    <x v="2"/>
    <x v="1"/>
    <n v="5"/>
    <n v="592.27968253968254"/>
    <n v="1.0223026290254456"/>
    <n v="2442.1100000000006"/>
    <n v="0"/>
  </r>
  <r>
    <s v="S00800"/>
    <d v="2025-05-01T00:00:00"/>
    <s v="R03"/>
    <x v="2"/>
    <s v="T08"/>
    <s v="REP08"/>
    <s v="P004"/>
    <n v="98"/>
    <n v="108835.79"/>
    <n v="4466.8599999999997"/>
    <n v="1378.44"/>
    <n v="102990.49"/>
    <n v="105366.13"/>
    <x v="3"/>
    <x v="1"/>
    <n v="5"/>
    <n v="1050.9233673469389"/>
    <n v="0.97745347579910169"/>
    <n v="-2375.6399999999994"/>
    <n v="2375.6399999999994"/>
  </r>
  <r>
    <s v="S00801"/>
    <d v="2025-05-01T00:00:00"/>
    <s v="R03"/>
    <x v="2"/>
    <s v="T09"/>
    <s v="REP09"/>
    <s v="P001"/>
    <n v="141"/>
    <n v="138490.35999999999"/>
    <n v="6571.45"/>
    <n v="1277.75"/>
    <n v="130641.16"/>
    <n v="129995.38"/>
    <x v="0"/>
    <x v="1"/>
    <n v="5"/>
    <n v="926.53304964539007"/>
    <n v="1.0049677150064871"/>
    <n v="645.77999999999884"/>
    <n v="0"/>
  </r>
  <r>
    <s v="S00802"/>
    <d v="2025-05-01T00:00:00"/>
    <s v="R03"/>
    <x v="2"/>
    <s v="T09"/>
    <s v="REP09"/>
    <s v="P002"/>
    <n v="165"/>
    <n v="126829.82"/>
    <n v="5112.21"/>
    <n v="1701.19"/>
    <n v="120016.42"/>
    <n v="119249.1"/>
    <x v="1"/>
    <x v="1"/>
    <n v="5"/>
    <n v="727.37224242424236"/>
    <n v="1.0064345978292497"/>
    <n v="767.31999999999243"/>
    <n v="0"/>
  </r>
  <r>
    <s v="S00803"/>
    <d v="2025-05-01T00:00:00"/>
    <s v="R03"/>
    <x v="2"/>
    <s v="T09"/>
    <s v="REP09"/>
    <s v="P003"/>
    <n v="193"/>
    <n v="120916.21"/>
    <n v="8822.0499999999993"/>
    <n v="1167.8399999999999"/>
    <n v="110926.32"/>
    <n v="110591.4"/>
    <x v="2"/>
    <x v="1"/>
    <n v="5"/>
    <n v="574.74777202072539"/>
    <n v="1.0030284452498115"/>
    <n v="334.92000000001281"/>
    <n v="0"/>
  </r>
  <r>
    <s v="S00804"/>
    <d v="2025-05-01T00:00:00"/>
    <s v="R03"/>
    <x v="2"/>
    <s v="T09"/>
    <s v="REP09"/>
    <s v="P004"/>
    <n v="101"/>
    <n v="110668.97"/>
    <n v="6370.49"/>
    <n v="1148.04"/>
    <n v="103150.44"/>
    <n v="107547.39"/>
    <x v="3"/>
    <x v="1"/>
    <n v="5"/>
    <n v="1021.2914851485149"/>
    <n v="0.95911616265164601"/>
    <n v="-4396.9499999999971"/>
    <n v="4396.9499999999971"/>
  </r>
  <r>
    <s v="S00805"/>
    <d v="2025-05-01T00:00:00"/>
    <s v="R04"/>
    <x v="3"/>
    <s v="T10"/>
    <s v="REP10"/>
    <s v="P001"/>
    <n v="102"/>
    <n v="101311.59"/>
    <n v="5041.46"/>
    <n v="949.46"/>
    <n v="95320.67"/>
    <n v="103431.14"/>
    <x v="0"/>
    <x v="1"/>
    <n v="5"/>
    <n v="934.51637254901959"/>
    <n v="0.92158580094930787"/>
    <n v="-8110.4700000000012"/>
    <n v="8110.4700000000012"/>
  </r>
  <r>
    <s v="S00806"/>
    <d v="2025-05-01T00:00:00"/>
    <s v="R04"/>
    <x v="3"/>
    <s v="T10"/>
    <s v="REP10"/>
    <s v="P002"/>
    <n v="127"/>
    <n v="96530.38"/>
    <n v="4761.05"/>
    <n v="1025.51"/>
    <n v="90743.81"/>
    <n v="93121.68"/>
    <x v="1"/>
    <x v="1"/>
    <n v="5"/>
    <n v="714.51818897637793"/>
    <n v="0.9744649151518745"/>
    <n v="-2377.8699999999953"/>
    <n v="2377.8699999999953"/>
  </r>
  <r>
    <s v="S00807"/>
    <d v="2025-05-01T00:00:00"/>
    <s v="R04"/>
    <x v="3"/>
    <s v="T10"/>
    <s v="REP10"/>
    <s v="P003"/>
    <n v="141"/>
    <n v="88515.92"/>
    <n v="4866.72"/>
    <n v="1063.1400000000001"/>
    <n v="82586.070000000007"/>
    <n v="87797.89"/>
    <x v="2"/>
    <x v="1"/>
    <n v="5"/>
    <n v="585.71680851063832"/>
    <n v="0.94063843675514303"/>
    <n v="-5211.8199999999924"/>
    <n v="5211.8199999999924"/>
  </r>
  <r>
    <s v="S00808"/>
    <d v="2025-05-01T00:00:00"/>
    <s v="R04"/>
    <x v="3"/>
    <s v="T10"/>
    <s v="REP10"/>
    <s v="P004"/>
    <n v="78"/>
    <n v="86171.96"/>
    <n v="3466.91"/>
    <n v="1203.4100000000001"/>
    <n v="81501.64"/>
    <n v="83710.12"/>
    <x v="3"/>
    <x v="1"/>
    <n v="5"/>
    <n v="1044.8928205128204"/>
    <n v="0.97361752676976221"/>
    <n v="-2208.4799999999959"/>
    <n v="2208.4799999999959"/>
  </r>
  <r>
    <s v="S00809"/>
    <d v="2025-05-01T00:00:00"/>
    <s v="R04"/>
    <x v="3"/>
    <s v="T11"/>
    <s v="REP11"/>
    <s v="P001"/>
    <n v="112"/>
    <n v="111083.41"/>
    <n v="5189.82"/>
    <n v="1176.98"/>
    <n v="104716.61"/>
    <n v="103971.34"/>
    <x v="0"/>
    <x v="1"/>
    <n v="5"/>
    <n v="934.9697321428572"/>
    <n v="1.0071680330367965"/>
    <n v="745.27000000000407"/>
    <n v="0"/>
  </r>
  <r>
    <s v="S00810"/>
    <d v="2025-05-01T00:00:00"/>
    <s v="R04"/>
    <x v="3"/>
    <s v="T11"/>
    <s v="REP11"/>
    <s v="P002"/>
    <n v="135"/>
    <n v="101825"/>
    <n v="4489.43"/>
    <n v="1230.1400000000001"/>
    <n v="96105.43"/>
    <n v="94027.91"/>
    <x v="1"/>
    <x v="1"/>
    <n v="5"/>
    <n v="711.892074074074"/>
    <n v="1.0220947163453913"/>
    <n v="2077.5199999999895"/>
    <n v="0"/>
  </r>
  <r>
    <s v="S00811"/>
    <d v="2025-05-01T00:00:00"/>
    <s v="R04"/>
    <x v="3"/>
    <s v="T11"/>
    <s v="REP11"/>
    <s v="P003"/>
    <n v="139"/>
    <n v="86834.98"/>
    <n v="6256.92"/>
    <n v="731.28"/>
    <n v="79846.789999999994"/>
    <n v="86846.28"/>
    <x v="2"/>
    <x v="1"/>
    <n v="5"/>
    <n v="574.43733812949631"/>
    <n v="0.91940368660580507"/>
    <n v="-6999.4900000000052"/>
    <n v="6999.4900000000052"/>
  </r>
  <r>
    <s v="S00812"/>
    <d v="2025-05-01T00:00:00"/>
    <s v="R04"/>
    <x v="3"/>
    <s v="T11"/>
    <s v="REP11"/>
    <s v="P004"/>
    <n v="83"/>
    <n v="90397.89"/>
    <n v="3888.68"/>
    <n v="1051.01"/>
    <n v="85458.19"/>
    <n v="83261.009999999995"/>
    <x v="3"/>
    <x v="1"/>
    <n v="5"/>
    <n v="1029.6167469879517"/>
    <n v="1.0263890625395971"/>
    <n v="2197.1800000000076"/>
    <n v="0"/>
  </r>
  <r>
    <s v="S00813"/>
    <d v="2025-05-01T00:00:00"/>
    <s v="R04"/>
    <x v="3"/>
    <s v="T12"/>
    <s v="REP12"/>
    <s v="P001"/>
    <n v="119"/>
    <n v="117376.14"/>
    <n v="4507.87"/>
    <n v="1128.47"/>
    <n v="111739.79"/>
    <n v="115404.52"/>
    <x v="0"/>
    <x v="1"/>
    <n v="5"/>
    <n v="938.98983193277309"/>
    <n v="0.96824448470475843"/>
    <n v="-3664.7300000000105"/>
    <n v="3664.7300000000105"/>
  </r>
  <r>
    <s v="S00814"/>
    <d v="2025-05-01T00:00:00"/>
    <s v="R04"/>
    <x v="3"/>
    <s v="T12"/>
    <s v="REP12"/>
    <s v="P002"/>
    <n v="140"/>
    <n v="106349.23"/>
    <n v="4825.8599999999997"/>
    <n v="1381.39"/>
    <n v="100141.98"/>
    <n v="104702.35"/>
    <x v="1"/>
    <x v="1"/>
    <n v="5"/>
    <n v="715.29985714285715"/>
    <n v="0.95644443510580224"/>
    <n v="-4560.3700000000099"/>
    <n v="4560.3700000000099"/>
  </r>
  <r>
    <s v="S00815"/>
    <d v="2025-05-01T00:00:00"/>
    <s v="R04"/>
    <x v="3"/>
    <s v="T12"/>
    <s v="REP12"/>
    <s v="P003"/>
    <n v="162"/>
    <n v="101377.33"/>
    <n v="7243.47"/>
    <n v="1281.19"/>
    <n v="92852.67"/>
    <n v="97504.89"/>
    <x v="2"/>
    <x v="1"/>
    <n v="5"/>
    <n v="573.16462962962964"/>
    <n v="0.95228731605153338"/>
    <n v="-4652.2200000000012"/>
    <n v="4652.2200000000012"/>
  </r>
  <r>
    <s v="S00816"/>
    <d v="2025-05-01T00:00:00"/>
    <s v="R04"/>
    <x v="3"/>
    <s v="T12"/>
    <s v="REP12"/>
    <s v="P004"/>
    <n v="86"/>
    <n v="95296.31"/>
    <n v="6938.06"/>
    <n v="1094.67"/>
    <n v="87263.57"/>
    <n v="95274.67"/>
    <x v="3"/>
    <x v="1"/>
    <n v="5"/>
    <n v="1014.6926744186047"/>
    <n v="0.91591574129829056"/>
    <n v="-8011.0999999999913"/>
    <n v="8011.0999999999913"/>
  </r>
  <r>
    <s v="S00817"/>
    <d v="2025-06-01T00:00:00"/>
    <s v="R01"/>
    <x v="0"/>
    <s v="T01"/>
    <s v="REP01"/>
    <s v="P001"/>
    <n v="159"/>
    <n v="157289.22"/>
    <n v="5730.17"/>
    <n v="1443"/>
    <n v="150116.06"/>
    <n v="149764"/>
    <x v="0"/>
    <x v="1"/>
    <n v="6"/>
    <n v="944.12616352201258"/>
    <n v="1.0023507652039207"/>
    <n v="352.05999999999767"/>
    <n v="0"/>
  </r>
  <r>
    <s v="S00818"/>
    <d v="2025-06-01T00:00:00"/>
    <s v="R01"/>
    <x v="0"/>
    <s v="T01"/>
    <s v="REP01"/>
    <s v="P002"/>
    <n v="198"/>
    <n v="151463.32"/>
    <n v="6538.85"/>
    <n v="958.04"/>
    <n v="143966.43"/>
    <n v="137682.32"/>
    <x v="1"/>
    <x v="1"/>
    <n v="6"/>
    <n v="727.10318181818184"/>
    <n v="1.0456420984190271"/>
    <n v="6284.109999999986"/>
    <n v="0"/>
  </r>
  <r>
    <s v="S00819"/>
    <d v="2025-06-01T00:00:00"/>
    <s v="R01"/>
    <x v="0"/>
    <s v="T01"/>
    <s v="REP01"/>
    <s v="P003"/>
    <n v="218"/>
    <n v="136384.16"/>
    <n v="6683.86"/>
    <n v="1606.97"/>
    <n v="128093.33"/>
    <n v="129693.19"/>
    <x v="2"/>
    <x v="1"/>
    <n v="6"/>
    <n v="587.58408256880739"/>
    <n v="0.98766427134686097"/>
    <n v="-1599.8600000000006"/>
    <n v="1599.8600000000006"/>
  </r>
  <r>
    <s v="S00820"/>
    <d v="2025-06-01T00:00:00"/>
    <s v="R01"/>
    <x v="0"/>
    <s v="T01"/>
    <s v="REP01"/>
    <s v="P004"/>
    <n v="115"/>
    <n v="124992.41"/>
    <n v="6018.55"/>
    <n v="1618.42"/>
    <n v="117355.44"/>
    <n v="123431.34"/>
    <x v="3"/>
    <x v="1"/>
    <n v="6"/>
    <n v="1020.4820869565218"/>
    <n v="0.95077506247602928"/>
    <n v="-6075.8999999999942"/>
    <n v="6075.8999999999942"/>
  </r>
  <r>
    <s v="S00821"/>
    <d v="2025-06-01T00:00:00"/>
    <s v="R01"/>
    <x v="0"/>
    <s v="T02"/>
    <s v="REP02"/>
    <s v="P001"/>
    <n v="165"/>
    <n v="162839.69"/>
    <n v="6235.79"/>
    <n v="1655"/>
    <n v="154948.89000000001"/>
    <n v="154152.26"/>
    <x v="0"/>
    <x v="1"/>
    <n v="6"/>
    <n v="939.08418181818195"/>
    <n v="1.0051678126548389"/>
    <n v="796.63000000000466"/>
    <n v="0"/>
  </r>
  <r>
    <s v="S00822"/>
    <d v="2025-06-01T00:00:00"/>
    <s v="R01"/>
    <x v="0"/>
    <s v="T02"/>
    <s v="REP02"/>
    <s v="P002"/>
    <n v="206"/>
    <n v="157670.16"/>
    <n v="10270.59"/>
    <n v="2009.97"/>
    <n v="145389.60999999999"/>
    <n v="139110.09"/>
    <x v="1"/>
    <x v="1"/>
    <n v="6"/>
    <n v="705.77480582524265"/>
    <n v="1.0451406508327326"/>
    <n v="6279.5199999999895"/>
    <n v="0"/>
  </r>
  <r>
    <s v="S00823"/>
    <d v="2025-06-01T00:00:00"/>
    <s v="R01"/>
    <x v="0"/>
    <s v="T02"/>
    <s v="REP02"/>
    <s v="P003"/>
    <n v="232"/>
    <n v="143502.14000000001"/>
    <n v="8045.84"/>
    <n v="1189.57"/>
    <n v="134266.72"/>
    <n v="128002.49"/>
    <x v="2"/>
    <x v="1"/>
    <n v="6"/>
    <n v="578.7358620689655"/>
    <n v="1.0489383448712599"/>
    <n v="6264.2299999999959"/>
    <n v="0"/>
  </r>
  <r>
    <s v="S00824"/>
    <d v="2025-06-01T00:00:00"/>
    <s v="R01"/>
    <x v="0"/>
    <s v="T02"/>
    <s v="REP02"/>
    <s v="P004"/>
    <n v="115"/>
    <n v="126088.88"/>
    <n v="8268.34"/>
    <n v="1394.64"/>
    <n v="116425.9"/>
    <n v="125053.56"/>
    <x v="3"/>
    <x v="1"/>
    <n v="6"/>
    <n v="1012.3991304347826"/>
    <n v="0.93100828157151216"/>
    <n v="-8627.6600000000035"/>
    <n v="8627.6600000000035"/>
  </r>
  <r>
    <s v="S00825"/>
    <d v="2025-06-01T00:00:00"/>
    <s v="R01"/>
    <x v="0"/>
    <s v="T03"/>
    <s v="REP03"/>
    <s v="P001"/>
    <n v="179"/>
    <n v="176507.39"/>
    <n v="12756.47"/>
    <n v="1260.07"/>
    <n v="162490.85"/>
    <n v="165725.43"/>
    <x v="0"/>
    <x v="1"/>
    <n v="6"/>
    <n v="907.7701117318436"/>
    <n v="0.98048229532426023"/>
    <n v="-3234.5799999999872"/>
    <n v="3234.5799999999872"/>
  </r>
  <r>
    <s v="S00826"/>
    <d v="2025-06-01T00:00:00"/>
    <s v="R01"/>
    <x v="0"/>
    <s v="T03"/>
    <s v="REP03"/>
    <s v="P002"/>
    <n v="222"/>
    <n v="168427.76"/>
    <n v="9560.34"/>
    <n v="1852.58"/>
    <n v="157014.84"/>
    <n v="149556.35999999999"/>
    <x v="1"/>
    <x v="1"/>
    <n v="6"/>
    <n v="707.27405405405409"/>
    <n v="1.0498706975751484"/>
    <n v="7458.4800000000105"/>
    <n v="0"/>
  </r>
  <r>
    <s v="S00827"/>
    <d v="2025-06-01T00:00:00"/>
    <s v="R01"/>
    <x v="0"/>
    <s v="T03"/>
    <s v="REP03"/>
    <s v="P003"/>
    <n v="233"/>
    <n v="145519.54999999999"/>
    <n v="6005.74"/>
    <n v="942.56"/>
    <n v="138571.24"/>
    <n v="140799.43"/>
    <x v="2"/>
    <x v="1"/>
    <n v="6"/>
    <n v="594.72635193133044"/>
    <n v="0.98417472286642071"/>
    <n v="-2228.1900000000023"/>
    <n v="2228.1900000000023"/>
  </r>
  <r>
    <s v="S00828"/>
    <d v="2025-06-01T00:00:00"/>
    <s v="R01"/>
    <x v="0"/>
    <s v="T03"/>
    <s v="REP03"/>
    <s v="P004"/>
    <n v="139"/>
    <n v="154336.45000000001"/>
    <n v="9466.84"/>
    <n v="957.22"/>
    <n v="143912.38"/>
    <n v="137407.85999999999"/>
    <x v="3"/>
    <x v="1"/>
    <n v="6"/>
    <n v="1035.3408633093525"/>
    <n v="1.0473373211692549"/>
    <n v="6504.5200000000186"/>
    <n v="0"/>
  </r>
  <r>
    <s v="S00829"/>
    <d v="2025-06-01T00:00:00"/>
    <s v="R02"/>
    <x v="1"/>
    <s v="T04"/>
    <s v="REP04"/>
    <s v="P001"/>
    <n v="114"/>
    <n v="112460.2"/>
    <n v="4435.75"/>
    <n v="470.57"/>
    <n v="107553.89"/>
    <n v="123748.43"/>
    <x v="0"/>
    <x v="1"/>
    <n v="6"/>
    <n v="943.45517543859648"/>
    <n v="0.86913337001528024"/>
    <n v="-16194.539999999994"/>
    <n v="16194.539999999994"/>
  </r>
  <r>
    <s v="S00830"/>
    <d v="2025-06-01T00:00:00"/>
    <s v="R02"/>
    <x v="1"/>
    <s v="T04"/>
    <s v="REP04"/>
    <s v="P002"/>
    <n v="153"/>
    <n v="114723.73"/>
    <n v="5571.68"/>
    <n v="798.95"/>
    <n v="108353.1"/>
    <n v="111282.15"/>
    <x v="1"/>
    <x v="1"/>
    <n v="6"/>
    <n v="708.19019607843143"/>
    <n v="0.97367906712801655"/>
    <n v="-2929.0499999999884"/>
    <n v="2929.0499999999884"/>
  </r>
  <r>
    <s v="S00831"/>
    <d v="2025-06-01T00:00:00"/>
    <s v="R02"/>
    <x v="1"/>
    <s v="T04"/>
    <s v="REP04"/>
    <s v="P003"/>
    <n v="172"/>
    <n v="105072.18"/>
    <n v="4612.17"/>
    <n v="867.47"/>
    <n v="99592.53"/>
    <n v="104731.8"/>
    <x v="2"/>
    <x v="1"/>
    <n v="6"/>
    <n v="579.02633720930237"/>
    <n v="0.95092923066346602"/>
    <n v="-5139.2700000000041"/>
    <n v="5139.2700000000041"/>
  </r>
  <r>
    <s v="S00832"/>
    <d v="2025-06-01T00:00:00"/>
    <s v="R02"/>
    <x v="1"/>
    <s v="T04"/>
    <s v="REP04"/>
    <s v="P004"/>
    <n v="89"/>
    <n v="98478.55"/>
    <n v="5307.42"/>
    <n v="876.95"/>
    <n v="92294.18"/>
    <n v="102161.7"/>
    <x v="3"/>
    <x v="1"/>
    <n v="6"/>
    <n v="1037.0132584269661"/>
    <n v="0.90341272707873888"/>
    <n v="-9867.5200000000041"/>
    <n v="9867.5200000000041"/>
  </r>
  <r>
    <s v="S00833"/>
    <d v="2025-06-01T00:00:00"/>
    <s v="R02"/>
    <x v="1"/>
    <s v="T05"/>
    <s v="REP05"/>
    <s v="P001"/>
    <n v="92"/>
    <n v="89574.26"/>
    <n v="3607.84"/>
    <n v="1132.73"/>
    <n v="84833.68"/>
    <n v="109092.11"/>
    <x v="0"/>
    <x v="1"/>
    <n v="6"/>
    <n v="922.10521739130422"/>
    <n v="0.77763350621781901"/>
    <n v="-24258.430000000008"/>
    <n v="24258.430000000008"/>
  </r>
  <r>
    <s v="S00834"/>
    <d v="2025-06-01T00:00:00"/>
    <s v="R02"/>
    <x v="1"/>
    <s v="T05"/>
    <s v="REP05"/>
    <s v="P002"/>
    <n v="131"/>
    <n v="99507.13"/>
    <n v="5120.96"/>
    <n v="1034.8"/>
    <n v="93351.37"/>
    <n v="98391.24"/>
    <x v="1"/>
    <x v="1"/>
    <n v="6"/>
    <n v="712.60587786259543"/>
    <n v="0.94877724886890324"/>
    <n v="-5039.8700000000099"/>
    <n v="5039.8700000000099"/>
  </r>
  <r>
    <s v="S00835"/>
    <d v="2025-06-01T00:00:00"/>
    <s v="R02"/>
    <x v="1"/>
    <s v="T05"/>
    <s v="REP05"/>
    <s v="P003"/>
    <n v="147"/>
    <n v="89925.65"/>
    <n v="5034.03"/>
    <n v="1133.7"/>
    <n v="83757.919999999998"/>
    <n v="92242.3"/>
    <x v="2"/>
    <x v="1"/>
    <n v="6"/>
    <n v="569.78176870748302"/>
    <n v="0.90802072368100095"/>
    <n v="-8484.3800000000047"/>
    <n v="8484.3800000000047"/>
  </r>
  <r>
    <s v="S00836"/>
    <d v="2025-06-01T00:00:00"/>
    <s v="R02"/>
    <x v="1"/>
    <s v="T05"/>
    <s v="REP05"/>
    <s v="P004"/>
    <n v="81"/>
    <n v="88377.36"/>
    <n v="3261.4"/>
    <n v="662.07"/>
    <n v="84453.89"/>
    <n v="90111.61"/>
    <x v="3"/>
    <x v="1"/>
    <n v="6"/>
    <n v="1042.6406172839506"/>
    <n v="0.93721430568158748"/>
    <n v="-5657.7200000000012"/>
    <n v="5657.7200000000012"/>
  </r>
  <r>
    <s v="S00837"/>
    <d v="2025-06-01T00:00:00"/>
    <s v="R02"/>
    <x v="1"/>
    <s v="T06"/>
    <s v="REP06"/>
    <s v="P001"/>
    <n v="108"/>
    <n v="106185.13"/>
    <n v="6149.48"/>
    <n v="822.96"/>
    <n v="99212.69"/>
    <n v="123169.85"/>
    <x v="0"/>
    <x v="1"/>
    <n v="6"/>
    <n v="918.63601851851854"/>
    <n v="0.80549493240431813"/>
    <n v="-23957.160000000003"/>
    <n v="23957.160000000003"/>
  </r>
  <r>
    <s v="S00838"/>
    <d v="2025-06-01T00:00:00"/>
    <s v="R02"/>
    <x v="1"/>
    <s v="T06"/>
    <s v="REP06"/>
    <s v="P002"/>
    <n v="143"/>
    <n v="107951.13"/>
    <n v="5142.9799999999996"/>
    <n v="674.88"/>
    <n v="102133.27"/>
    <n v="109239.77"/>
    <x v="1"/>
    <x v="1"/>
    <n v="6"/>
    <n v="714.21867132867135"/>
    <n v="0.93494585351104276"/>
    <n v="-7106.5"/>
    <n v="7106.5"/>
  </r>
  <r>
    <s v="S00839"/>
    <d v="2025-06-01T00:00:00"/>
    <s v="R02"/>
    <x v="1"/>
    <s v="T06"/>
    <s v="REP06"/>
    <s v="P003"/>
    <n v="171"/>
    <n v="106827.37"/>
    <n v="6368.36"/>
    <n v="511.02"/>
    <n v="99947.99"/>
    <n v="102150.85"/>
    <x v="2"/>
    <x v="1"/>
    <n v="6"/>
    <n v="584.49116959064327"/>
    <n v="0.97843522594280907"/>
    <n v="-2202.8600000000006"/>
    <n v="2202.8600000000006"/>
  </r>
  <r>
    <s v="S00840"/>
    <d v="2025-06-01T00:00:00"/>
    <s v="R02"/>
    <x v="1"/>
    <s v="T06"/>
    <s v="REP06"/>
    <s v="P004"/>
    <n v="98"/>
    <n v="106288.81"/>
    <n v="4423.96"/>
    <n v="461.89"/>
    <n v="101402.95"/>
    <n v="99858.28"/>
    <x v="3"/>
    <x v="1"/>
    <n v="6"/>
    <n v="1034.7239795918367"/>
    <n v="1.0154686221312845"/>
    <n v="1544.6699999999983"/>
    <n v="0"/>
  </r>
  <r>
    <s v="S00841"/>
    <d v="2025-06-01T00:00:00"/>
    <s v="R03"/>
    <x v="2"/>
    <s v="T07"/>
    <s v="REP07"/>
    <s v="P001"/>
    <n v="133"/>
    <n v="130606.62"/>
    <n v="5226.9399999999996"/>
    <n v="1681.49"/>
    <n v="123698.2"/>
    <n v="120159.4"/>
    <x v="0"/>
    <x v="1"/>
    <n v="6"/>
    <n v="930.06165413533836"/>
    <n v="1.0294508794151769"/>
    <n v="3538.8000000000029"/>
    <n v="0"/>
  </r>
  <r>
    <s v="S00842"/>
    <d v="2025-06-01T00:00:00"/>
    <s v="R03"/>
    <x v="2"/>
    <s v="T07"/>
    <s v="REP07"/>
    <s v="P002"/>
    <n v="164"/>
    <n v="124888.15"/>
    <n v="8084.06"/>
    <n v="1117.8399999999999"/>
    <n v="115686.24"/>
    <n v="110745.02"/>
    <x v="1"/>
    <x v="1"/>
    <n v="6"/>
    <n v="705.40390243902448"/>
    <n v="1.0446179882400131"/>
    <n v="4941.2200000000012"/>
    <n v="0"/>
  </r>
  <r>
    <s v="S00843"/>
    <d v="2025-06-01T00:00:00"/>
    <s v="R03"/>
    <x v="2"/>
    <s v="T07"/>
    <s v="REP07"/>
    <s v="P003"/>
    <n v="165"/>
    <n v="100993.35"/>
    <n v="7541.18"/>
    <n v="1245.46"/>
    <n v="92206.71"/>
    <n v="102300.06"/>
    <x v="2"/>
    <x v="1"/>
    <n v="6"/>
    <n v="558.82854545454552"/>
    <n v="0.90133583499364522"/>
    <n v="-10093.349999999991"/>
    <n v="10093.349999999991"/>
  </r>
  <r>
    <s v="S00844"/>
    <d v="2025-06-01T00:00:00"/>
    <s v="R03"/>
    <x v="2"/>
    <s v="T07"/>
    <s v="REP07"/>
    <s v="P004"/>
    <n v="97"/>
    <n v="107980.31"/>
    <n v="6287.13"/>
    <n v="1379.32"/>
    <n v="100313.86"/>
    <n v="98916.25"/>
    <x v="3"/>
    <x v="1"/>
    <n v="6"/>
    <n v="1034.1635051546391"/>
    <n v="1.014129225481152"/>
    <n v="1397.6100000000006"/>
    <n v="0"/>
  </r>
  <r>
    <s v="S00845"/>
    <d v="2025-06-01T00:00:00"/>
    <s v="R03"/>
    <x v="2"/>
    <s v="T08"/>
    <s v="REP08"/>
    <s v="P001"/>
    <n v="134"/>
    <n v="131354.35999999999"/>
    <n v="9601.1"/>
    <n v="561.80999999999995"/>
    <n v="121191.45"/>
    <n v="124621.52"/>
    <x v="0"/>
    <x v="1"/>
    <n v="6"/>
    <n v="904.41380597014927"/>
    <n v="0.97247610204080315"/>
    <n v="-3430.070000000007"/>
    <n v="3430.070000000007"/>
  </r>
  <r>
    <s v="S00846"/>
    <d v="2025-06-01T00:00:00"/>
    <s v="R03"/>
    <x v="2"/>
    <s v="T08"/>
    <s v="REP08"/>
    <s v="P002"/>
    <n v="163"/>
    <n v="124330.2"/>
    <n v="5247.11"/>
    <n v="762.56"/>
    <n v="118320.54"/>
    <n v="109950.21"/>
    <x v="1"/>
    <x v="1"/>
    <n v="6"/>
    <n v="725.8928834355828"/>
    <n v="1.0761283675583702"/>
    <n v="8370.3299999999872"/>
    <n v="0"/>
  </r>
  <r>
    <s v="S00847"/>
    <d v="2025-06-01T00:00:00"/>
    <s v="R03"/>
    <x v="2"/>
    <s v="T08"/>
    <s v="REP08"/>
    <s v="P003"/>
    <n v="175"/>
    <n v="109068.12"/>
    <n v="4856.78"/>
    <n v="986.35"/>
    <n v="103224.99"/>
    <n v="103447.17"/>
    <x v="2"/>
    <x v="1"/>
    <n v="6"/>
    <n v="589.85708571428574"/>
    <n v="0.99785223704041404"/>
    <n v="-222.17999999999302"/>
    <n v="222.17999999999302"/>
  </r>
  <r>
    <s v="S00848"/>
    <d v="2025-06-01T00:00:00"/>
    <s v="R03"/>
    <x v="2"/>
    <s v="T08"/>
    <s v="REP08"/>
    <s v="P004"/>
    <n v="99"/>
    <n v="109175.88"/>
    <n v="6116.97"/>
    <n v="1090.77"/>
    <n v="101968.13"/>
    <n v="102592.34"/>
    <x v="3"/>
    <x v="1"/>
    <n v="6"/>
    <n v="1029.9811111111112"/>
    <n v="0.99391562761898211"/>
    <n v="-624.20999999999185"/>
    <n v="624.20999999999185"/>
  </r>
  <r>
    <s v="S00849"/>
    <d v="2025-06-01T00:00:00"/>
    <s v="R03"/>
    <x v="2"/>
    <s v="T09"/>
    <s v="REP09"/>
    <s v="P001"/>
    <n v="138"/>
    <n v="133983.81"/>
    <n v="9356.9500000000007"/>
    <n v="1620.16"/>
    <n v="123006.7"/>
    <n v="127485.72"/>
    <x v="0"/>
    <x v="1"/>
    <n v="6"/>
    <n v="891.3528985507246"/>
    <n v="0.96486649642014799"/>
    <n v="-4479.0200000000041"/>
    <n v="4479.0200000000041"/>
  </r>
  <r>
    <s v="S00850"/>
    <d v="2025-06-01T00:00:00"/>
    <s v="R03"/>
    <x v="2"/>
    <s v="T09"/>
    <s v="REP09"/>
    <s v="P002"/>
    <n v="167"/>
    <n v="126672.13"/>
    <n v="9213.89"/>
    <n v="1724.42"/>
    <n v="115733.82"/>
    <n v="114946.5"/>
    <x v="1"/>
    <x v="1"/>
    <n v="6"/>
    <n v="693.016886227545"/>
    <n v="1.0068494473515941"/>
    <n v="787.32000000000698"/>
    <n v="0"/>
  </r>
  <r>
    <s v="S00851"/>
    <d v="2025-06-01T00:00:00"/>
    <s v="R03"/>
    <x v="2"/>
    <s v="T09"/>
    <s v="REP09"/>
    <s v="P003"/>
    <n v="173"/>
    <n v="107729.96"/>
    <n v="5359.44"/>
    <n v="615.78"/>
    <n v="101754.74"/>
    <n v="106101.11"/>
    <x v="2"/>
    <x v="1"/>
    <n v="6"/>
    <n v="588.17768786127169"/>
    <n v="0.95903558407635892"/>
    <n v="-4346.3699999999953"/>
    <n v="4346.3699999999953"/>
  </r>
  <r>
    <s v="S00852"/>
    <d v="2025-06-01T00:00:00"/>
    <s v="R03"/>
    <x v="2"/>
    <s v="T09"/>
    <s v="REP09"/>
    <s v="P004"/>
    <n v="103"/>
    <n v="113388.26"/>
    <n v="5981.99"/>
    <n v="1205.6600000000001"/>
    <n v="106200.61"/>
    <n v="104547.61"/>
    <x v="3"/>
    <x v="1"/>
    <n v="6"/>
    <n v="1031.0738834951455"/>
    <n v="1.0158109783666982"/>
    <n v="1653"/>
    <n v="0"/>
  </r>
  <r>
    <s v="S00853"/>
    <d v="2025-06-01T00:00:00"/>
    <s v="R04"/>
    <x v="3"/>
    <s v="T10"/>
    <s v="REP10"/>
    <s v="P001"/>
    <n v="107"/>
    <n v="104736.44"/>
    <n v="5576.05"/>
    <n v="719.45"/>
    <n v="98440.94"/>
    <n v="98724.3"/>
    <x v="0"/>
    <x v="1"/>
    <n v="6"/>
    <n v="920.00878504672903"/>
    <n v="0.99712978466294522"/>
    <n v="-283.36000000000058"/>
    <n v="283.36000000000058"/>
  </r>
  <r>
    <s v="S00854"/>
    <d v="2025-06-01T00:00:00"/>
    <s v="R04"/>
    <x v="3"/>
    <s v="T10"/>
    <s v="REP10"/>
    <s v="P002"/>
    <n v="119"/>
    <n v="89421.43"/>
    <n v="5148.54"/>
    <n v="771.34"/>
    <n v="83501.55"/>
    <n v="88396.41"/>
    <x v="1"/>
    <x v="1"/>
    <n v="6"/>
    <n v="701.69369747899157"/>
    <n v="0.94462603175852955"/>
    <n v="-4894.8600000000006"/>
    <n v="4894.8600000000006"/>
  </r>
  <r>
    <s v="S00855"/>
    <d v="2025-06-01T00:00:00"/>
    <s v="R04"/>
    <x v="3"/>
    <s v="T10"/>
    <s v="REP10"/>
    <s v="P003"/>
    <n v="134"/>
    <n v="82335.199999999997"/>
    <n v="5169.29"/>
    <n v="715.86"/>
    <n v="76450.06"/>
    <n v="85238.35"/>
    <x v="2"/>
    <x v="1"/>
    <n v="6"/>
    <n v="570.52283582089547"/>
    <n v="0.89689746458020358"/>
    <n v="-8788.2900000000081"/>
    <n v="8788.2900000000081"/>
  </r>
  <r>
    <s v="S00856"/>
    <d v="2025-06-01T00:00:00"/>
    <s v="R04"/>
    <x v="3"/>
    <s v="T10"/>
    <s v="REP10"/>
    <s v="P004"/>
    <n v="74"/>
    <n v="81209.759999999995"/>
    <n v="3117.46"/>
    <n v="1128.78"/>
    <n v="76963.520000000004"/>
    <n v="81633.97"/>
    <x v="3"/>
    <x v="1"/>
    <n v="6"/>
    <n v="1040.0475675675675"/>
    <n v="0.94278791047403432"/>
    <n v="-4670.4499999999971"/>
    <n v="4670.4499999999971"/>
  </r>
  <r>
    <s v="S00857"/>
    <d v="2025-06-01T00:00:00"/>
    <s v="R04"/>
    <x v="3"/>
    <s v="T11"/>
    <s v="REP11"/>
    <s v="P001"/>
    <n v="96"/>
    <n v="95401.71"/>
    <n v="5561.66"/>
    <n v="853.02"/>
    <n v="88987.02"/>
    <n v="99487.87"/>
    <x v="0"/>
    <x v="1"/>
    <n v="6"/>
    <n v="926.948125"/>
    <n v="0.8944509516587299"/>
    <n v="-10500.849999999991"/>
    <n v="10500.849999999991"/>
  </r>
  <r>
    <s v="S00858"/>
    <d v="2025-06-01T00:00:00"/>
    <s v="R04"/>
    <x v="3"/>
    <s v="T11"/>
    <s v="REP11"/>
    <s v="P002"/>
    <n v="122"/>
    <n v="93827.01"/>
    <n v="5647.36"/>
    <n v="689.92"/>
    <n v="87489.72"/>
    <n v="90085.25"/>
    <x v="1"/>
    <x v="1"/>
    <n v="6"/>
    <n v="717.12885245901646"/>
    <n v="0.97118806907901123"/>
    <n v="-2595.5299999999988"/>
    <n v="2595.5299999999988"/>
  </r>
  <r>
    <s v="S00859"/>
    <d v="2025-06-01T00:00:00"/>
    <s v="R04"/>
    <x v="3"/>
    <s v="T11"/>
    <s v="REP11"/>
    <s v="P003"/>
    <n v="142"/>
    <n v="86724.24"/>
    <n v="4812.17"/>
    <n v="400.68"/>
    <n v="81511.38"/>
    <n v="83062.679999999993"/>
    <x v="2"/>
    <x v="1"/>
    <n v="6"/>
    <n v="574.02380281690148"/>
    <n v="0.9813237425038539"/>
    <n v="-1551.2999999999884"/>
    <n v="1551.2999999999884"/>
  </r>
  <r>
    <s v="S00860"/>
    <d v="2025-06-01T00:00:00"/>
    <s v="R04"/>
    <x v="3"/>
    <s v="T11"/>
    <s v="REP11"/>
    <s v="P004"/>
    <n v="77"/>
    <n v="85858.86"/>
    <n v="6079.05"/>
    <n v="937.99"/>
    <n v="78841.820000000007"/>
    <n v="80968.210000000006"/>
    <x v="3"/>
    <x v="1"/>
    <n v="6"/>
    <n v="1023.9197402597404"/>
    <n v="0.97373796456658734"/>
    <n v="-2126.3899999999994"/>
    <n v="2126.3899999999994"/>
  </r>
  <r>
    <s v="S00861"/>
    <d v="2025-06-01T00:00:00"/>
    <s v="R04"/>
    <x v="3"/>
    <s v="T12"/>
    <s v="REP12"/>
    <s v="P001"/>
    <n v="110"/>
    <n v="107173.55"/>
    <n v="5537.49"/>
    <n v="1236.8399999999999"/>
    <n v="100399.22"/>
    <n v="112920.73"/>
    <x v="0"/>
    <x v="1"/>
    <n v="6"/>
    <n v="912.7201818181818"/>
    <n v="0.88911238884126953"/>
    <n v="-12521.509999999995"/>
    <n v="12521.509999999995"/>
  </r>
  <r>
    <s v="S00862"/>
    <d v="2025-06-01T00:00:00"/>
    <s v="R04"/>
    <x v="3"/>
    <s v="T12"/>
    <s v="REP12"/>
    <s v="P002"/>
    <n v="137"/>
    <n v="105305.58"/>
    <n v="7739.71"/>
    <n v="800.76"/>
    <n v="96765.119999999995"/>
    <n v="100463.15"/>
    <x v="1"/>
    <x v="1"/>
    <n v="6"/>
    <n v="706.31474452554744"/>
    <n v="0.96319018465974837"/>
    <n v="-3698.0299999999988"/>
    <n v="3698.0299999999988"/>
  </r>
  <r>
    <s v="S00863"/>
    <d v="2025-06-01T00:00:00"/>
    <s v="R04"/>
    <x v="3"/>
    <s v="T12"/>
    <s v="REP12"/>
    <s v="P003"/>
    <n v="152"/>
    <n v="93182.720000000001"/>
    <n v="6273.91"/>
    <n v="1255.1099999999999"/>
    <n v="85653.69"/>
    <n v="93820.73"/>
    <x v="2"/>
    <x v="1"/>
    <n v="6"/>
    <n v="563.51111842105263"/>
    <n v="0.91295058139070129"/>
    <n v="-8167.0399999999936"/>
    <n v="8167.0399999999936"/>
  </r>
  <r>
    <s v="S00864"/>
    <d v="2025-06-01T00:00:00"/>
    <s v="R04"/>
    <x v="3"/>
    <s v="T12"/>
    <s v="REP12"/>
    <s v="P004"/>
    <n v="83"/>
    <n v="90646.45"/>
    <n v="4490.87"/>
    <n v="608.57000000000005"/>
    <n v="85547.02"/>
    <n v="92270.62"/>
    <x v="3"/>
    <x v="1"/>
    <n v="6"/>
    <n v="1030.6869879518072"/>
    <n v="0.92713173489026091"/>
    <n v="-6723.5999999999913"/>
    <n v="6723.5999999999913"/>
  </r>
  <r>
    <s v="S00865"/>
    <d v="2025-07-01T00:00:00"/>
    <s v="R01"/>
    <x v="0"/>
    <s v="T01"/>
    <s v="REP01"/>
    <s v="P001"/>
    <n v="145"/>
    <n v="141409.79"/>
    <n v="8145.47"/>
    <n v="774.29"/>
    <n v="132490.03"/>
    <n v="144346.01999999999"/>
    <x v="0"/>
    <x v="1"/>
    <n v="7"/>
    <n v="913.72434482758615"/>
    <n v="0.91786410182975608"/>
    <n v="-11855.989999999991"/>
    <n v="11855.989999999991"/>
  </r>
  <r>
    <s v="S00866"/>
    <d v="2025-07-01T00:00:00"/>
    <s v="R01"/>
    <x v="0"/>
    <s v="T01"/>
    <s v="REP01"/>
    <s v="P002"/>
    <n v="198"/>
    <n v="150702.31"/>
    <n v="10820.81"/>
    <n v="1085.0999999999999"/>
    <n v="138796.4"/>
    <n v="130350.35"/>
    <x v="1"/>
    <x v="1"/>
    <n v="7"/>
    <n v="700.99191919191912"/>
    <n v="1.064794992878807"/>
    <n v="8446.0499999999884"/>
    <n v="0"/>
  </r>
  <r>
    <s v="S00867"/>
    <d v="2025-07-01T00:00:00"/>
    <s v="R01"/>
    <x v="0"/>
    <s v="T01"/>
    <s v="REP01"/>
    <s v="P003"/>
    <n v="214"/>
    <n v="134620.67000000001"/>
    <n v="6734.26"/>
    <n v="1271.58"/>
    <n v="126614.82"/>
    <n v="122847.96"/>
    <x v="2"/>
    <x v="1"/>
    <n v="7"/>
    <n v="591.65803738317766"/>
    <n v="1.0306627802366437"/>
    <n v="3766.8600000000006"/>
    <n v="0"/>
  </r>
  <r>
    <s v="S00868"/>
    <d v="2025-07-01T00:00:00"/>
    <s v="R01"/>
    <x v="0"/>
    <s v="T01"/>
    <s v="REP01"/>
    <s v="P004"/>
    <n v="115"/>
    <n v="126522.47"/>
    <n v="7387.58"/>
    <n v="1557.79"/>
    <n v="117577.1"/>
    <n v="120382.17"/>
    <x v="3"/>
    <x v="1"/>
    <n v="7"/>
    <n v="1022.4095652173913"/>
    <n v="0.97669862571841004"/>
    <n v="-2805.0699999999924"/>
    <n v="2805.0699999999924"/>
  </r>
  <r>
    <s v="S00869"/>
    <d v="2025-07-01T00:00:00"/>
    <s v="R01"/>
    <x v="0"/>
    <s v="T02"/>
    <s v="REP02"/>
    <s v="P001"/>
    <n v="148"/>
    <n v="147143.94"/>
    <n v="5593.82"/>
    <n v="875.9"/>
    <n v="140674.22"/>
    <n v="144754.95000000001"/>
    <x v="0"/>
    <x v="1"/>
    <n v="7"/>
    <n v="950.50148648648644"/>
    <n v="0.97180939235583996"/>
    <n v="-4080.7300000000105"/>
    <n v="4080.7300000000105"/>
  </r>
  <r>
    <s v="S00870"/>
    <d v="2025-07-01T00:00:00"/>
    <s v="R01"/>
    <x v="0"/>
    <s v="T02"/>
    <s v="REP02"/>
    <s v="P002"/>
    <n v="186"/>
    <n v="141792.25"/>
    <n v="9816.24"/>
    <n v="1471.78"/>
    <n v="130504.24"/>
    <n v="132169.29"/>
    <x v="1"/>
    <x v="1"/>
    <n v="7"/>
    <n v="701.63569892473117"/>
    <n v="0.98740214160188045"/>
    <n v="-1665.0500000000029"/>
    <n v="1665.0500000000029"/>
  </r>
  <r>
    <s v="S00871"/>
    <d v="2025-07-01T00:00:00"/>
    <s v="R01"/>
    <x v="0"/>
    <s v="T02"/>
    <s v="REP02"/>
    <s v="P003"/>
    <n v="213"/>
    <n v="132601.87"/>
    <n v="5341.78"/>
    <n v="1557.55"/>
    <n v="125702.54"/>
    <n v="124142.73"/>
    <x v="2"/>
    <x v="1"/>
    <n v="7"/>
    <n v="590.15276995305157"/>
    <n v="1.0125646503826684"/>
    <n v="1559.8099999999977"/>
    <n v="0"/>
  </r>
  <r>
    <s v="S00872"/>
    <d v="2025-07-01T00:00:00"/>
    <s v="R01"/>
    <x v="0"/>
    <s v="T02"/>
    <s v="REP02"/>
    <s v="P004"/>
    <n v="122"/>
    <n v="135858.5"/>
    <n v="5002.5"/>
    <n v="1677.23"/>
    <n v="129178.77"/>
    <n v="120728.74"/>
    <x v="3"/>
    <x v="1"/>
    <n v="7"/>
    <n v="1058.8423770491804"/>
    <n v="1.0699918677193185"/>
    <n v="8450.0299999999988"/>
    <n v="0"/>
  </r>
  <r>
    <s v="S00873"/>
    <d v="2025-07-01T00:00:00"/>
    <s v="R01"/>
    <x v="0"/>
    <s v="T03"/>
    <s v="REP03"/>
    <s v="P001"/>
    <n v="171"/>
    <n v="165621.92000000001"/>
    <n v="9741.52"/>
    <n v="1920.48"/>
    <n v="153959.92000000001"/>
    <n v="160161.07999999999"/>
    <x v="0"/>
    <x v="1"/>
    <n v="7"/>
    <n v="900.35040935672521"/>
    <n v="0.9612817296187065"/>
    <n v="-6201.1599999999744"/>
    <n v="6201.1599999999744"/>
  </r>
  <r>
    <s v="S00874"/>
    <d v="2025-07-01T00:00:00"/>
    <s v="R01"/>
    <x v="0"/>
    <s v="T03"/>
    <s v="REP03"/>
    <s v="P002"/>
    <n v="208"/>
    <n v="155914.70000000001"/>
    <n v="7393.05"/>
    <n v="1032.3499999999999"/>
    <n v="147489.29999999999"/>
    <n v="143910.13"/>
    <x v="1"/>
    <x v="1"/>
    <n v="7"/>
    <n v="709.083173076923"/>
    <n v="1.0248708690625183"/>
    <n v="3579.1699999999837"/>
    <n v="0"/>
  </r>
  <r>
    <s v="S00875"/>
    <d v="2025-07-01T00:00:00"/>
    <s v="R01"/>
    <x v="0"/>
    <s v="T03"/>
    <s v="REP03"/>
    <s v="P003"/>
    <n v="242"/>
    <n v="149675.32999999999"/>
    <n v="7384.35"/>
    <n v="2082.9899999999998"/>
    <n v="140207.99"/>
    <n v="136201.32999999999"/>
    <x v="2"/>
    <x v="1"/>
    <n v="7"/>
    <n v="579.3718595041322"/>
    <n v="1.0294171870421529"/>
    <n v="4006.6600000000035"/>
    <n v="0"/>
  </r>
  <r>
    <s v="S00876"/>
    <d v="2025-07-01T00:00:00"/>
    <s v="R01"/>
    <x v="0"/>
    <s v="T03"/>
    <s v="REP03"/>
    <s v="P004"/>
    <n v="120"/>
    <n v="133012.14000000001"/>
    <n v="8113.89"/>
    <n v="1475.55"/>
    <n v="123422.69"/>
    <n v="131910.43"/>
    <x v="3"/>
    <x v="1"/>
    <n v="7"/>
    <n v="1028.5224166666667"/>
    <n v="0.93565527760011102"/>
    <n v="-8487.7399999999907"/>
    <n v="8487.7399999999907"/>
  </r>
  <r>
    <s v="S00877"/>
    <d v="2025-07-01T00:00:00"/>
    <s v="R02"/>
    <x v="1"/>
    <s v="T04"/>
    <s v="REP04"/>
    <s v="P001"/>
    <n v="98"/>
    <n v="95976.88"/>
    <n v="6340.05"/>
    <n v="812.11"/>
    <n v="88824.72"/>
    <n v="116741.5"/>
    <x v="0"/>
    <x v="1"/>
    <n v="7"/>
    <n v="906.37469387755107"/>
    <n v="0.76086670121593436"/>
    <n v="-27916.78"/>
    <n v="27916.78"/>
  </r>
  <r>
    <s v="S00878"/>
    <d v="2025-07-01T00:00:00"/>
    <s v="R02"/>
    <x v="1"/>
    <s v="T04"/>
    <s v="REP04"/>
    <s v="P002"/>
    <n v="138"/>
    <n v="105950.14"/>
    <n v="5003.55"/>
    <n v="684.26"/>
    <n v="100262.33"/>
    <n v="105072.54"/>
    <x v="1"/>
    <x v="1"/>
    <n v="7"/>
    <n v="726.53862318840584"/>
    <n v="0.95422010355893183"/>
    <n v="-4810.2099999999919"/>
    <n v="4810.2099999999919"/>
  </r>
  <r>
    <s v="S00879"/>
    <d v="2025-07-01T00:00:00"/>
    <s v="R02"/>
    <x v="1"/>
    <s v="T04"/>
    <s v="REP04"/>
    <s v="P003"/>
    <n v="171"/>
    <n v="104450.01"/>
    <n v="5709.74"/>
    <n v="517.62"/>
    <n v="98222.65"/>
    <n v="100585.35"/>
    <x v="2"/>
    <x v="1"/>
    <n v="7"/>
    <n v="574.40146198830405"/>
    <n v="0.97651049581275995"/>
    <n v="-2362.7000000000116"/>
    <n v="2362.7000000000116"/>
  </r>
  <r>
    <s v="S00880"/>
    <d v="2025-07-01T00:00:00"/>
    <s v="R02"/>
    <x v="1"/>
    <s v="T04"/>
    <s v="REP04"/>
    <s v="P004"/>
    <n v="93"/>
    <n v="102098.3"/>
    <n v="5605.18"/>
    <n v="992.92"/>
    <n v="95500.2"/>
    <n v="96157.08"/>
    <x v="3"/>
    <x v="1"/>
    <n v="7"/>
    <n v="1026.8838709677418"/>
    <n v="0.99316867775102979"/>
    <n v="-656.88000000000466"/>
    <n v="656.88000000000466"/>
  </r>
  <r>
    <s v="S00881"/>
    <d v="2025-07-01T00:00:00"/>
    <s v="R02"/>
    <x v="1"/>
    <s v="T05"/>
    <s v="REP05"/>
    <s v="P001"/>
    <n v="87"/>
    <n v="86485.91"/>
    <n v="5553.75"/>
    <n v="754.44"/>
    <n v="80177.73"/>
    <n v="102250.82"/>
    <x v="0"/>
    <x v="1"/>
    <n v="7"/>
    <n v="921.58310344827578"/>
    <n v="0.78412799036721648"/>
    <n v="-22073.090000000011"/>
    <n v="22073.090000000011"/>
  </r>
  <r>
    <s v="S00882"/>
    <d v="2025-07-01T00:00:00"/>
    <s v="R02"/>
    <x v="1"/>
    <s v="T05"/>
    <s v="REP05"/>
    <s v="P002"/>
    <n v="133"/>
    <n v="101944.26"/>
    <n v="4672.2"/>
    <n v="811.31"/>
    <n v="96460.75"/>
    <n v="92486.65"/>
    <x v="1"/>
    <x v="1"/>
    <n v="7"/>
    <n v="725.26879699248116"/>
    <n v="1.0429694447793276"/>
    <n v="3974.1000000000058"/>
    <n v="0"/>
  </r>
  <r>
    <s v="S00883"/>
    <d v="2025-07-01T00:00:00"/>
    <s v="R02"/>
    <x v="1"/>
    <s v="T05"/>
    <s v="REP05"/>
    <s v="P003"/>
    <n v="142"/>
    <n v="89272.78"/>
    <n v="5182.25"/>
    <n v="926.58"/>
    <n v="83163.94"/>
    <n v="87385.83"/>
    <x v="2"/>
    <x v="1"/>
    <n v="7"/>
    <n v="585.66154929577465"/>
    <n v="0.95168678949436081"/>
    <n v="-4221.8899999999994"/>
    <n v="4221.8899999999994"/>
  </r>
  <r>
    <s v="S00884"/>
    <d v="2025-07-01T00:00:00"/>
    <s v="R02"/>
    <x v="1"/>
    <s v="T05"/>
    <s v="REP05"/>
    <s v="P004"/>
    <n v="79"/>
    <n v="87106.13"/>
    <n v="5955.55"/>
    <n v="1020.45"/>
    <n v="80130.13"/>
    <n v="85056.49"/>
    <x v="3"/>
    <x v="1"/>
    <n v="7"/>
    <n v="1014.3054430379748"/>
    <n v="0.94208131560566399"/>
    <n v="-4926.3600000000006"/>
    <n v="4926.3600000000006"/>
  </r>
  <r>
    <s v="S00885"/>
    <d v="2025-07-01T00:00:00"/>
    <s v="R02"/>
    <x v="1"/>
    <s v="T06"/>
    <s v="REP06"/>
    <s v="P001"/>
    <n v="105"/>
    <n v="103563.89"/>
    <n v="6897.72"/>
    <n v="1116.18"/>
    <n v="95550"/>
    <n v="116328.04"/>
    <x v="0"/>
    <x v="1"/>
    <n v="7"/>
    <n v="910"/>
    <n v="0.82138407902342381"/>
    <n v="-20778.039999999994"/>
    <n v="20778.039999999994"/>
  </r>
  <r>
    <s v="S00886"/>
    <d v="2025-07-01T00:00:00"/>
    <s v="R02"/>
    <x v="1"/>
    <s v="T06"/>
    <s v="REP06"/>
    <s v="P002"/>
    <n v="146"/>
    <n v="112446.99"/>
    <n v="6491.93"/>
    <n v="1301.77"/>
    <n v="104653.28"/>
    <n v="104651.86"/>
    <x v="1"/>
    <x v="1"/>
    <n v="7"/>
    <n v="716.80328767123285"/>
    <n v="1.0000135687984906"/>
    <n v="1.4199999999982538"/>
    <n v="0"/>
  </r>
  <r>
    <s v="S00887"/>
    <d v="2025-07-01T00:00:00"/>
    <s v="R02"/>
    <x v="1"/>
    <s v="T06"/>
    <s v="REP06"/>
    <s v="P003"/>
    <n v="156"/>
    <n v="97401.49"/>
    <n v="5529.5"/>
    <n v="1037.73"/>
    <n v="90834.26"/>
    <n v="100308.38"/>
    <x v="2"/>
    <x v="1"/>
    <n v="7"/>
    <n v="582.27089743589738"/>
    <n v="0.90555006471044586"/>
    <n v="-9474.1200000000099"/>
    <n v="9474.1200000000099"/>
  </r>
  <r>
    <s v="S00888"/>
    <d v="2025-07-01T00:00:00"/>
    <s v="R02"/>
    <x v="1"/>
    <s v="T06"/>
    <s v="REP06"/>
    <s v="P004"/>
    <n v="93"/>
    <n v="102969.72"/>
    <n v="7233.61"/>
    <n v="613.66999999999996"/>
    <n v="95122.43"/>
    <n v="95657.51"/>
    <x v="3"/>
    <x v="1"/>
    <n v="7"/>
    <n v="1022.8218279569892"/>
    <n v="0.994406293870706"/>
    <n v="-535.08000000000175"/>
    <n v="535.08000000000175"/>
  </r>
  <r>
    <s v="S00889"/>
    <d v="2025-07-01T00:00:00"/>
    <s v="R03"/>
    <x v="2"/>
    <s v="T07"/>
    <s v="REP07"/>
    <s v="P001"/>
    <n v="122"/>
    <n v="118388.57"/>
    <n v="7932.45"/>
    <n v="583.9"/>
    <n v="109872.22"/>
    <n v="116620.87"/>
    <x v="0"/>
    <x v="1"/>
    <n v="7"/>
    <n v="900.5919672131148"/>
    <n v="0.94213171278862873"/>
    <n v="-6748.6499999999942"/>
    <n v="6748.6499999999942"/>
  </r>
  <r>
    <s v="S00890"/>
    <d v="2025-07-01T00:00:00"/>
    <s v="R03"/>
    <x v="2"/>
    <s v="T07"/>
    <s v="REP07"/>
    <s v="P002"/>
    <n v="150"/>
    <n v="114683.38"/>
    <n v="5734.42"/>
    <n v="1340.78"/>
    <n v="107608.18"/>
    <n v="105805.58"/>
    <x v="1"/>
    <x v="1"/>
    <n v="7"/>
    <n v="717.38786666666658"/>
    <n v="1.017036908639412"/>
    <n v="1802.5999999999913"/>
    <n v="0"/>
  </r>
  <r>
    <s v="S00891"/>
    <d v="2025-07-01T00:00:00"/>
    <s v="R03"/>
    <x v="2"/>
    <s v="T07"/>
    <s v="REP07"/>
    <s v="P003"/>
    <n v="160"/>
    <n v="98868.81"/>
    <n v="4083.64"/>
    <n v="971.56"/>
    <n v="93813.62"/>
    <n v="99184.49"/>
    <x v="2"/>
    <x v="1"/>
    <n v="7"/>
    <n v="586.33512499999995"/>
    <n v="0.94584969887933068"/>
    <n v="-5370.8700000000099"/>
    <n v="5370.8700000000099"/>
  </r>
  <r>
    <s v="S00892"/>
    <d v="2025-07-01T00:00:00"/>
    <s v="R03"/>
    <x v="2"/>
    <s v="T07"/>
    <s v="REP07"/>
    <s v="P004"/>
    <n v="96"/>
    <n v="107162.35"/>
    <n v="7891.28"/>
    <n v="1030.02"/>
    <n v="98241.05"/>
    <n v="97231.18"/>
    <x v="3"/>
    <x v="1"/>
    <n v="7"/>
    <n v="1023.3442708333333"/>
    <n v="1.0103862773237968"/>
    <n v="1009.8700000000099"/>
    <n v="0"/>
  </r>
  <r>
    <s v="S00893"/>
    <d v="2025-07-01T00:00:00"/>
    <s v="R03"/>
    <x v="2"/>
    <s v="T08"/>
    <s v="REP08"/>
    <s v="P001"/>
    <n v="122"/>
    <n v="120188.55"/>
    <n v="4975.96"/>
    <n v="1588.33"/>
    <n v="113624.25"/>
    <n v="116288.65"/>
    <x v="0"/>
    <x v="1"/>
    <n v="7"/>
    <n v="931.34631147540983"/>
    <n v="0.97708804771574875"/>
    <n v="-2664.3999999999942"/>
    <n v="2664.3999999999942"/>
  </r>
  <r>
    <s v="S00894"/>
    <d v="2025-07-01T00:00:00"/>
    <s v="R03"/>
    <x v="2"/>
    <s v="T08"/>
    <s v="REP08"/>
    <s v="P002"/>
    <n v="158"/>
    <n v="120625.42"/>
    <n v="5086.2700000000004"/>
    <n v="1539.79"/>
    <n v="113999.36"/>
    <n v="105201.47"/>
    <x v="1"/>
    <x v="1"/>
    <n v="7"/>
    <n v="721.51493670886077"/>
    <n v="1.0836289645002108"/>
    <n v="8797.89"/>
    <n v="0"/>
  </r>
  <r>
    <s v="S00895"/>
    <d v="2025-07-01T00:00:00"/>
    <s v="R03"/>
    <x v="2"/>
    <s v="T08"/>
    <s v="REP08"/>
    <s v="P003"/>
    <n v="160"/>
    <n v="99856.07"/>
    <n v="5838.29"/>
    <n v="428.06"/>
    <n v="93589.72"/>
    <n v="101876.65"/>
    <x v="2"/>
    <x v="1"/>
    <n v="7"/>
    <n v="584.93574999999998"/>
    <n v="0.91865721929411703"/>
    <n v="-8286.929999999993"/>
    <n v="8286.929999999993"/>
  </r>
  <r>
    <s v="S00896"/>
    <d v="2025-07-01T00:00:00"/>
    <s v="R03"/>
    <x v="2"/>
    <s v="T08"/>
    <s v="REP08"/>
    <s v="P004"/>
    <n v="98"/>
    <n v="109273.72"/>
    <n v="6829.85"/>
    <n v="1107.56"/>
    <n v="101336.32000000001"/>
    <n v="96735.05"/>
    <x v="3"/>
    <x v="1"/>
    <n v="7"/>
    <n v="1034.0440816326532"/>
    <n v="1.0475656961980171"/>
    <n v="4601.2700000000041"/>
    <n v="0"/>
  </r>
  <r>
    <s v="S00897"/>
    <d v="2025-07-01T00:00:00"/>
    <s v="R03"/>
    <x v="2"/>
    <s v="T09"/>
    <s v="REP09"/>
    <s v="P001"/>
    <n v="131"/>
    <n v="126868.84"/>
    <n v="9161.57"/>
    <n v="1636.68"/>
    <n v="116070.59"/>
    <n v="120652.27"/>
    <x v="0"/>
    <x v="1"/>
    <n v="7"/>
    <n v="886.03503816793886"/>
    <n v="0.96202574555787468"/>
    <n v="-4581.6800000000076"/>
    <n v="4581.6800000000076"/>
  </r>
  <r>
    <s v="S00898"/>
    <d v="2025-07-01T00:00:00"/>
    <s v="R03"/>
    <x v="2"/>
    <s v="T09"/>
    <s v="REP09"/>
    <s v="P002"/>
    <n v="159"/>
    <n v="120326.08"/>
    <n v="4481.53"/>
    <n v="1030.8900000000001"/>
    <n v="114813.65"/>
    <n v="110851.79"/>
    <x v="1"/>
    <x v="1"/>
    <n v="7"/>
    <n v="722.09842767295595"/>
    <n v="1.0357401535870554"/>
    <n v="3961.8600000000006"/>
    <n v="0"/>
  </r>
  <r>
    <s v="S00899"/>
    <d v="2025-07-01T00:00:00"/>
    <s v="R03"/>
    <x v="2"/>
    <s v="T09"/>
    <s v="REP09"/>
    <s v="P003"/>
    <n v="176"/>
    <n v="109808.42"/>
    <n v="5034.1099999999997"/>
    <n v="767.95"/>
    <n v="104006.36"/>
    <n v="103192.62"/>
    <x v="2"/>
    <x v="1"/>
    <n v="7"/>
    <n v="590.94522727272727"/>
    <n v="1.0078856414344359"/>
    <n v="813.74000000000524"/>
    <n v="0"/>
  </r>
  <r>
    <s v="S00900"/>
    <d v="2025-07-01T00:00:00"/>
    <s v="R03"/>
    <x v="2"/>
    <s v="T09"/>
    <s v="REP09"/>
    <s v="P004"/>
    <n v="90"/>
    <n v="99935.24"/>
    <n v="5917.5"/>
    <n v="456.85"/>
    <n v="93560.9"/>
    <n v="98621.47"/>
    <x v="3"/>
    <x v="1"/>
    <n v="7"/>
    <n v="1039.5655555555554"/>
    <n v="0.94868693399114812"/>
    <n v="-5060.570000000007"/>
    <n v="5060.570000000007"/>
  </r>
  <r>
    <s v="S00901"/>
    <d v="2025-07-01T00:00:00"/>
    <s v="R04"/>
    <x v="3"/>
    <s v="T10"/>
    <s v="REP10"/>
    <s v="P001"/>
    <n v="101"/>
    <n v="99212.28"/>
    <n v="5166.49"/>
    <n v="821.91"/>
    <n v="93223.88"/>
    <n v="96312.11"/>
    <x v="0"/>
    <x v="1"/>
    <n v="7"/>
    <n v="923.00871287128723"/>
    <n v="0.96793518489004138"/>
    <n v="-3088.2299999999959"/>
    <n v="3088.2299999999959"/>
  </r>
  <r>
    <s v="S00902"/>
    <d v="2025-07-01T00:00:00"/>
    <s v="R04"/>
    <x v="3"/>
    <s v="T10"/>
    <s v="REP10"/>
    <s v="P002"/>
    <n v="122"/>
    <n v="94008.83"/>
    <n v="6061.89"/>
    <n v="1267.55"/>
    <n v="86679.39"/>
    <n v="85694.29"/>
    <x v="1"/>
    <x v="1"/>
    <n v="7"/>
    <n v="710.48680327868851"/>
    <n v="1.0114955150454015"/>
    <n v="985.10000000000582"/>
    <n v="0"/>
  </r>
  <r>
    <s v="S00903"/>
    <d v="2025-07-01T00:00:00"/>
    <s v="R04"/>
    <x v="3"/>
    <s v="T10"/>
    <s v="REP10"/>
    <s v="P003"/>
    <n v="138"/>
    <n v="84800.35"/>
    <n v="4529.28"/>
    <n v="745.61"/>
    <n v="79525.460000000006"/>
    <n v="80237.97"/>
    <x v="2"/>
    <x v="1"/>
    <n v="7"/>
    <n v="576.27144927536233"/>
    <n v="0.99112003955234662"/>
    <n v="-712.50999999999476"/>
    <n v="712.50999999999476"/>
  </r>
  <r>
    <s v="S00904"/>
    <d v="2025-07-01T00:00:00"/>
    <s v="R04"/>
    <x v="3"/>
    <s v="T10"/>
    <s v="REP10"/>
    <s v="P004"/>
    <n v="70"/>
    <n v="78081.08"/>
    <n v="3302.25"/>
    <n v="1046.72"/>
    <n v="73732.12"/>
    <n v="78214.06"/>
    <x v="3"/>
    <x v="1"/>
    <n v="7"/>
    <n v="1053.316"/>
    <n v="0.94269649216521934"/>
    <n v="-4481.9400000000023"/>
    <n v="4481.9400000000023"/>
  </r>
  <r>
    <s v="S00905"/>
    <d v="2025-07-01T00:00:00"/>
    <s v="R04"/>
    <x v="3"/>
    <s v="T11"/>
    <s v="REP11"/>
    <s v="P001"/>
    <n v="98"/>
    <n v="96977.35"/>
    <n v="4616.4399999999996"/>
    <n v="1101.17"/>
    <n v="91259.74"/>
    <n v="93771.24"/>
    <x v="0"/>
    <x v="1"/>
    <n v="7"/>
    <n v="931.22183673469397"/>
    <n v="0.97321673468325687"/>
    <n v="-2511.5"/>
    <n v="2511.5"/>
  </r>
  <r>
    <s v="S00906"/>
    <d v="2025-07-01T00:00:00"/>
    <s v="R04"/>
    <x v="3"/>
    <s v="T11"/>
    <s v="REP11"/>
    <s v="P002"/>
    <n v="122"/>
    <n v="93540.84"/>
    <n v="6289.14"/>
    <n v="1061.97"/>
    <n v="86189.73"/>
    <n v="84510.47"/>
    <x v="1"/>
    <x v="1"/>
    <n v="7"/>
    <n v="706.47319672131141"/>
    <n v="1.0198704373552767"/>
    <n v="1679.2599999999948"/>
    <n v="0"/>
  </r>
  <r>
    <s v="S00907"/>
    <d v="2025-07-01T00:00:00"/>
    <s v="R04"/>
    <x v="3"/>
    <s v="T11"/>
    <s v="REP11"/>
    <s v="P003"/>
    <n v="140"/>
    <n v="86263.01"/>
    <n v="5825.96"/>
    <n v="1065.3"/>
    <n v="79371.759999999995"/>
    <n v="80430"/>
    <x v="2"/>
    <x v="1"/>
    <n v="7"/>
    <n v="566.94114285714284"/>
    <n v="0.98684272037796839"/>
    <n v="-1058.2400000000052"/>
    <n v="1058.2400000000052"/>
  </r>
  <r>
    <s v="S00908"/>
    <d v="2025-07-01T00:00:00"/>
    <s v="R04"/>
    <x v="3"/>
    <s v="T11"/>
    <s v="REP11"/>
    <s v="P004"/>
    <n v="77"/>
    <n v="85484.28"/>
    <n v="5587.26"/>
    <n v="480.44"/>
    <n v="79416.59"/>
    <n v="77807.27"/>
    <x v="3"/>
    <x v="1"/>
    <n v="7"/>
    <n v="1031.3842857142856"/>
    <n v="1.0206834142876364"/>
    <n v="1609.3199999999924"/>
    <n v="0"/>
  </r>
  <r>
    <s v="S00909"/>
    <d v="2025-07-01T00:00:00"/>
    <s v="R04"/>
    <x v="3"/>
    <s v="T12"/>
    <s v="REP12"/>
    <s v="P001"/>
    <n v="115"/>
    <n v="111692.51"/>
    <n v="5977.92"/>
    <n v="473.36"/>
    <n v="105241.23"/>
    <n v="107135.67999999999"/>
    <x v="0"/>
    <x v="1"/>
    <n v="7"/>
    <n v="915.14113043478255"/>
    <n v="0.98231728216034098"/>
    <n v="-1894.4499999999971"/>
    <n v="1894.4499999999971"/>
  </r>
  <r>
    <s v="S00910"/>
    <d v="2025-07-01T00:00:00"/>
    <s v="R04"/>
    <x v="3"/>
    <s v="T12"/>
    <s v="REP12"/>
    <s v="P002"/>
    <n v="128"/>
    <n v="98617.82"/>
    <n v="6270.62"/>
    <n v="934.67"/>
    <n v="91412.53"/>
    <n v="97276.83"/>
    <x v="1"/>
    <x v="1"/>
    <n v="7"/>
    <n v="714.16039062499999"/>
    <n v="0.93971534639852061"/>
    <n v="-5864.3000000000029"/>
    <n v="5864.3000000000029"/>
  </r>
  <r>
    <s v="S00911"/>
    <d v="2025-07-01T00:00:00"/>
    <s v="R04"/>
    <x v="3"/>
    <s v="T12"/>
    <s v="REP12"/>
    <s v="P003"/>
    <n v="143"/>
    <n v="88746.97"/>
    <n v="6374.63"/>
    <n v="701.62"/>
    <n v="81670.73"/>
    <n v="90428.95"/>
    <x v="2"/>
    <x v="1"/>
    <n v="7"/>
    <n v="571.12398601398604"/>
    <n v="0.90314805159188516"/>
    <n v="-8758.2200000000012"/>
    <n v="8758.2200000000012"/>
  </r>
  <r>
    <s v="S00912"/>
    <d v="2025-07-01T00:00:00"/>
    <s v="R04"/>
    <x v="3"/>
    <s v="T12"/>
    <s v="REP12"/>
    <s v="P004"/>
    <n v="87"/>
    <n v="94271.1"/>
    <n v="6120.12"/>
    <n v="751.83"/>
    <n v="87399.15"/>
    <n v="88722.32"/>
    <x v="3"/>
    <x v="1"/>
    <n v="7"/>
    <n v="1004.5879310344827"/>
    <n v="0.98508639088788463"/>
    <n v="-1323.1700000000128"/>
    <n v="1323.1700000000128"/>
  </r>
  <r>
    <s v="S00913"/>
    <d v="2025-08-01T00:00:00"/>
    <s v="R01"/>
    <x v="0"/>
    <s v="T01"/>
    <s v="REP01"/>
    <s v="P001"/>
    <n v="147"/>
    <n v="142325.99"/>
    <n v="5284.17"/>
    <n v="1728.08"/>
    <n v="135313.74"/>
    <n v="141833.31"/>
    <x v="0"/>
    <x v="1"/>
    <n v="8"/>
    <n v="920.50163265306117"/>
    <n v="0.95403357645675757"/>
    <n v="-6519.570000000007"/>
    <n v="6519.570000000007"/>
  </r>
  <r>
    <s v="S00914"/>
    <d v="2025-08-01T00:00:00"/>
    <s v="R01"/>
    <x v="0"/>
    <s v="T01"/>
    <s v="REP01"/>
    <s v="P002"/>
    <n v="195"/>
    <n v="148842.76999999999"/>
    <n v="5553.09"/>
    <n v="1868.18"/>
    <n v="141421.51"/>
    <n v="130544.47"/>
    <x v="1"/>
    <x v="1"/>
    <n v="8"/>
    <n v="725.23851282051282"/>
    <n v="1.0833205726753496"/>
    <n v="10877.040000000008"/>
    <n v="0"/>
  </r>
  <r>
    <s v="S00915"/>
    <d v="2025-08-01T00:00:00"/>
    <s v="R01"/>
    <x v="0"/>
    <s v="T01"/>
    <s v="REP01"/>
    <s v="P003"/>
    <n v="219"/>
    <n v="137714.74"/>
    <n v="5718.26"/>
    <n v="1323.7"/>
    <n v="130672.77"/>
    <n v="121733.2"/>
    <x v="2"/>
    <x v="1"/>
    <n v="8"/>
    <n v="596.67931506849322"/>
    <n v="1.0734357595134278"/>
    <n v="8939.570000000007"/>
    <n v="0"/>
  </r>
  <r>
    <s v="S00916"/>
    <d v="2025-08-01T00:00:00"/>
    <s v="R01"/>
    <x v="0"/>
    <s v="T01"/>
    <s v="REP01"/>
    <s v="P004"/>
    <n v="109"/>
    <n v="118222.15"/>
    <n v="7426.16"/>
    <n v="1348.99"/>
    <n v="109446.99"/>
    <n v="119646.15"/>
    <x v="3"/>
    <x v="1"/>
    <n v="8"/>
    <n v="1004.1008256880734"/>
    <n v="0.91475563568071361"/>
    <n v="-10199.159999999989"/>
    <n v="10199.159999999989"/>
  </r>
  <r>
    <s v="S00917"/>
    <d v="2025-08-01T00:00:00"/>
    <s v="R01"/>
    <x v="0"/>
    <s v="T02"/>
    <s v="REP02"/>
    <s v="P001"/>
    <n v="153"/>
    <n v="150162.15"/>
    <n v="10606.09"/>
    <n v="826.97"/>
    <n v="138729.09"/>
    <n v="146766.94"/>
    <x v="0"/>
    <x v="1"/>
    <n v="8"/>
    <n v="906.72607843137257"/>
    <n v="0.9452339198459816"/>
    <n v="-8037.8500000000058"/>
    <n v="8037.8500000000058"/>
  </r>
  <r>
    <s v="S00918"/>
    <d v="2025-08-01T00:00:00"/>
    <s v="R01"/>
    <x v="0"/>
    <s v="T02"/>
    <s v="REP02"/>
    <s v="P002"/>
    <n v="192"/>
    <n v="146011.12"/>
    <n v="5871.23"/>
    <n v="1960.34"/>
    <n v="138179.54999999999"/>
    <n v="130298.83"/>
    <x v="1"/>
    <x v="1"/>
    <n v="8"/>
    <n v="719.68515624999998"/>
    <n v="1.0604818938128606"/>
    <n v="7880.7199999999866"/>
    <n v="0"/>
  </r>
  <r>
    <s v="S00919"/>
    <d v="2025-08-01T00:00:00"/>
    <s v="R01"/>
    <x v="0"/>
    <s v="T02"/>
    <s v="REP02"/>
    <s v="P003"/>
    <n v="220"/>
    <n v="137895.89000000001"/>
    <n v="5111.51"/>
    <n v="1743.73"/>
    <n v="131040.65"/>
    <n v="123061.39"/>
    <x v="2"/>
    <x v="1"/>
    <n v="8"/>
    <n v="595.63931818181811"/>
    <n v="1.0648396706716867"/>
    <n v="7979.2599999999948"/>
    <n v="0"/>
  </r>
  <r>
    <s v="S00920"/>
    <d v="2025-08-01T00:00:00"/>
    <s v="R01"/>
    <x v="0"/>
    <s v="T02"/>
    <s v="REP02"/>
    <s v="P004"/>
    <n v="120"/>
    <n v="130682.19"/>
    <n v="8879.99"/>
    <n v="1213.53"/>
    <n v="120588.67"/>
    <n v="120379.17"/>
    <x v="3"/>
    <x v="1"/>
    <n v="8"/>
    <n v="1004.9055833333333"/>
    <n v="1.0017403343119911"/>
    <n v="209.5"/>
    <n v="0"/>
  </r>
  <r>
    <s v="S00921"/>
    <d v="2025-08-01T00:00:00"/>
    <s v="R01"/>
    <x v="0"/>
    <s v="T03"/>
    <s v="REP03"/>
    <s v="P001"/>
    <n v="161"/>
    <n v="155800.04999999999"/>
    <n v="7047"/>
    <n v="1437.64"/>
    <n v="147315.41"/>
    <n v="157861.45000000001"/>
    <x v="0"/>
    <x v="1"/>
    <n v="8"/>
    <n v="915.00254658385097"/>
    <n v="0.93319432958458193"/>
    <n v="-10546.040000000008"/>
    <n v="10546.040000000008"/>
  </r>
  <r>
    <s v="S00922"/>
    <d v="2025-08-01T00:00:00"/>
    <s v="R01"/>
    <x v="0"/>
    <s v="T03"/>
    <s v="REP03"/>
    <s v="P002"/>
    <n v="214"/>
    <n v="164114.73000000001"/>
    <n v="7209.78"/>
    <n v="1232.19"/>
    <n v="155672.76"/>
    <n v="143423.59"/>
    <x v="1"/>
    <x v="1"/>
    <n v="8"/>
    <n v="727.44280373831782"/>
    <n v="1.085405545907755"/>
    <n v="12249.170000000013"/>
    <n v="0"/>
  </r>
  <r>
    <s v="S00923"/>
    <d v="2025-08-01T00:00:00"/>
    <s v="R01"/>
    <x v="0"/>
    <s v="T03"/>
    <s v="REP03"/>
    <s v="P003"/>
    <n v="232"/>
    <n v="143492.29999999999"/>
    <n v="9865.64"/>
    <n v="1673.7"/>
    <n v="131952.95000000001"/>
    <n v="136946.44"/>
    <x v="2"/>
    <x v="1"/>
    <n v="8"/>
    <n v="568.76271551724142"/>
    <n v="0.96353691267914676"/>
    <n v="-4993.4899999999907"/>
    <n v="4993.4899999999907"/>
  </r>
  <r>
    <s v="S00924"/>
    <d v="2025-08-01T00:00:00"/>
    <s v="R01"/>
    <x v="0"/>
    <s v="T03"/>
    <s v="REP03"/>
    <s v="P004"/>
    <n v="126"/>
    <n v="138189.56"/>
    <n v="9549.89"/>
    <n v="875.66"/>
    <n v="127764.01"/>
    <n v="131930.43"/>
    <x v="3"/>
    <x v="1"/>
    <n v="8"/>
    <n v="1014.0000793650793"/>
    <n v="0.96841956779796745"/>
    <n v="-4166.4199999999983"/>
    <n v="4166.4199999999983"/>
  </r>
  <r>
    <s v="S00925"/>
    <d v="2025-08-01T00:00:00"/>
    <s v="R02"/>
    <x v="1"/>
    <s v="T04"/>
    <s v="REP04"/>
    <s v="P001"/>
    <n v="101"/>
    <n v="98732.73"/>
    <n v="5951.29"/>
    <n v="909.63"/>
    <n v="91871.81"/>
    <n v="116830.95"/>
    <x v="0"/>
    <x v="1"/>
    <n v="8"/>
    <n v="909.62188118811878"/>
    <n v="0.78636534240284783"/>
    <n v="-24959.14"/>
    <n v="24959.14"/>
  </r>
  <r>
    <s v="S00926"/>
    <d v="2025-08-01T00:00:00"/>
    <s v="R02"/>
    <x v="1"/>
    <s v="T04"/>
    <s v="REP04"/>
    <s v="P002"/>
    <n v="147"/>
    <n v="112743.31"/>
    <n v="5161.09"/>
    <n v="1354.12"/>
    <n v="106228.1"/>
    <n v="103948.2"/>
    <x v="1"/>
    <x v="1"/>
    <n v="8"/>
    <n v="722.64013605442176"/>
    <n v="1.0219330397255557"/>
    <n v="2279.9000000000087"/>
    <n v="0"/>
  </r>
  <r>
    <s v="S00927"/>
    <d v="2025-08-01T00:00:00"/>
    <s v="R02"/>
    <x v="1"/>
    <s v="T04"/>
    <s v="REP04"/>
    <s v="P003"/>
    <n v="153"/>
    <n v="96107.34"/>
    <n v="4578.5600000000004"/>
    <n v="815.39"/>
    <n v="90713.38"/>
    <n v="98659.56"/>
    <x v="2"/>
    <x v="1"/>
    <n v="8"/>
    <n v="592.89790849673204"/>
    <n v="0.9194585907336299"/>
    <n v="-7946.179999999993"/>
    <n v="7946.179999999993"/>
  </r>
  <r>
    <s v="S00928"/>
    <d v="2025-08-01T00:00:00"/>
    <s v="R02"/>
    <x v="1"/>
    <s v="T04"/>
    <s v="REP04"/>
    <s v="P004"/>
    <n v="90"/>
    <n v="98384.65"/>
    <n v="6232.77"/>
    <n v="685.27"/>
    <n v="91466.61"/>
    <n v="95512.48"/>
    <x v="3"/>
    <x v="1"/>
    <n v="8"/>
    <n v="1016.2956666666666"/>
    <n v="0.95764040468847633"/>
    <n v="-4045.8699999999953"/>
    <n v="4045.8699999999953"/>
  </r>
  <r>
    <s v="S00929"/>
    <d v="2025-08-01T00:00:00"/>
    <s v="R02"/>
    <x v="1"/>
    <s v="T05"/>
    <s v="REP05"/>
    <s v="P001"/>
    <n v="90"/>
    <n v="88791.03"/>
    <n v="5876.86"/>
    <n v="1008.46"/>
    <n v="81905.72"/>
    <n v="102689.81"/>
    <x v="0"/>
    <x v="1"/>
    <n v="8"/>
    <n v="910.06355555555558"/>
    <n v="0.79760318964462007"/>
    <n v="-20784.089999999997"/>
    <n v="20784.089999999997"/>
  </r>
  <r>
    <s v="S00930"/>
    <d v="2025-08-01T00:00:00"/>
    <s v="R02"/>
    <x v="1"/>
    <s v="T05"/>
    <s v="REP05"/>
    <s v="P002"/>
    <n v="121"/>
    <n v="91083.77"/>
    <n v="5899.03"/>
    <n v="651.28"/>
    <n v="84533.46"/>
    <n v="93784.84"/>
    <x v="1"/>
    <x v="1"/>
    <n v="8"/>
    <n v="698.62363636363636"/>
    <n v="0.90135527234465618"/>
    <n v="-9251.3799999999901"/>
    <n v="9251.3799999999901"/>
  </r>
  <r>
    <s v="S00931"/>
    <d v="2025-08-01T00:00:00"/>
    <s v="R02"/>
    <x v="1"/>
    <s v="T05"/>
    <s v="REP05"/>
    <s v="P003"/>
    <n v="139"/>
    <n v="86355.88"/>
    <n v="4611.5"/>
    <n v="1064.82"/>
    <n v="80679.56"/>
    <n v="87325.16"/>
    <x v="2"/>
    <x v="1"/>
    <n v="8"/>
    <n v="580.4284892086331"/>
    <n v="0.92389822131445276"/>
    <n v="-6645.6000000000058"/>
    <n v="6645.6000000000058"/>
  </r>
  <r>
    <s v="S00932"/>
    <d v="2025-08-01T00:00:00"/>
    <s v="R02"/>
    <x v="1"/>
    <s v="T05"/>
    <s v="REP05"/>
    <s v="P004"/>
    <n v="75"/>
    <n v="81293.429999999993"/>
    <n v="4663.9399999999996"/>
    <n v="622.62"/>
    <n v="76006.87"/>
    <n v="83341.83"/>
    <x v="3"/>
    <x v="1"/>
    <n v="8"/>
    <n v="1013.4249333333332"/>
    <n v="0.91198945355531547"/>
    <n v="-7334.9600000000064"/>
    <n v="7334.9600000000064"/>
  </r>
  <r>
    <s v="S00933"/>
    <d v="2025-08-01T00:00:00"/>
    <s v="R02"/>
    <x v="1"/>
    <s v="T06"/>
    <s v="REP06"/>
    <s v="P001"/>
    <n v="104"/>
    <n v="100693.13"/>
    <n v="4898.47"/>
    <n v="873.39"/>
    <n v="94921.27"/>
    <n v="116227.71"/>
    <x v="0"/>
    <x v="1"/>
    <n v="8"/>
    <n v="912.70451923076928"/>
    <n v="0.81668364626645396"/>
    <n v="-21306.440000000002"/>
    <n v="21306.440000000002"/>
  </r>
  <r>
    <s v="S00934"/>
    <d v="2025-08-01T00:00:00"/>
    <s v="R02"/>
    <x v="1"/>
    <s v="T06"/>
    <s v="REP06"/>
    <s v="P002"/>
    <n v="138"/>
    <n v="105282.61"/>
    <n v="7859.13"/>
    <n v="1403.15"/>
    <n v="96020.33"/>
    <n v="105755.08"/>
    <x v="1"/>
    <x v="1"/>
    <n v="8"/>
    <n v="695.79949275362321"/>
    <n v="0.90795004835701509"/>
    <n v="-9734.75"/>
    <n v="9734.75"/>
  </r>
  <r>
    <s v="S00935"/>
    <d v="2025-08-01T00:00:00"/>
    <s v="R02"/>
    <x v="1"/>
    <s v="T06"/>
    <s v="REP06"/>
    <s v="P003"/>
    <n v="165"/>
    <n v="102211.82"/>
    <n v="7178.87"/>
    <n v="1325.36"/>
    <n v="93707.6"/>
    <n v="98700.68"/>
    <x v="2"/>
    <x v="1"/>
    <n v="8"/>
    <n v="567.92484848484855"/>
    <n v="0.94941189868195452"/>
    <n v="-4993.0799999999872"/>
    <n v="4993.0799999999872"/>
  </r>
  <r>
    <s v="S00936"/>
    <d v="2025-08-01T00:00:00"/>
    <s v="R02"/>
    <x v="1"/>
    <s v="T06"/>
    <s v="REP06"/>
    <s v="P004"/>
    <n v="85"/>
    <n v="93641.57"/>
    <n v="5101.8900000000003"/>
    <n v="960.43"/>
    <n v="87579.25"/>
    <n v="96109.93"/>
    <x v="3"/>
    <x v="1"/>
    <n v="8"/>
    <n v="1030.3441176470587"/>
    <n v="0.9112403890003874"/>
    <n v="-8530.679999999993"/>
    <n v="8530.679999999993"/>
  </r>
  <r>
    <s v="S00937"/>
    <d v="2025-08-01T00:00:00"/>
    <s v="R03"/>
    <x v="2"/>
    <s v="T07"/>
    <s v="REP07"/>
    <s v="P001"/>
    <n v="115"/>
    <n v="113380.59"/>
    <n v="4107.9799999999996"/>
    <n v="657.33"/>
    <n v="108615.28"/>
    <n v="117096.63"/>
    <x v="0"/>
    <x v="1"/>
    <n v="8"/>
    <n v="944.48069565217395"/>
    <n v="0.92756964910091777"/>
    <n v="-8481.3500000000058"/>
    <n v="8481.3500000000058"/>
  </r>
  <r>
    <s v="S00938"/>
    <d v="2025-08-01T00:00:00"/>
    <s v="R03"/>
    <x v="2"/>
    <s v="T07"/>
    <s v="REP07"/>
    <s v="P002"/>
    <n v="152"/>
    <n v="114963.49"/>
    <n v="4939.1000000000004"/>
    <n v="1153.67"/>
    <n v="108870.72"/>
    <n v="106013.87"/>
    <x v="1"/>
    <x v="1"/>
    <n v="8"/>
    <n v="716.25473684210522"/>
    <n v="1.026947888988488"/>
    <n v="2856.8500000000058"/>
    <n v="0"/>
  </r>
  <r>
    <s v="S00939"/>
    <d v="2025-08-01T00:00:00"/>
    <s v="R03"/>
    <x v="2"/>
    <s v="T07"/>
    <s v="REP07"/>
    <s v="P003"/>
    <n v="161"/>
    <n v="98664.59"/>
    <n v="7052.24"/>
    <n v="1246.1400000000001"/>
    <n v="90366.21"/>
    <n v="97572.9"/>
    <x v="2"/>
    <x v="1"/>
    <n v="8"/>
    <n v="561.28080745341617"/>
    <n v="0.92614045498288988"/>
    <n v="-7206.6899999999878"/>
    <n v="7206.6899999999878"/>
  </r>
  <r>
    <s v="S00940"/>
    <d v="2025-08-01T00:00:00"/>
    <s v="R03"/>
    <x v="2"/>
    <s v="T07"/>
    <s v="REP07"/>
    <s v="P004"/>
    <n v="94"/>
    <n v="103577.62"/>
    <n v="6334"/>
    <n v="464.44"/>
    <n v="96779.17"/>
    <n v="96571.33"/>
    <x v="3"/>
    <x v="1"/>
    <n v="8"/>
    <n v="1029.5656382978723"/>
    <n v="1.002152191545876"/>
    <n v="207.83999999999651"/>
    <n v="0"/>
  </r>
  <r>
    <s v="S00941"/>
    <d v="2025-08-01T00:00:00"/>
    <s v="R03"/>
    <x v="2"/>
    <s v="T08"/>
    <s v="REP08"/>
    <s v="P001"/>
    <n v="122"/>
    <n v="120181.7"/>
    <n v="5060.47"/>
    <n v="805.31"/>
    <n v="114315.92"/>
    <n v="117776.93"/>
    <x v="0"/>
    <x v="1"/>
    <n v="8"/>
    <n v="937.01573770491802"/>
    <n v="0.97061385451293392"/>
    <n v="-3461.0099999999948"/>
    <n v="3461.0099999999948"/>
  </r>
  <r>
    <s v="S00942"/>
    <d v="2025-08-01T00:00:00"/>
    <s v="R03"/>
    <x v="2"/>
    <s v="T08"/>
    <s v="REP08"/>
    <s v="P002"/>
    <n v="144"/>
    <n v="110230.64"/>
    <n v="4928.4399999999996"/>
    <n v="725.28"/>
    <n v="104576.93"/>
    <n v="105294.94"/>
    <x v="1"/>
    <x v="1"/>
    <n v="8"/>
    <n v="726.22868055555546"/>
    <n v="0.99318096387157817"/>
    <n v="-718.01000000000931"/>
    <n v="718.01000000000931"/>
  </r>
  <r>
    <s v="S00943"/>
    <d v="2025-08-01T00:00:00"/>
    <s v="R03"/>
    <x v="2"/>
    <s v="T08"/>
    <s v="REP08"/>
    <s v="P003"/>
    <n v="164"/>
    <n v="102570.9"/>
    <n v="5509.92"/>
    <n v="421.76"/>
    <n v="96639.22"/>
    <n v="100459.99"/>
    <x v="2"/>
    <x v="1"/>
    <n v="8"/>
    <n v="589.26353658536584"/>
    <n v="0.96196724686116331"/>
    <n v="-3820.7700000000041"/>
    <n v="3820.7700000000041"/>
  </r>
  <r>
    <s v="S00944"/>
    <d v="2025-08-01T00:00:00"/>
    <s v="R03"/>
    <x v="2"/>
    <s v="T08"/>
    <s v="REP08"/>
    <s v="P004"/>
    <n v="91"/>
    <n v="100416.36"/>
    <n v="4163.8500000000004"/>
    <n v="473.32"/>
    <n v="95779.19"/>
    <n v="96038.73"/>
    <x v="3"/>
    <x v="1"/>
    <n v="8"/>
    <n v="1052.5185714285715"/>
    <n v="0.99729754860356867"/>
    <n v="-259.5399999999936"/>
    <n v="259.5399999999936"/>
  </r>
  <r>
    <s v="S00945"/>
    <d v="2025-08-01T00:00:00"/>
    <s v="R03"/>
    <x v="2"/>
    <s v="T09"/>
    <s v="REP09"/>
    <s v="P001"/>
    <n v="124"/>
    <n v="120573.81"/>
    <n v="5876.22"/>
    <n v="1153.9000000000001"/>
    <n v="113543.69"/>
    <n v="119015.52"/>
    <x v="0"/>
    <x v="1"/>
    <n v="8"/>
    <n v="915.67491935483872"/>
    <n v="0.95402423146157744"/>
    <n v="-5471.8300000000017"/>
    <n v="5471.8300000000017"/>
  </r>
  <r>
    <s v="S00946"/>
    <d v="2025-08-01T00:00:00"/>
    <s v="R03"/>
    <x v="2"/>
    <s v="T09"/>
    <s v="REP09"/>
    <s v="P002"/>
    <n v="160"/>
    <n v="120062.83"/>
    <n v="8999.8700000000008"/>
    <n v="736.93"/>
    <n v="110326.04"/>
    <n v="107063.28"/>
    <x v="1"/>
    <x v="1"/>
    <n v="8"/>
    <n v="689.53774999999996"/>
    <n v="1.0304750611040498"/>
    <n v="3262.7599999999948"/>
    <n v="0"/>
  </r>
  <r>
    <s v="S00947"/>
    <d v="2025-08-01T00:00:00"/>
    <s v="R03"/>
    <x v="2"/>
    <s v="T09"/>
    <s v="REP09"/>
    <s v="P003"/>
    <n v="163"/>
    <n v="101520.43"/>
    <n v="5601.37"/>
    <n v="1290.71"/>
    <n v="94628.36"/>
    <n v="100676.96"/>
    <x v="2"/>
    <x v="1"/>
    <n v="8"/>
    <n v="580.54208588957056"/>
    <n v="0.93992071274301481"/>
    <n v="-6048.6000000000058"/>
    <n v="6048.6000000000058"/>
  </r>
  <r>
    <s v="S00948"/>
    <d v="2025-08-01T00:00:00"/>
    <s v="R03"/>
    <x v="2"/>
    <s v="T09"/>
    <s v="REP09"/>
    <s v="P004"/>
    <n v="96"/>
    <n v="107039.97"/>
    <n v="4633.75"/>
    <n v="1205.06"/>
    <n v="101201.16"/>
    <n v="97555.520000000004"/>
    <x v="3"/>
    <x v="1"/>
    <n v="8"/>
    <n v="1054.17875"/>
    <n v="1.0373698997247927"/>
    <n v="3645.6399999999994"/>
    <n v="0"/>
  </r>
  <r>
    <s v="S00949"/>
    <d v="2025-08-01T00:00:00"/>
    <s v="R04"/>
    <x v="3"/>
    <s v="T10"/>
    <s v="REP10"/>
    <s v="P001"/>
    <n v="101"/>
    <n v="99981.28"/>
    <n v="5588.38"/>
    <n v="564.1"/>
    <n v="93828.800000000003"/>
    <n v="94005.39"/>
    <x v="0"/>
    <x v="1"/>
    <n v="8"/>
    <n v="928.99801980198026"/>
    <n v="0.9981214906932464"/>
    <n v="-176.58999999999651"/>
    <n v="176.58999999999651"/>
  </r>
  <r>
    <s v="S00950"/>
    <d v="2025-08-01T00:00:00"/>
    <s v="R04"/>
    <x v="3"/>
    <s v="T10"/>
    <s v="REP10"/>
    <s v="P002"/>
    <n v="123"/>
    <n v="94181.03"/>
    <n v="4264.1400000000003"/>
    <n v="1312.79"/>
    <n v="88604.09"/>
    <n v="85484.06"/>
    <x v="1"/>
    <x v="1"/>
    <n v="8"/>
    <n v="720.35845528455286"/>
    <n v="1.0364983834413106"/>
    <n v="3120.0299999999988"/>
    <n v="0"/>
  </r>
  <r>
    <s v="S00951"/>
    <d v="2025-08-01T00:00:00"/>
    <s v="R04"/>
    <x v="3"/>
    <s v="T10"/>
    <s v="REP10"/>
    <s v="P003"/>
    <n v="129"/>
    <n v="80867.360000000001"/>
    <n v="4362.5"/>
    <n v="928.68"/>
    <n v="75576.179999999993"/>
    <n v="80354.720000000001"/>
    <x v="2"/>
    <x v="1"/>
    <n v="8"/>
    <n v="585.86186046511625"/>
    <n v="0.94053193141610092"/>
    <n v="-4778.5400000000081"/>
    <n v="4778.5400000000081"/>
  </r>
  <r>
    <s v="S00952"/>
    <d v="2025-08-01T00:00:00"/>
    <s v="R04"/>
    <x v="3"/>
    <s v="T10"/>
    <s v="REP10"/>
    <s v="P004"/>
    <n v="77"/>
    <n v="85253.36"/>
    <n v="3201.64"/>
    <n v="559.15"/>
    <n v="81492.56"/>
    <n v="77910.11"/>
    <x v="3"/>
    <x v="1"/>
    <n v="8"/>
    <n v="1058.344935064935"/>
    <n v="1.0459818372737504"/>
    <n v="3582.4499999999971"/>
    <n v="0"/>
  </r>
  <r>
    <s v="S00953"/>
    <d v="2025-08-01T00:00:00"/>
    <s v="R04"/>
    <x v="3"/>
    <s v="T11"/>
    <s v="REP11"/>
    <s v="P001"/>
    <n v="97"/>
    <n v="94922.06"/>
    <n v="5773.4"/>
    <n v="423.24"/>
    <n v="88725.42"/>
    <n v="94962.75"/>
    <x v="0"/>
    <x v="1"/>
    <n v="8"/>
    <n v="914.69505154639171"/>
    <n v="0.93431814053405149"/>
    <n v="-6237.3300000000017"/>
    <n v="6237.3300000000017"/>
  </r>
  <r>
    <s v="S00954"/>
    <d v="2025-08-01T00:00:00"/>
    <s v="R04"/>
    <x v="3"/>
    <s v="T11"/>
    <s v="REP11"/>
    <s v="P002"/>
    <n v="122"/>
    <n v="93773.97"/>
    <n v="6346.44"/>
    <n v="1085.1300000000001"/>
    <n v="86342.399999999994"/>
    <n v="85315.34"/>
    <x v="1"/>
    <x v="1"/>
    <n v="8"/>
    <n v="707.72459016393441"/>
    <n v="1.0120383977840328"/>
    <n v="1027.0599999999977"/>
    <n v="0"/>
  </r>
  <r>
    <s v="S00955"/>
    <d v="2025-08-01T00:00:00"/>
    <s v="R04"/>
    <x v="3"/>
    <s v="T11"/>
    <s v="REP11"/>
    <s v="P003"/>
    <n v="127"/>
    <n v="79750.17"/>
    <n v="2962.07"/>
    <n v="325.83"/>
    <n v="76462.27"/>
    <n v="80757.460000000006"/>
    <x v="2"/>
    <x v="1"/>
    <n v="8"/>
    <n v="602.0651181102362"/>
    <n v="0.94681370612696336"/>
    <n v="-4295.1900000000023"/>
    <n v="4295.1900000000023"/>
  </r>
  <r>
    <s v="S00956"/>
    <d v="2025-08-01T00:00:00"/>
    <s v="R04"/>
    <x v="3"/>
    <s v="T11"/>
    <s v="REP11"/>
    <s v="P004"/>
    <n v="76"/>
    <n v="83236.84"/>
    <n v="4334.43"/>
    <n v="700.53"/>
    <n v="78201.89"/>
    <n v="76209.69"/>
    <x v="3"/>
    <x v="1"/>
    <n v="8"/>
    <n v="1028.9722368421053"/>
    <n v="1.026141032721692"/>
    <n v="1992.1999999999971"/>
    <n v="0"/>
  </r>
  <r>
    <s v="S00957"/>
    <d v="2025-08-01T00:00:00"/>
    <s v="R04"/>
    <x v="3"/>
    <s v="T12"/>
    <s v="REP12"/>
    <s v="P001"/>
    <n v="114"/>
    <n v="112634.72"/>
    <n v="7445.51"/>
    <n v="853.46"/>
    <n v="104335.74"/>
    <n v="107440.85"/>
    <x v="0"/>
    <x v="1"/>
    <n v="8"/>
    <n v="915.22578947368424"/>
    <n v="0.97109935373742851"/>
    <n v="-3105.1100000000006"/>
    <n v="3105.1100000000006"/>
  </r>
  <r>
    <s v="S00958"/>
    <d v="2025-08-01T00:00:00"/>
    <s v="R04"/>
    <x v="3"/>
    <s v="T12"/>
    <s v="REP12"/>
    <s v="P002"/>
    <n v="127"/>
    <n v="96572.99"/>
    <n v="5623.74"/>
    <n v="436.85"/>
    <n v="90512.4"/>
    <n v="96098.99"/>
    <x v="1"/>
    <x v="1"/>
    <n v="8"/>
    <n v="712.69606299212592"/>
    <n v="0.94186629849075409"/>
    <n v="-5586.5900000000111"/>
    <n v="5586.5900000000111"/>
  </r>
  <r>
    <s v="S00959"/>
    <d v="2025-08-01T00:00:00"/>
    <s v="R04"/>
    <x v="3"/>
    <s v="T12"/>
    <s v="REP12"/>
    <s v="P003"/>
    <n v="146"/>
    <n v="89604.81"/>
    <n v="4122.01"/>
    <n v="483.22"/>
    <n v="84999.57"/>
    <n v="90961.71"/>
    <x v="2"/>
    <x v="1"/>
    <n v="8"/>
    <n v="582.18883561643838"/>
    <n v="0.93445439844963341"/>
    <n v="-5962.1399999999994"/>
    <n v="5962.1399999999994"/>
  </r>
  <r>
    <s v="S00960"/>
    <d v="2025-08-01T00:00:00"/>
    <s v="R04"/>
    <x v="3"/>
    <s v="T12"/>
    <s v="REP12"/>
    <s v="P004"/>
    <n v="87"/>
    <n v="96305.78"/>
    <n v="4997.43"/>
    <n v="817.08"/>
    <n v="90491.27"/>
    <n v="87181.41"/>
    <x v="3"/>
    <x v="1"/>
    <n v="8"/>
    <n v="1040.1295402298852"/>
    <n v="1.0379652038204017"/>
    <n v="3309.8600000000006"/>
    <n v="0"/>
  </r>
  <r>
    <s v="S00961"/>
    <d v="2025-09-01T00:00:00"/>
    <s v="R01"/>
    <x v="0"/>
    <s v="T01"/>
    <s v="REP01"/>
    <s v="P001"/>
    <n v="155"/>
    <n v="153012.16"/>
    <n v="9989.9"/>
    <n v="1332.96"/>
    <n v="141689.29999999999"/>
    <n v="154532.53"/>
    <x v="0"/>
    <x v="1"/>
    <n v="9"/>
    <n v="914.12451612903214"/>
    <n v="0.91688979660140157"/>
    <n v="-12843.23000000001"/>
    <n v="12843.23000000001"/>
  </r>
  <r>
    <s v="S00962"/>
    <d v="2025-09-01T00:00:00"/>
    <s v="R01"/>
    <x v="0"/>
    <s v="T01"/>
    <s v="REP01"/>
    <s v="P002"/>
    <n v="211"/>
    <n v="160437.75"/>
    <n v="10339.719999999999"/>
    <n v="1431.15"/>
    <n v="148666.89000000001"/>
    <n v="139178.45000000001"/>
    <x v="1"/>
    <x v="1"/>
    <n v="9"/>
    <n v="704.58241706161141"/>
    <n v="1.0681746347943952"/>
    <n v="9488.4400000000023"/>
    <n v="0"/>
  </r>
  <r>
    <s v="S00963"/>
    <d v="2025-09-01T00:00:00"/>
    <s v="R01"/>
    <x v="0"/>
    <s v="T01"/>
    <s v="REP01"/>
    <s v="P003"/>
    <n v="235"/>
    <n v="144798.79999999999"/>
    <n v="5572.95"/>
    <n v="1632.84"/>
    <n v="137593.01"/>
    <n v="131706.87"/>
    <x v="2"/>
    <x v="1"/>
    <n v="9"/>
    <n v="585.50217021276603"/>
    <n v="1.0446912146648084"/>
    <n v="5886.140000000014"/>
    <n v="0"/>
  </r>
  <r>
    <s v="S00964"/>
    <d v="2025-09-01T00:00:00"/>
    <s v="R01"/>
    <x v="0"/>
    <s v="T01"/>
    <s v="REP01"/>
    <s v="P004"/>
    <n v="116"/>
    <n v="126256.2"/>
    <n v="6980.51"/>
    <n v="1502.58"/>
    <n v="117773.11"/>
    <n v="126841.21"/>
    <x v="3"/>
    <x v="1"/>
    <n v="9"/>
    <n v="1015.2854310344827"/>
    <n v="0.92850825059142839"/>
    <n v="-9068.1000000000058"/>
    <n v="9068.1000000000058"/>
  </r>
  <r>
    <s v="S00965"/>
    <d v="2025-09-01T00:00:00"/>
    <s v="R01"/>
    <x v="0"/>
    <s v="T02"/>
    <s v="REP02"/>
    <s v="P001"/>
    <n v="168"/>
    <n v="166255.88"/>
    <n v="9993"/>
    <n v="1273.75"/>
    <n v="154989.13"/>
    <n v="153305.53"/>
    <x v="0"/>
    <x v="1"/>
    <n v="9"/>
    <n v="922.55434523809527"/>
    <n v="1.0109819913215135"/>
    <n v="1683.6000000000058"/>
    <n v="0"/>
  </r>
  <r>
    <s v="S00966"/>
    <d v="2025-09-01T00:00:00"/>
    <s v="R01"/>
    <x v="0"/>
    <s v="T02"/>
    <s v="REP02"/>
    <s v="P002"/>
    <n v="202"/>
    <n v="152047.72"/>
    <n v="9883.43"/>
    <n v="2098.4"/>
    <n v="140065.9"/>
    <n v="139824.65"/>
    <x v="1"/>
    <x v="1"/>
    <n v="9"/>
    <n v="693.39554455445545"/>
    <n v="1.0017253753183004"/>
    <n v="241.25"/>
    <n v="0"/>
  </r>
  <r>
    <s v="S00967"/>
    <d v="2025-09-01T00:00:00"/>
    <s v="R01"/>
    <x v="0"/>
    <s v="T02"/>
    <s v="REP02"/>
    <s v="P003"/>
    <n v="228"/>
    <n v="141553.63"/>
    <n v="6923.28"/>
    <n v="868.9"/>
    <n v="133761.45000000001"/>
    <n v="131257.26"/>
    <x v="2"/>
    <x v="1"/>
    <n v="9"/>
    <n v="586.67302631578957"/>
    <n v="1.0190784875442318"/>
    <n v="2504.1900000000023"/>
    <n v="0"/>
  </r>
  <r>
    <s v="S00968"/>
    <d v="2025-09-01T00:00:00"/>
    <s v="R01"/>
    <x v="0"/>
    <s v="T02"/>
    <s v="REP02"/>
    <s v="P004"/>
    <n v="118"/>
    <n v="129836.71"/>
    <n v="7456.51"/>
    <n v="1433.77"/>
    <n v="120946.43"/>
    <n v="126655.43"/>
    <x v="3"/>
    <x v="1"/>
    <n v="9"/>
    <n v="1024.9697457627119"/>
    <n v="0.95492494873689981"/>
    <n v="-5709"/>
    <n v="5709"/>
  </r>
  <r>
    <s v="S00969"/>
    <d v="2025-09-01T00:00:00"/>
    <s v="R01"/>
    <x v="0"/>
    <s v="T03"/>
    <s v="REP03"/>
    <s v="P001"/>
    <n v="189"/>
    <n v="184050.47"/>
    <n v="7156.35"/>
    <n v="2467.11"/>
    <n v="174427.01"/>
    <n v="169472.81"/>
    <x v="0"/>
    <x v="1"/>
    <n v="9"/>
    <n v="922.89423280423284"/>
    <n v="1.0292330079379697"/>
    <n v="4954.2000000000116"/>
    <n v="0"/>
  </r>
  <r>
    <s v="S00970"/>
    <d v="2025-09-01T00:00:00"/>
    <s v="R01"/>
    <x v="0"/>
    <s v="T03"/>
    <s v="REP03"/>
    <s v="P002"/>
    <n v="211"/>
    <n v="161141.29"/>
    <n v="6169.96"/>
    <n v="1668.7"/>
    <n v="153302.63"/>
    <n v="155604.63"/>
    <x v="1"/>
    <x v="1"/>
    <n v="9"/>
    <n v="726.55274881516596"/>
    <n v="0.98520609573121309"/>
    <n v="-2302"/>
    <n v="2302"/>
  </r>
  <r>
    <s v="S00971"/>
    <d v="2025-09-01T00:00:00"/>
    <s v="R01"/>
    <x v="0"/>
    <s v="T03"/>
    <s v="REP03"/>
    <s v="P003"/>
    <n v="244"/>
    <n v="152381.87"/>
    <n v="9171.5400000000009"/>
    <n v="1359.49"/>
    <n v="141850.82999999999"/>
    <n v="145498.39000000001"/>
    <x v="2"/>
    <x v="1"/>
    <n v="9"/>
    <n v="581.35586065573762"/>
    <n v="0.97493058170609292"/>
    <n v="-3647.5600000000268"/>
    <n v="3647.5600000000268"/>
  </r>
  <r>
    <s v="S00972"/>
    <d v="2025-09-01T00:00:00"/>
    <s v="R01"/>
    <x v="0"/>
    <s v="T03"/>
    <s v="REP03"/>
    <s v="P004"/>
    <n v="135"/>
    <n v="149084.09"/>
    <n v="9965.4500000000007"/>
    <n v="1884.58"/>
    <n v="137234.06"/>
    <n v="142311.67999999999"/>
    <x v="3"/>
    <x v="1"/>
    <n v="9"/>
    <n v="1016.5485925925926"/>
    <n v="0.96432042682652619"/>
    <n v="-5077.6199999999953"/>
    <n v="5077.6199999999953"/>
  </r>
  <r>
    <s v="S00973"/>
    <d v="2025-09-01T00:00:00"/>
    <s v="R02"/>
    <x v="1"/>
    <s v="T04"/>
    <s v="REP04"/>
    <s v="P001"/>
    <n v="106"/>
    <n v="102900.67"/>
    <n v="5366.2"/>
    <n v="1123.53"/>
    <n v="96410.93"/>
    <n v="123127.67"/>
    <x v="0"/>
    <x v="1"/>
    <n v="9"/>
    <n v="909.53707547169802"/>
    <n v="0.78301595409057922"/>
    <n v="-26716.740000000005"/>
    <n v="26716.740000000005"/>
  </r>
  <r>
    <s v="S00974"/>
    <d v="2025-09-01T00:00:00"/>
    <s v="R02"/>
    <x v="1"/>
    <s v="T04"/>
    <s v="REP04"/>
    <s v="P002"/>
    <n v="148"/>
    <n v="112276.37"/>
    <n v="7630.36"/>
    <n v="1081.57"/>
    <n v="103564.44"/>
    <n v="112276.25"/>
    <x v="1"/>
    <x v="1"/>
    <n v="9"/>
    <n v="699.75972972972977"/>
    <n v="0.92240736576079096"/>
    <n v="-8711.8099999999977"/>
    <n v="8711.8099999999977"/>
  </r>
  <r>
    <s v="S00975"/>
    <d v="2025-09-01T00:00:00"/>
    <s v="R02"/>
    <x v="1"/>
    <s v="T04"/>
    <s v="REP04"/>
    <s v="P003"/>
    <n v="168"/>
    <n v="105051.79"/>
    <n v="3802.9"/>
    <n v="433.38"/>
    <n v="100815.52"/>
    <n v="107014.39"/>
    <x v="2"/>
    <x v="1"/>
    <n v="9"/>
    <n v="600.09238095238095"/>
    <n v="0.94207442569172239"/>
    <n v="-6198.8699999999953"/>
    <n v="6198.8699999999953"/>
  </r>
  <r>
    <s v="S00976"/>
    <d v="2025-09-01T00:00:00"/>
    <s v="R02"/>
    <x v="1"/>
    <s v="T04"/>
    <s v="REP04"/>
    <s v="P004"/>
    <n v="92"/>
    <n v="101940.86"/>
    <n v="5252.29"/>
    <n v="992.68"/>
    <n v="95695.89"/>
    <n v="104095.3"/>
    <x v="3"/>
    <x v="1"/>
    <n v="9"/>
    <n v="1040.1727173913043"/>
    <n v="0.91931038192886705"/>
    <n v="-8399.4100000000035"/>
    <n v="8399.4100000000035"/>
  </r>
  <r>
    <s v="S00977"/>
    <d v="2025-09-01T00:00:00"/>
    <s v="R02"/>
    <x v="1"/>
    <s v="T05"/>
    <s v="REP05"/>
    <s v="P001"/>
    <n v="92"/>
    <n v="89474.77"/>
    <n v="6548.88"/>
    <n v="990.97"/>
    <n v="81934.92"/>
    <n v="109750.19"/>
    <x v="0"/>
    <x v="1"/>
    <n v="9"/>
    <n v="890.59695652173912"/>
    <n v="0.74655834308806202"/>
    <n v="-27815.270000000004"/>
    <n v="27815.270000000004"/>
  </r>
  <r>
    <s v="S00978"/>
    <d v="2025-09-01T00:00:00"/>
    <s v="R02"/>
    <x v="1"/>
    <s v="T05"/>
    <s v="REP05"/>
    <s v="P002"/>
    <n v="137"/>
    <n v="104449.86"/>
    <n v="5781.65"/>
    <n v="615.13"/>
    <n v="98053.08"/>
    <n v="99837.62"/>
    <x v="1"/>
    <x v="1"/>
    <n v="9"/>
    <n v="715.7159124087591"/>
    <n v="0.98212557550951241"/>
    <n v="-1784.5399999999936"/>
    <n v="1784.5399999999936"/>
  </r>
  <r>
    <s v="S00979"/>
    <d v="2025-09-01T00:00:00"/>
    <s v="R02"/>
    <x v="1"/>
    <s v="T05"/>
    <s v="REP05"/>
    <s v="P003"/>
    <n v="146"/>
    <n v="91313.49"/>
    <n v="3888.75"/>
    <n v="479.56"/>
    <n v="86945.17"/>
    <n v="92663.75"/>
    <x v="2"/>
    <x v="1"/>
    <n v="9"/>
    <n v="595.51486301369857"/>
    <n v="0.93828676262292421"/>
    <n v="-5718.5800000000017"/>
    <n v="5718.5800000000017"/>
  </r>
  <r>
    <s v="S00980"/>
    <d v="2025-09-01T00:00:00"/>
    <s v="R02"/>
    <x v="1"/>
    <s v="T05"/>
    <s v="REP05"/>
    <s v="P004"/>
    <n v="85"/>
    <n v="93256.03"/>
    <n v="3687.23"/>
    <n v="394.06"/>
    <n v="89174.75"/>
    <n v="91369.93"/>
    <x v="3"/>
    <x v="1"/>
    <n v="9"/>
    <n v="1049.1147058823528"/>
    <n v="0.97597480921786861"/>
    <n v="-2195.179999999993"/>
    <n v="2195.179999999993"/>
  </r>
  <r>
    <s v="S00981"/>
    <d v="2025-09-01T00:00:00"/>
    <s v="R02"/>
    <x v="1"/>
    <s v="T06"/>
    <s v="REP06"/>
    <s v="P001"/>
    <n v="108"/>
    <n v="106971.01"/>
    <n v="7939.81"/>
    <n v="650.28"/>
    <n v="98380.93"/>
    <n v="125996.73"/>
    <x v="0"/>
    <x v="1"/>
    <n v="9"/>
    <n v="910.93453703703699"/>
    <n v="0.78082129591775906"/>
    <n v="-27615.800000000003"/>
    <n v="27615.800000000003"/>
  </r>
  <r>
    <s v="S00982"/>
    <d v="2025-09-01T00:00:00"/>
    <s v="R02"/>
    <x v="1"/>
    <s v="T06"/>
    <s v="REP06"/>
    <s v="P002"/>
    <n v="153"/>
    <n v="117524.65"/>
    <n v="4901.5600000000004"/>
    <n v="875.21"/>
    <n v="111747.89"/>
    <n v="113520.63"/>
    <x v="1"/>
    <x v="1"/>
    <n v="9"/>
    <n v="730.37836601307185"/>
    <n v="0.98438398377457903"/>
    <n v="-1772.7400000000052"/>
    <n v="1772.7400000000052"/>
  </r>
  <r>
    <s v="S00983"/>
    <d v="2025-09-01T00:00:00"/>
    <s v="R02"/>
    <x v="1"/>
    <s v="T06"/>
    <s v="REP06"/>
    <s v="P003"/>
    <n v="169"/>
    <n v="105119.82"/>
    <n v="5926.19"/>
    <n v="1136.82"/>
    <n v="98056.82"/>
    <n v="104206.72"/>
    <x v="2"/>
    <x v="1"/>
    <n v="9"/>
    <n v="580.21786982248523"/>
    <n v="0.94098365249381233"/>
    <n v="-6149.8999999999942"/>
    <n v="6149.8999999999942"/>
  </r>
  <r>
    <s v="S00984"/>
    <d v="2025-09-01T00:00:00"/>
    <s v="R02"/>
    <x v="1"/>
    <s v="T06"/>
    <s v="REP06"/>
    <s v="P004"/>
    <n v="97"/>
    <n v="108139.36"/>
    <n v="7124.57"/>
    <n v="759.21"/>
    <n v="100255.58"/>
    <n v="102555.97"/>
    <x v="3"/>
    <x v="1"/>
    <n v="9"/>
    <n v="1033.5626804123713"/>
    <n v="0.97756941892314997"/>
    <n v="-2300.3899999999994"/>
    <n v="2300.3899999999994"/>
  </r>
  <r>
    <s v="S00985"/>
    <d v="2025-09-01T00:00:00"/>
    <s v="R03"/>
    <x v="2"/>
    <s v="T07"/>
    <s v="REP07"/>
    <s v="P001"/>
    <n v="133"/>
    <n v="132139.59"/>
    <n v="8585.99"/>
    <n v="1362.2"/>
    <n v="122191.4"/>
    <n v="123193.04"/>
    <x v="0"/>
    <x v="1"/>
    <n v="9"/>
    <n v="918.73233082706759"/>
    <n v="0.99186934586564302"/>
    <n v="-1001.6399999999994"/>
    <n v="1001.6399999999994"/>
  </r>
  <r>
    <s v="S00986"/>
    <d v="2025-09-01T00:00:00"/>
    <s v="R03"/>
    <x v="2"/>
    <s v="T07"/>
    <s v="REP07"/>
    <s v="P002"/>
    <n v="153"/>
    <n v="116106.62"/>
    <n v="5974"/>
    <n v="733.55"/>
    <n v="109399.07"/>
    <n v="112287.94"/>
    <x v="1"/>
    <x v="1"/>
    <n v="9"/>
    <n v="715.02660130718959"/>
    <n v="0.97427266009154678"/>
    <n v="-2888.8699999999953"/>
    <n v="2888.8699999999953"/>
  </r>
  <r>
    <s v="S00987"/>
    <d v="2025-09-01T00:00:00"/>
    <s v="R03"/>
    <x v="2"/>
    <s v="T07"/>
    <s v="REP07"/>
    <s v="P003"/>
    <n v="175"/>
    <n v="108567.01"/>
    <n v="7805.95"/>
    <n v="926.33"/>
    <n v="99834.73"/>
    <n v="104315.96"/>
    <x v="2"/>
    <x v="1"/>
    <n v="9"/>
    <n v="570.48417142857136"/>
    <n v="0.95704176043627442"/>
    <n v="-4481.2300000000105"/>
    <n v="4481.2300000000105"/>
  </r>
  <r>
    <s v="S00988"/>
    <d v="2025-09-01T00:00:00"/>
    <s v="R03"/>
    <x v="2"/>
    <s v="T07"/>
    <s v="REP07"/>
    <s v="P004"/>
    <n v="101"/>
    <n v="112680.92"/>
    <n v="4974.7299999999996"/>
    <n v="557.02"/>
    <n v="107149.17"/>
    <n v="103245.73"/>
    <x v="3"/>
    <x v="1"/>
    <n v="9"/>
    <n v="1060.8828712871286"/>
    <n v="1.0378072778409335"/>
    <n v="3903.4400000000023"/>
    <n v="0"/>
  </r>
  <r>
    <s v="S00989"/>
    <d v="2025-09-01T00:00:00"/>
    <s v="R03"/>
    <x v="2"/>
    <s v="T08"/>
    <s v="REP08"/>
    <s v="P001"/>
    <n v="131"/>
    <n v="130269.81"/>
    <n v="7139.69"/>
    <n v="1101.92"/>
    <n v="122028.19"/>
    <n v="126775.32"/>
    <x v="0"/>
    <x v="1"/>
    <n v="9"/>
    <n v="931.51290076335874"/>
    <n v="0.96255477801199785"/>
    <n v="-4747.1300000000047"/>
    <n v="4747.1300000000047"/>
  </r>
  <r>
    <s v="S00990"/>
    <d v="2025-09-01T00:00:00"/>
    <s v="R03"/>
    <x v="2"/>
    <s v="T08"/>
    <s v="REP08"/>
    <s v="P002"/>
    <n v="155"/>
    <n v="119305.2"/>
    <n v="6703.2"/>
    <n v="1359.74"/>
    <n v="111242.26"/>
    <n v="113335.81"/>
    <x v="1"/>
    <x v="1"/>
    <n v="9"/>
    <n v="717.69200000000001"/>
    <n v="0.98152790366963449"/>
    <n v="-2093.5500000000029"/>
    <n v="2093.5500000000029"/>
  </r>
  <r>
    <s v="S00991"/>
    <d v="2025-09-01T00:00:00"/>
    <s v="R03"/>
    <x v="2"/>
    <s v="T08"/>
    <s v="REP08"/>
    <s v="P003"/>
    <n v="183"/>
    <n v="113870.57"/>
    <n v="8396.01"/>
    <n v="1434.13"/>
    <n v="104040.43"/>
    <n v="107031.76"/>
    <x v="2"/>
    <x v="1"/>
    <n v="9"/>
    <n v="568.52693989071031"/>
    <n v="0.97205194047075372"/>
    <n v="-2991.3300000000017"/>
    <n v="2991.3300000000017"/>
  </r>
  <r>
    <s v="S00992"/>
    <d v="2025-09-01T00:00:00"/>
    <s v="R03"/>
    <x v="2"/>
    <s v="T08"/>
    <s v="REP08"/>
    <s v="P004"/>
    <n v="99"/>
    <n v="107994.76"/>
    <n v="4582.0200000000004"/>
    <n v="492.83"/>
    <n v="102919.9"/>
    <n v="103629.28"/>
    <x v="3"/>
    <x v="1"/>
    <n v="9"/>
    <n v="1039.5949494949493"/>
    <n v="0.9931546373766178"/>
    <n v="-709.38000000000466"/>
    <n v="709.38000000000466"/>
  </r>
  <r>
    <s v="S00993"/>
    <d v="2025-09-01T00:00:00"/>
    <s v="R03"/>
    <x v="2"/>
    <s v="T09"/>
    <s v="REP09"/>
    <s v="P001"/>
    <n v="139"/>
    <n v="134474.37"/>
    <n v="7903.86"/>
    <n v="658.16"/>
    <n v="125912.35"/>
    <n v="127005.5"/>
    <x v="0"/>
    <x v="1"/>
    <n v="9"/>
    <n v="905.8442446043166"/>
    <n v="0.99139289243379225"/>
    <n v="-1093.1499999999942"/>
    <n v="1093.1499999999942"/>
  </r>
  <r>
    <s v="S00994"/>
    <d v="2025-09-01T00:00:00"/>
    <s v="R03"/>
    <x v="2"/>
    <s v="T09"/>
    <s v="REP09"/>
    <s v="P002"/>
    <n v="160"/>
    <n v="123146.52"/>
    <n v="7941.05"/>
    <n v="1703.28"/>
    <n v="113502.19"/>
    <n v="116098.66"/>
    <x v="1"/>
    <x v="1"/>
    <n v="9"/>
    <n v="709.38868750000006"/>
    <n v="0.97763565918848672"/>
    <n v="-2596.4700000000012"/>
    <n v="2596.4700000000012"/>
  </r>
  <r>
    <s v="S00995"/>
    <d v="2025-09-01T00:00:00"/>
    <s v="R03"/>
    <x v="2"/>
    <s v="T09"/>
    <s v="REP09"/>
    <s v="P003"/>
    <n v="193"/>
    <n v="120931.32"/>
    <n v="8286.0300000000007"/>
    <n v="640.87"/>
    <n v="112004.41"/>
    <n v="110430.88"/>
    <x v="2"/>
    <x v="1"/>
    <n v="9"/>
    <n v="580.33373056994822"/>
    <n v="1.0142490035395897"/>
    <n v="1573.5299999999988"/>
    <n v="0"/>
  </r>
  <r>
    <s v="S00996"/>
    <d v="2025-09-01T00:00:00"/>
    <s v="R03"/>
    <x v="2"/>
    <s v="T09"/>
    <s v="REP09"/>
    <s v="P004"/>
    <n v="96"/>
    <n v="104026.24000000001"/>
    <n v="7345.4"/>
    <n v="437.34"/>
    <n v="96243.5"/>
    <n v="105583.18"/>
    <x v="3"/>
    <x v="1"/>
    <n v="9"/>
    <n v="1002.5364583333334"/>
    <n v="0.9115419709843936"/>
    <n v="-9339.679999999993"/>
    <n v="9339.679999999993"/>
  </r>
  <r>
    <s v="S00997"/>
    <d v="2025-09-01T00:00:00"/>
    <s v="R04"/>
    <x v="3"/>
    <s v="T10"/>
    <s v="REP10"/>
    <s v="P001"/>
    <n v="109"/>
    <n v="107195.22"/>
    <n v="6360.94"/>
    <n v="781.81"/>
    <n v="100052.46"/>
    <n v="100220.19"/>
    <x v="0"/>
    <x v="1"/>
    <n v="9"/>
    <n v="917.9124770642203"/>
    <n v="0.99832638513257665"/>
    <n v="-167.72999999999593"/>
    <n v="167.72999999999593"/>
  </r>
  <r>
    <s v="S00998"/>
    <d v="2025-09-01T00:00:00"/>
    <s v="R04"/>
    <x v="3"/>
    <s v="T10"/>
    <s v="REP10"/>
    <s v="P002"/>
    <n v="124"/>
    <n v="95538.51"/>
    <n v="3377.76"/>
    <n v="696.9"/>
    <n v="91463.86"/>
    <n v="92316.52"/>
    <x v="1"/>
    <x v="1"/>
    <n v="9"/>
    <n v="737.6117741935484"/>
    <n v="0.99076373329497247"/>
    <n v="-852.66000000000349"/>
    <n v="852.66000000000349"/>
  </r>
  <r>
    <s v="S00999"/>
    <d v="2025-09-01T00:00:00"/>
    <s v="R04"/>
    <x v="3"/>
    <s v="T10"/>
    <s v="REP10"/>
    <s v="P003"/>
    <n v="140"/>
    <n v="85652.01"/>
    <n v="3731.55"/>
    <n v="1127.42"/>
    <n v="80793.03"/>
    <n v="85784.320000000007"/>
    <x v="2"/>
    <x v="1"/>
    <n v="9"/>
    <n v="577.09307142857142"/>
    <n v="0.94181582368432826"/>
    <n v="-4991.2900000000081"/>
    <n v="4991.2900000000081"/>
  </r>
  <r>
    <s v="S01000"/>
    <d v="2025-09-01T00:00:00"/>
    <s v="R04"/>
    <x v="3"/>
    <s v="T10"/>
    <s v="REP10"/>
    <s v="P004"/>
    <n v="80"/>
    <n v="86820.72"/>
    <n v="6378.45"/>
    <n v="1065.6099999999999"/>
    <n v="79376.66"/>
    <n v="83041.03"/>
    <x v="3"/>
    <x v="1"/>
    <n v="9"/>
    <n v="992.20825000000002"/>
    <n v="0.95587277758958433"/>
    <n v="-3664.3699999999953"/>
    <n v="3664.3699999999953"/>
  </r>
  <r>
    <s v="S01001"/>
    <d v="2025-09-01T00:00:00"/>
    <s v="R04"/>
    <x v="3"/>
    <s v="T11"/>
    <s v="REP11"/>
    <s v="P001"/>
    <n v="104"/>
    <n v="100675.03"/>
    <n v="6457.28"/>
    <n v="625.12"/>
    <n v="93592.63"/>
    <n v="99264.68"/>
    <x v="0"/>
    <x v="1"/>
    <n v="9"/>
    <n v="899.92913461538467"/>
    <n v="0.94285933324924853"/>
    <n v="-5672.0499999999884"/>
    <n v="5672.0499999999884"/>
  </r>
  <r>
    <s v="S01002"/>
    <d v="2025-09-01T00:00:00"/>
    <s v="R04"/>
    <x v="3"/>
    <s v="T11"/>
    <s v="REP11"/>
    <s v="P002"/>
    <n v="124"/>
    <n v="93171.13"/>
    <n v="3807.72"/>
    <n v="933.81"/>
    <n v="88429.6"/>
    <n v="91486.85"/>
    <x v="1"/>
    <x v="1"/>
    <n v="9"/>
    <n v="713.14193548387107"/>
    <n v="0.96658262908822412"/>
    <n v="-3057.25"/>
    <n v="3057.25"/>
  </r>
  <r>
    <s v="S01003"/>
    <d v="2025-09-01T00:00:00"/>
    <s v="R04"/>
    <x v="3"/>
    <s v="T11"/>
    <s v="REP11"/>
    <s v="P003"/>
    <n v="134"/>
    <n v="82656.08"/>
    <n v="4901.9799999999996"/>
    <n v="719.02"/>
    <n v="77035.08"/>
    <n v="85644.64"/>
    <x v="2"/>
    <x v="1"/>
    <n v="9"/>
    <n v="574.88865671641793"/>
    <n v="0.89947345216233032"/>
    <n v="-8609.5599999999977"/>
    <n v="8609.5599999999977"/>
  </r>
  <r>
    <s v="S01004"/>
    <d v="2025-09-01T00:00:00"/>
    <s v="R04"/>
    <x v="3"/>
    <s v="T11"/>
    <s v="REP11"/>
    <s v="P004"/>
    <n v="74"/>
    <n v="81033.25"/>
    <n v="4806.4399999999996"/>
    <n v="1067.1500000000001"/>
    <n v="75159.66"/>
    <n v="82499.06"/>
    <x v="3"/>
    <x v="1"/>
    <n v="9"/>
    <n v="1015.6710810810812"/>
    <n v="0.91103656211355633"/>
    <n v="-7339.3999999999942"/>
    <n v="7339.3999999999942"/>
  </r>
  <r>
    <s v="S01005"/>
    <d v="2025-09-01T00:00:00"/>
    <s v="R04"/>
    <x v="3"/>
    <s v="T12"/>
    <s v="REP12"/>
    <s v="P001"/>
    <n v="117"/>
    <n v="115691.52"/>
    <n v="8376.4"/>
    <n v="1111.24"/>
    <n v="106203.88"/>
    <n v="113050.27"/>
    <x v="0"/>
    <x v="1"/>
    <n v="9"/>
    <n v="907.72547008547008"/>
    <n v="0.93943941929550456"/>
    <n v="-6846.3899999999994"/>
    <n v="6846.3899999999994"/>
  </r>
  <r>
    <s v="S01006"/>
    <d v="2025-09-01T00:00:00"/>
    <s v="R04"/>
    <x v="3"/>
    <s v="T12"/>
    <s v="REP12"/>
    <s v="P002"/>
    <n v="145"/>
    <n v="108849.13"/>
    <n v="4276.3599999999997"/>
    <n v="915.92"/>
    <n v="103656.85"/>
    <n v="101342.51"/>
    <x v="1"/>
    <x v="1"/>
    <n v="9"/>
    <n v="714.87482758620695"/>
    <n v="1.0228368134951464"/>
    <n v="2314.3400000000111"/>
    <n v="0"/>
  </r>
  <r>
    <s v="S01007"/>
    <d v="2025-09-01T00:00:00"/>
    <s v="R04"/>
    <x v="3"/>
    <s v="T12"/>
    <s v="REP12"/>
    <s v="P003"/>
    <n v="161"/>
    <n v="98958.28"/>
    <n v="5328.36"/>
    <n v="610.65"/>
    <n v="93019.27"/>
    <n v="96106.8"/>
    <x v="2"/>
    <x v="1"/>
    <n v="9"/>
    <n v="577.75944099378887"/>
    <n v="0.96787396937573622"/>
    <n v="-3087.5299999999988"/>
    <n v="3087.5299999999988"/>
  </r>
  <r>
    <s v="S01008"/>
    <d v="2025-09-01T00:00:00"/>
    <s v="R04"/>
    <x v="3"/>
    <s v="T12"/>
    <s v="REP12"/>
    <s v="P004"/>
    <n v="88"/>
    <n v="97499.65"/>
    <n v="4652.63"/>
    <n v="915.67"/>
    <n v="91931.34"/>
    <n v="92533.18"/>
    <x v="3"/>
    <x v="1"/>
    <n v="9"/>
    <n v="1044.6743181818181"/>
    <n v="0.99349595464027074"/>
    <n v="-601.83999999999651"/>
    <n v="601.83999999999651"/>
  </r>
  <r>
    <s v="S01009"/>
    <d v="2025-10-01T00:00:00"/>
    <s v="R01"/>
    <x v="0"/>
    <s v="T01"/>
    <s v="REP01"/>
    <s v="P001"/>
    <n v="162"/>
    <n v="158635.45000000001"/>
    <n v="5752.48"/>
    <n v="1923.02"/>
    <n v="150959.96"/>
    <n v="159891.73000000001"/>
    <x v="0"/>
    <x v="1"/>
    <n v="10"/>
    <n v="931.85160493827152"/>
    <n v="0.94413863681379884"/>
    <n v="-8931.7700000000186"/>
    <n v="8931.7700000000186"/>
  </r>
  <r>
    <s v="S01010"/>
    <d v="2025-10-01T00:00:00"/>
    <s v="R01"/>
    <x v="0"/>
    <s v="T01"/>
    <s v="REP01"/>
    <s v="P002"/>
    <n v="219"/>
    <n v="164102.88"/>
    <n v="11721.21"/>
    <n v="924.32"/>
    <n v="151457.35"/>
    <n v="143283.17000000001"/>
    <x v="1"/>
    <x v="1"/>
    <n v="10"/>
    <n v="691.58607305936073"/>
    <n v="1.0570491286590042"/>
    <n v="8174.179999999993"/>
    <n v="0"/>
  </r>
  <r>
    <s v="S01011"/>
    <d v="2025-10-01T00:00:00"/>
    <s v="R01"/>
    <x v="0"/>
    <s v="T01"/>
    <s v="REP01"/>
    <s v="P003"/>
    <n v="243"/>
    <n v="148446.79999999999"/>
    <n v="9863.6200000000008"/>
    <n v="1468.97"/>
    <n v="137114.21"/>
    <n v="138219.48000000001"/>
    <x v="2"/>
    <x v="1"/>
    <n v="10"/>
    <n v="564.25600823045261"/>
    <n v="0.99200351498934869"/>
    <n v="-1105.2700000000186"/>
    <n v="1105.2700000000186"/>
  </r>
  <r>
    <s v="S01012"/>
    <d v="2025-10-01T00:00:00"/>
    <s v="R01"/>
    <x v="0"/>
    <s v="T01"/>
    <s v="REP01"/>
    <s v="P004"/>
    <n v="133"/>
    <n v="144631.76999999999"/>
    <n v="5580.41"/>
    <n v="1461.79"/>
    <n v="137589.57"/>
    <n v="132354.1"/>
    <x v="3"/>
    <x v="1"/>
    <n v="10"/>
    <n v="1034.5080451127819"/>
    <n v="1.0395565381049774"/>
    <n v="5235.4700000000012"/>
    <n v="0"/>
  </r>
  <r>
    <s v="S01013"/>
    <d v="2025-10-01T00:00:00"/>
    <s v="R01"/>
    <x v="0"/>
    <s v="T02"/>
    <s v="REP02"/>
    <s v="P001"/>
    <n v="170"/>
    <n v="167222.21"/>
    <n v="11545.42"/>
    <n v="1016.78"/>
    <n v="154660.01999999999"/>
    <n v="162627.43"/>
    <x v="0"/>
    <x v="1"/>
    <n v="10"/>
    <n v="909.76482352941173"/>
    <n v="0.95100820322869273"/>
    <n v="-7967.4100000000035"/>
    <n v="7967.4100000000035"/>
  </r>
  <r>
    <s v="S01014"/>
    <d v="2025-10-01T00:00:00"/>
    <s v="R01"/>
    <x v="0"/>
    <s v="T02"/>
    <s v="REP02"/>
    <s v="P002"/>
    <n v="206"/>
    <n v="154801.16"/>
    <n v="8704.7000000000007"/>
    <n v="786.24"/>
    <n v="145310.22"/>
    <n v="147553.10999999999"/>
    <x v="1"/>
    <x v="1"/>
    <n v="10"/>
    <n v="705.38941747572812"/>
    <n v="0.98479943933408121"/>
    <n v="-2242.8899999999849"/>
    <n v="2242.8899999999849"/>
  </r>
  <r>
    <s v="S01015"/>
    <d v="2025-10-01T00:00:00"/>
    <s v="R01"/>
    <x v="0"/>
    <s v="T02"/>
    <s v="REP02"/>
    <s v="P003"/>
    <n v="228"/>
    <n v="140392.18"/>
    <n v="9427.16"/>
    <n v="817.12"/>
    <n v="130147.89"/>
    <n v="136390.76999999999"/>
    <x v="2"/>
    <x v="1"/>
    <n v="10"/>
    <n v="570.82407894736843"/>
    <n v="0.9542279877150045"/>
    <n v="-6242.8799999999901"/>
    <n v="6242.8799999999901"/>
  </r>
  <r>
    <s v="S01016"/>
    <d v="2025-10-01T00:00:00"/>
    <s v="R01"/>
    <x v="0"/>
    <s v="T02"/>
    <s v="REP02"/>
    <s v="P004"/>
    <n v="133"/>
    <n v="147468.04"/>
    <n v="7033.19"/>
    <n v="1385"/>
    <n v="139049.85"/>
    <n v="131999.46"/>
    <x v="3"/>
    <x v="1"/>
    <n v="10"/>
    <n v="1045.4875939849624"/>
    <n v="1.0534122639592618"/>
    <n v="7050.390000000014"/>
    <n v="0"/>
  </r>
  <r>
    <s v="S01017"/>
    <d v="2025-10-01T00:00:00"/>
    <s v="R01"/>
    <x v="0"/>
    <s v="T03"/>
    <s v="REP03"/>
    <s v="P001"/>
    <n v="193"/>
    <n v="186431.31"/>
    <n v="12764.66"/>
    <n v="1980.81"/>
    <n v="171685.85"/>
    <n v="180057.94"/>
    <x v="0"/>
    <x v="1"/>
    <n v="10"/>
    <n v="889.56398963730578"/>
    <n v="0.95350335564207833"/>
    <n v="-8372.0899999999965"/>
    <n v="8372.0899999999965"/>
  </r>
  <r>
    <s v="S01018"/>
    <d v="2025-10-01T00:00:00"/>
    <s v="R01"/>
    <x v="0"/>
    <s v="T03"/>
    <s v="REP03"/>
    <s v="P002"/>
    <n v="225"/>
    <n v="168540.03"/>
    <n v="8197.48"/>
    <n v="2280.66"/>
    <n v="158061.9"/>
    <n v="162789.10999999999"/>
    <x v="1"/>
    <x v="1"/>
    <n v="10"/>
    <n v="702.49733333333336"/>
    <n v="0.97096114107387166"/>
    <n v="-4727.2099999999919"/>
    <n v="4727.2099999999919"/>
  </r>
  <r>
    <s v="S01019"/>
    <d v="2025-10-01T00:00:00"/>
    <s v="R01"/>
    <x v="0"/>
    <s v="T03"/>
    <s v="REP03"/>
    <s v="P003"/>
    <n v="242"/>
    <n v="149028.51999999999"/>
    <n v="6397.13"/>
    <n v="1991.5"/>
    <n v="140639.89000000001"/>
    <n v="152559.53"/>
    <x v="2"/>
    <x v="1"/>
    <n v="10"/>
    <n v="581.15657024793393"/>
    <n v="0.92186892552697308"/>
    <n v="-11919.639999999985"/>
    <n v="11919.639999999985"/>
  </r>
  <r>
    <s v="S01020"/>
    <d v="2025-10-01T00:00:00"/>
    <s v="R01"/>
    <x v="0"/>
    <s v="T03"/>
    <s v="REP03"/>
    <s v="P004"/>
    <n v="140"/>
    <n v="152852.26999999999"/>
    <n v="10330.23"/>
    <n v="798.38"/>
    <n v="141723.67000000001"/>
    <n v="145551.09"/>
    <x v="3"/>
    <x v="1"/>
    <n v="10"/>
    <n v="1012.3119285714287"/>
    <n v="0.97370394134458227"/>
    <n v="-3827.4199999999837"/>
    <n v="3827.4199999999837"/>
  </r>
  <r>
    <s v="S01021"/>
    <d v="2025-10-01T00:00:00"/>
    <s v="R02"/>
    <x v="1"/>
    <s v="T04"/>
    <s v="REP04"/>
    <s v="P001"/>
    <n v="120"/>
    <n v="118592.17"/>
    <n v="7792.57"/>
    <n v="846.16"/>
    <n v="109953.44"/>
    <n v="128311.1"/>
    <x v="0"/>
    <x v="1"/>
    <n v="10"/>
    <n v="916.27866666666671"/>
    <n v="0.85692851203052578"/>
    <n v="-18357.660000000003"/>
    <n v="18357.660000000003"/>
  </r>
  <r>
    <s v="S01022"/>
    <d v="2025-10-01T00:00:00"/>
    <s v="R02"/>
    <x v="1"/>
    <s v="T04"/>
    <s v="REP04"/>
    <s v="P002"/>
    <n v="154"/>
    <n v="117283.45"/>
    <n v="5697.91"/>
    <n v="1536.8"/>
    <n v="110048.74"/>
    <n v="118975.4"/>
    <x v="1"/>
    <x v="1"/>
    <n v="10"/>
    <n v="714.60220779220788"/>
    <n v="0.92497054012846358"/>
    <n v="-8926.6599999999889"/>
    <n v="8926.6599999999889"/>
  </r>
  <r>
    <s v="S01023"/>
    <d v="2025-10-01T00:00:00"/>
    <s v="R02"/>
    <x v="1"/>
    <s v="T04"/>
    <s v="REP04"/>
    <s v="P003"/>
    <n v="177"/>
    <n v="110028.65"/>
    <n v="5010.9799999999996"/>
    <n v="1236.1099999999999"/>
    <n v="103781.57"/>
    <n v="110243.34"/>
    <x v="2"/>
    <x v="1"/>
    <n v="10"/>
    <n v="586.33655367231643"/>
    <n v="0.94138630052391381"/>
    <n v="-6461.7699999999895"/>
    <n v="6461.7699999999895"/>
  </r>
  <r>
    <s v="S01024"/>
    <d v="2025-10-01T00:00:00"/>
    <s v="R02"/>
    <x v="1"/>
    <s v="T04"/>
    <s v="REP04"/>
    <s v="P004"/>
    <n v="98"/>
    <n v="107003.84"/>
    <n v="7524.98"/>
    <n v="891.54"/>
    <n v="98587.32"/>
    <n v="107468.32"/>
    <x v="3"/>
    <x v="1"/>
    <n v="10"/>
    <n v="1005.9930612244899"/>
    <n v="0.91736169319479455"/>
    <n v="-8881"/>
    <n v="8881"/>
  </r>
  <r>
    <s v="S01025"/>
    <d v="2025-10-01T00:00:00"/>
    <s v="R02"/>
    <x v="1"/>
    <s v="T05"/>
    <s v="REP05"/>
    <s v="P001"/>
    <n v="102"/>
    <n v="100497.47"/>
    <n v="4529.3100000000004"/>
    <n v="908.3"/>
    <n v="95059.87"/>
    <n v="116151.83"/>
    <x v="0"/>
    <x v="1"/>
    <n v="10"/>
    <n v="931.95950980392149"/>
    <n v="0.81841043744209618"/>
    <n v="-21091.960000000006"/>
    <n v="21091.960000000006"/>
  </r>
  <r>
    <s v="S01026"/>
    <d v="2025-10-01T00:00:00"/>
    <s v="R02"/>
    <x v="1"/>
    <s v="T05"/>
    <s v="REP05"/>
    <s v="P002"/>
    <n v="140"/>
    <n v="107421.52"/>
    <n v="6790.59"/>
    <n v="1335.96"/>
    <n v="99294.97"/>
    <n v="104269.18"/>
    <x v="1"/>
    <x v="1"/>
    <n v="10"/>
    <n v="709.24978571428574"/>
    <n v="0.95229453228653005"/>
    <n v="-4974.2099999999919"/>
    <n v="4974.2099999999919"/>
  </r>
  <r>
    <s v="S01027"/>
    <d v="2025-10-01T00:00:00"/>
    <s v="R02"/>
    <x v="1"/>
    <s v="T05"/>
    <s v="REP05"/>
    <s v="P003"/>
    <n v="168"/>
    <n v="104956.9"/>
    <n v="3876.86"/>
    <n v="970.7"/>
    <n v="100109.34"/>
    <n v="98846.83"/>
    <x v="2"/>
    <x v="1"/>
    <n v="10"/>
    <n v="595.88892857142855"/>
    <n v="1.0127723873390779"/>
    <n v="1262.5099999999948"/>
    <n v="0"/>
  </r>
  <r>
    <s v="S01028"/>
    <d v="2025-10-01T00:00:00"/>
    <s v="R02"/>
    <x v="1"/>
    <s v="T05"/>
    <s v="REP05"/>
    <s v="P004"/>
    <n v="91"/>
    <n v="100802.35"/>
    <n v="7156.05"/>
    <n v="654.91999999999996"/>
    <n v="92991.38"/>
    <n v="94246.25"/>
    <x v="3"/>
    <x v="1"/>
    <n v="10"/>
    <n v="1021.8832967032968"/>
    <n v="0.9866851996763798"/>
    <n v="-1254.8699999999953"/>
    <n v="1254.8699999999953"/>
  </r>
  <r>
    <s v="S01029"/>
    <d v="2025-10-01T00:00:00"/>
    <s v="R02"/>
    <x v="1"/>
    <s v="T06"/>
    <s v="REP06"/>
    <s v="P001"/>
    <n v="120"/>
    <n v="118049.75"/>
    <n v="6602.98"/>
    <n v="482.88"/>
    <n v="110963.9"/>
    <n v="127740"/>
    <x v="0"/>
    <x v="1"/>
    <n v="10"/>
    <n v="924.69916666666666"/>
    <n v="0.86866995459527163"/>
    <n v="-16776.100000000006"/>
    <n v="16776.100000000006"/>
  </r>
  <r>
    <s v="S01030"/>
    <d v="2025-10-01T00:00:00"/>
    <s v="R02"/>
    <x v="1"/>
    <s v="T06"/>
    <s v="REP06"/>
    <s v="P002"/>
    <n v="164"/>
    <n v="123646.77"/>
    <n v="7916.46"/>
    <n v="967.44"/>
    <n v="114762.87"/>
    <n v="118238.79"/>
    <x v="1"/>
    <x v="1"/>
    <n v="10"/>
    <n v="699.77359756097553"/>
    <n v="0.97060254084129249"/>
    <n v="-3475.9199999999983"/>
    <n v="3475.9199999999983"/>
  </r>
  <r>
    <s v="S01031"/>
    <d v="2025-10-01T00:00:00"/>
    <s v="R02"/>
    <x v="1"/>
    <s v="T06"/>
    <s v="REP06"/>
    <s v="P003"/>
    <n v="174"/>
    <n v="107068.73"/>
    <n v="3888.67"/>
    <n v="605.87"/>
    <n v="102574.19"/>
    <n v="109621.13"/>
    <x v="2"/>
    <x v="1"/>
    <n v="10"/>
    <n v="589.50683908045983"/>
    <n v="0.93571549572605206"/>
    <n v="-7046.9400000000023"/>
    <n v="7046.9400000000023"/>
  </r>
  <r>
    <s v="S01032"/>
    <d v="2025-10-01T00:00:00"/>
    <s v="R02"/>
    <x v="1"/>
    <s v="T06"/>
    <s v="REP06"/>
    <s v="P004"/>
    <n v="98"/>
    <n v="108579.27"/>
    <n v="6903.13"/>
    <n v="1450.59"/>
    <n v="100225.55"/>
    <n v="104985.69"/>
    <x v="3"/>
    <x v="1"/>
    <n v="10"/>
    <n v="1022.7096938775511"/>
    <n v="0.95465915402375312"/>
    <n v="-4760.1399999999994"/>
    <n v="4760.1399999999994"/>
  </r>
  <r>
    <s v="S01033"/>
    <d v="2025-10-01T00:00:00"/>
    <s v="R03"/>
    <x v="2"/>
    <s v="T07"/>
    <s v="REP07"/>
    <s v="P001"/>
    <n v="134"/>
    <n v="130178.54"/>
    <n v="8978.18"/>
    <n v="1627.45"/>
    <n v="119572.9"/>
    <n v="129400.96000000001"/>
    <x v="0"/>
    <x v="1"/>
    <n v="10"/>
    <n v="892.33507462686566"/>
    <n v="0.92404955882862061"/>
    <n v="-9828.0600000000122"/>
    <n v="9828.0600000000122"/>
  </r>
  <r>
    <s v="S01034"/>
    <d v="2025-10-01T00:00:00"/>
    <s v="R03"/>
    <x v="2"/>
    <s v="T07"/>
    <s v="REP07"/>
    <s v="P002"/>
    <n v="159"/>
    <n v="121007.44"/>
    <n v="8484.67"/>
    <n v="1586.28"/>
    <n v="110936.5"/>
    <n v="116025.4"/>
    <x v="1"/>
    <x v="1"/>
    <n v="10"/>
    <n v="697.71383647798746"/>
    <n v="0.95613977629036406"/>
    <n v="-5088.8999999999942"/>
    <n v="5088.8999999999942"/>
  </r>
  <r>
    <s v="S01035"/>
    <d v="2025-10-01T00:00:00"/>
    <s v="R03"/>
    <x v="2"/>
    <s v="T07"/>
    <s v="REP07"/>
    <s v="P003"/>
    <n v="175"/>
    <n v="109181.1"/>
    <n v="5305.46"/>
    <n v="1483.62"/>
    <n v="102392.02"/>
    <n v="110434.31"/>
    <x v="2"/>
    <x v="1"/>
    <n v="10"/>
    <n v="585.09725714285719"/>
    <n v="0.92717580252006837"/>
    <n v="-8042.2899999999936"/>
    <n v="8042.2899999999936"/>
  </r>
  <r>
    <s v="S01036"/>
    <d v="2025-10-01T00:00:00"/>
    <s v="R03"/>
    <x v="2"/>
    <s v="T07"/>
    <s v="REP07"/>
    <s v="P004"/>
    <n v="98"/>
    <n v="106320.78"/>
    <n v="5934.24"/>
    <n v="1468.43"/>
    <n v="98918.11"/>
    <n v="105570.83"/>
    <x v="3"/>
    <x v="1"/>
    <n v="10"/>
    <n v="1009.3684693877551"/>
    <n v="0.93698335041980818"/>
    <n v="-6652.7200000000012"/>
    <n v="6652.7200000000012"/>
  </r>
  <r>
    <s v="S01037"/>
    <d v="2025-10-01T00:00:00"/>
    <s v="R03"/>
    <x v="2"/>
    <s v="T08"/>
    <s v="REP08"/>
    <s v="P001"/>
    <n v="132"/>
    <n v="129751.92"/>
    <n v="9027.41"/>
    <n v="763.08"/>
    <n v="119961.43"/>
    <n v="129208.18"/>
    <x v="0"/>
    <x v="1"/>
    <n v="10"/>
    <n v="908.79871212121202"/>
    <n v="0.92843525851072273"/>
    <n v="-9246.75"/>
    <n v="9246.75"/>
  </r>
  <r>
    <s v="S01038"/>
    <d v="2025-10-01T00:00:00"/>
    <s v="R03"/>
    <x v="2"/>
    <s v="T08"/>
    <s v="REP08"/>
    <s v="P002"/>
    <n v="168"/>
    <n v="126807.9"/>
    <n v="6832.98"/>
    <n v="757.92"/>
    <n v="119216.99"/>
    <n v="119241.60000000001"/>
    <x v="1"/>
    <x v="1"/>
    <n v="10"/>
    <n v="709.62494047619055"/>
    <n v="0.99979361229637975"/>
    <n v="-24.610000000000582"/>
    <n v="24.610000000000582"/>
  </r>
  <r>
    <s v="S01039"/>
    <d v="2025-10-01T00:00:00"/>
    <s v="R03"/>
    <x v="2"/>
    <s v="T08"/>
    <s v="REP08"/>
    <s v="P003"/>
    <n v="181"/>
    <n v="112707.86"/>
    <n v="7207.5"/>
    <n v="1084.5999999999999"/>
    <n v="104415.75"/>
    <n v="109336.95"/>
    <x v="2"/>
    <x v="1"/>
    <n v="10"/>
    <n v="576.88259668508283"/>
    <n v="0.95499051327113116"/>
    <n v="-4921.1999999999971"/>
    <n v="4921.1999999999971"/>
  </r>
  <r>
    <s v="S01040"/>
    <d v="2025-10-01T00:00:00"/>
    <s v="R03"/>
    <x v="2"/>
    <s v="T08"/>
    <s v="REP08"/>
    <s v="P004"/>
    <n v="104"/>
    <n v="113681.52"/>
    <n v="8142.86"/>
    <n v="522.66999999999996"/>
    <n v="105015.99"/>
    <n v="107966.51"/>
    <x v="3"/>
    <x v="1"/>
    <n v="10"/>
    <n v="1009.7691346153847"/>
    <n v="0.97267189612779015"/>
    <n v="-2950.5199999999895"/>
    <n v="2950.5199999999895"/>
  </r>
  <r>
    <s v="S01041"/>
    <d v="2025-10-01T00:00:00"/>
    <s v="R03"/>
    <x v="2"/>
    <s v="T09"/>
    <s v="REP09"/>
    <s v="P001"/>
    <n v="141"/>
    <n v="136451.78"/>
    <n v="8718.2900000000009"/>
    <n v="792.5"/>
    <n v="126940.99"/>
    <n v="135086.51"/>
    <x v="0"/>
    <x v="1"/>
    <n v="10"/>
    <n v="900.29070921985817"/>
    <n v="0.93970145501575242"/>
    <n v="-8145.5200000000041"/>
    <n v="8145.5200000000041"/>
  </r>
  <r>
    <s v="S01042"/>
    <d v="2025-10-01T00:00:00"/>
    <s v="R03"/>
    <x v="2"/>
    <s v="T09"/>
    <s v="REP09"/>
    <s v="P002"/>
    <n v="175"/>
    <n v="132278.6"/>
    <n v="8020.92"/>
    <n v="1580.71"/>
    <n v="122676.97"/>
    <n v="122241.29"/>
    <x v="1"/>
    <x v="1"/>
    <n v="10"/>
    <n v="701.01125714285718"/>
    <n v="1.0035640985136856"/>
    <n v="435.68000000000757"/>
    <n v="0"/>
  </r>
  <r>
    <s v="S01043"/>
    <d v="2025-10-01T00:00:00"/>
    <s v="R03"/>
    <x v="2"/>
    <s v="T09"/>
    <s v="REP09"/>
    <s v="P003"/>
    <n v="188"/>
    <n v="115698.15"/>
    <n v="8376.75"/>
    <n v="838.05"/>
    <n v="106483.35"/>
    <n v="112290.7"/>
    <x v="2"/>
    <x v="1"/>
    <n v="10"/>
    <n v="566.40079787234049"/>
    <n v="0.94828289430914592"/>
    <n v="-5807.3499999999913"/>
    <n v="5807.3499999999913"/>
  </r>
  <r>
    <s v="S01044"/>
    <d v="2025-10-01T00:00:00"/>
    <s v="R03"/>
    <x v="2"/>
    <s v="T09"/>
    <s v="REP09"/>
    <s v="P004"/>
    <n v="104"/>
    <n v="115096.24"/>
    <n v="6347.44"/>
    <n v="1306.25"/>
    <n v="107442.55"/>
    <n v="108873.55"/>
    <x v="3"/>
    <x v="1"/>
    <n v="10"/>
    <n v="1033.1014423076924"/>
    <n v="0.98685631174881316"/>
    <n v="-1431"/>
    <n v="1431"/>
  </r>
  <r>
    <s v="S01045"/>
    <d v="2025-10-01T00:00:00"/>
    <s v="R04"/>
    <x v="3"/>
    <s v="T10"/>
    <s v="REP10"/>
    <s v="P001"/>
    <n v="109"/>
    <n v="105828.95"/>
    <n v="3861.43"/>
    <n v="941.91"/>
    <n v="101025.62"/>
    <n v="104579.42"/>
    <x v="0"/>
    <x v="1"/>
    <n v="10"/>
    <n v="926.8405504587156"/>
    <n v="0.96601817068788487"/>
    <n v="-3553.8000000000029"/>
    <n v="3553.8000000000029"/>
  </r>
  <r>
    <s v="S01046"/>
    <d v="2025-10-01T00:00:00"/>
    <s v="R04"/>
    <x v="3"/>
    <s v="T10"/>
    <s v="REP10"/>
    <s v="P002"/>
    <n v="132"/>
    <n v="100271.5"/>
    <n v="5948.21"/>
    <n v="1101.45"/>
    <n v="93221.83"/>
    <n v="94829.4"/>
    <x v="1"/>
    <x v="1"/>
    <n v="10"/>
    <n v="706.22598484848481"/>
    <n v="0.98304776788633064"/>
    <n v="-1607.5699999999924"/>
    <n v="1607.5699999999924"/>
  </r>
  <r>
    <s v="S01047"/>
    <d v="2025-10-01T00:00:00"/>
    <s v="R04"/>
    <x v="3"/>
    <s v="T10"/>
    <s v="REP10"/>
    <s v="P003"/>
    <n v="141"/>
    <n v="86765.95"/>
    <n v="6478.77"/>
    <n v="582.66999999999996"/>
    <n v="79704.509999999995"/>
    <n v="88830.24"/>
    <x v="2"/>
    <x v="1"/>
    <n v="10"/>
    <n v="565.28021276595746"/>
    <n v="0.89726775476459353"/>
    <n v="-9125.7300000000105"/>
    <n v="9125.7300000000105"/>
  </r>
  <r>
    <s v="S01048"/>
    <d v="2025-10-01T00:00:00"/>
    <s v="R04"/>
    <x v="3"/>
    <s v="T10"/>
    <s v="REP10"/>
    <s v="P004"/>
    <n v="78"/>
    <n v="86161.31"/>
    <n v="4674.99"/>
    <n v="774.83"/>
    <n v="80711.5"/>
    <n v="85862.85"/>
    <x v="3"/>
    <x v="1"/>
    <n v="10"/>
    <n v="1034.7628205128206"/>
    <n v="0.94000490316825025"/>
    <n v="-5151.3500000000058"/>
    <n v="5151.3500000000058"/>
  </r>
  <r>
    <s v="S01049"/>
    <d v="2025-10-01T00:00:00"/>
    <s v="R04"/>
    <x v="3"/>
    <s v="T11"/>
    <s v="REP11"/>
    <s v="P001"/>
    <n v="102"/>
    <n v="100541.93"/>
    <n v="5966.71"/>
    <n v="539.32000000000005"/>
    <n v="94035.9"/>
    <n v="106047.71"/>
    <x v="0"/>
    <x v="1"/>
    <n v="10"/>
    <n v="921.92058823529408"/>
    <n v="0.88673201901295173"/>
    <n v="-12011.810000000012"/>
    <n v="12011.810000000012"/>
  </r>
  <r>
    <s v="S01050"/>
    <d v="2025-10-01T00:00:00"/>
    <s v="R04"/>
    <x v="3"/>
    <s v="T11"/>
    <s v="REP11"/>
    <s v="P002"/>
    <n v="131"/>
    <n v="100334.12"/>
    <n v="4657.68"/>
    <n v="1359.25"/>
    <n v="94317.19"/>
    <n v="94666.58"/>
    <x v="1"/>
    <x v="1"/>
    <n v="10"/>
    <n v="719.97854961832059"/>
    <n v="0.99630925718453123"/>
    <n v="-349.38999999999942"/>
    <n v="349.38999999999942"/>
  </r>
  <r>
    <s v="S01051"/>
    <d v="2025-10-01T00:00:00"/>
    <s v="R04"/>
    <x v="3"/>
    <s v="T11"/>
    <s v="REP11"/>
    <s v="P003"/>
    <n v="150"/>
    <n v="93210.77"/>
    <n v="6311.61"/>
    <n v="1123.6300000000001"/>
    <n v="85775.53"/>
    <n v="88825.16"/>
    <x v="2"/>
    <x v="1"/>
    <n v="10"/>
    <n v="571.83686666666665"/>
    <n v="0.96566704748969767"/>
    <n v="-3049.6300000000047"/>
    <n v="3049.6300000000047"/>
  </r>
  <r>
    <s v="S01052"/>
    <d v="2025-10-01T00:00:00"/>
    <s v="R04"/>
    <x v="3"/>
    <s v="T11"/>
    <s v="REP11"/>
    <s v="P004"/>
    <n v="78"/>
    <n v="84535.69"/>
    <n v="6298.99"/>
    <n v="567.21"/>
    <n v="77669.48"/>
    <n v="86803.42"/>
    <x v="3"/>
    <x v="1"/>
    <n v="10"/>
    <n v="995.76256410256406"/>
    <n v="0.89477442248243211"/>
    <n v="-9133.9400000000023"/>
    <n v="9133.9400000000023"/>
  </r>
  <r>
    <s v="S01053"/>
    <d v="2025-10-01T00:00:00"/>
    <s v="R04"/>
    <x v="3"/>
    <s v="T12"/>
    <s v="REP12"/>
    <s v="P001"/>
    <n v="123"/>
    <n v="118794.9"/>
    <n v="7708.51"/>
    <n v="1022.91"/>
    <n v="110063.48"/>
    <n v="119316.97"/>
    <x v="0"/>
    <x v="1"/>
    <n v="10"/>
    <n v="894.82504065040644"/>
    <n v="0.92244615330074164"/>
    <n v="-9253.4900000000052"/>
    <n v="9253.4900000000052"/>
  </r>
  <r>
    <s v="S01054"/>
    <d v="2025-10-01T00:00:00"/>
    <s v="R04"/>
    <x v="3"/>
    <s v="T12"/>
    <s v="REP12"/>
    <s v="P002"/>
    <n v="158"/>
    <n v="121495.01"/>
    <n v="5126.84"/>
    <n v="793.44"/>
    <n v="115574.73"/>
    <n v="106329.32"/>
    <x v="1"/>
    <x v="1"/>
    <n v="10"/>
    <n v="731.48563291139237"/>
    <n v="1.0869507112431454"/>
    <n v="9245.4099999999889"/>
    <n v="0"/>
  </r>
  <r>
    <s v="S01055"/>
    <d v="2025-10-01T00:00:00"/>
    <s v="R04"/>
    <x v="3"/>
    <s v="T12"/>
    <s v="REP12"/>
    <s v="P003"/>
    <n v="175"/>
    <n v="109084.65"/>
    <n v="5539.06"/>
    <n v="661.62"/>
    <n v="102883.97"/>
    <n v="99295.81"/>
    <x v="2"/>
    <x v="1"/>
    <n v="10"/>
    <n v="587.90840000000003"/>
    <n v="1.0361360665671593"/>
    <n v="3588.1600000000035"/>
    <n v="0"/>
  </r>
  <r>
    <s v="S01056"/>
    <d v="2025-10-01T00:00:00"/>
    <s v="R04"/>
    <x v="3"/>
    <s v="T12"/>
    <s v="REP12"/>
    <s v="P004"/>
    <n v="93"/>
    <n v="102284.09"/>
    <n v="6868.43"/>
    <n v="457.04"/>
    <n v="94958.63"/>
    <n v="98261.54"/>
    <x v="3"/>
    <x v="1"/>
    <n v="10"/>
    <n v="1021.0605376344087"/>
    <n v="0.96638654350420328"/>
    <n v="-3302.9099999999889"/>
    <n v="3302.9099999999889"/>
  </r>
  <r>
    <s v="S01057"/>
    <d v="2025-11-01T00:00:00"/>
    <s v="R01"/>
    <x v="0"/>
    <s v="T01"/>
    <s v="REP01"/>
    <s v="P001"/>
    <n v="181"/>
    <n v="178197.81"/>
    <n v="9592.85"/>
    <n v="1233.1500000000001"/>
    <n v="167371.81"/>
    <n v="165846.79999999999"/>
    <x v="0"/>
    <x v="1"/>
    <n v="11"/>
    <n v="924.70613259668505"/>
    <n v="1.0091952934877249"/>
    <n v="1525.0100000000093"/>
    <n v="0"/>
  </r>
  <r>
    <s v="S01058"/>
    <d v="2025-11-01T00:00:00"/>
    <s v="R01"/>
    <x v="0"/>
    <s v="T01"/>
    <s v="REP01"/>
    <s v="P002"/>
    <n v="217"/>
    <n v="163910.67000000001"/>
    <n v="7819.56"/>
    <n v="947.1"/>
    <n v="155144.01"/>
    <n v="147376.57"/>
    <x v="1"/>
    <x v="1"/>
    <n v="11"/>
    <n v="714.94935483870972"/>
    <n v="1.0527047141889652"/>
    <n v="7767.4400000000023"/>
    <n v="0"/>
  </r>
  <r>
    <s v="S01059"/>
    <d v="2025-11-01T00:00:00"/>
    <s v="R01"/>
    <x v="0"/>
    <s v="T01"/>
    <s v="REP01"/>
    <s v="P003"/>
    <n v="228"/>
    <n v="139965.35999999999"/>
    <n v="8770.66"/>
    <n v="1711.12"/>
    <n v="129483.58"/>
    <n v="141013.85"/>
    <x v="2"/>
    <x v="1"/>
    <n v="11"/>
    <n v="567.91043859649119"/>
    <n v="0.91823306717744391"/>
    <n v="-11530.270000000004"/>
    <n v="11530.270000000004"/>
  </r>
  <r>
    <s v="S01060"/>
    <d v="2025-11-01T00:00:00"/>
    <s v="R01"/>
    <x v="0"/>
    <s v="T01"/>
    <s v="REP01"/>
    <s v="P004"/>
    <n v="129"/>
    <n v="142816.89000000001"/>
    <n v="10395.39"/>
    <n v="1501.09"/>
    <n v="130920.41"/>
    <n v="135112.85"/>
    <x v="3"/>
    <x v="1"/>
    <n v="11"/>
    <n v="1014.8868992248063"/>
    <n v="0.9689708269790771"/>
    <n v="-4192.4400000000023"/>
    <n v="4192.4400000000023"/>
  </r>
  <r>
    <s v="S01061"/>
    <d v="2025-11-01T00:00:00"/>
    <s v="R01"/>
    <x v="0"/>
    <s v="T02"/>
    <s v="REP02"/>
    <s v="P001"/>
    <n v="167"/>
    <n v="164417.92000000001"/>
    <n v="10908.25"/>
    <n v="703.9"/>
    <n v="152805.76000000001"/>
    <n v="162759.67000000001"/>
    <x v="0"/>
    <x v="1"/>
    <n v="11"/>
    <n v="915.00455089820366"/>
    <n v="0.93884289640056406"/>
    <n v="-9953.9100000000035"/>
    <n v="9953.9100000000035"/>
  </r>
  <r>
    <s v="S01062"/>
    <d v="2025-11-01T00:00:00"/>
    <s v="R01"/>
    <x v="0"/>
    <s v="T02"/>
    <s v="REP02"/>
    <s v="P002"/>
    <n v="213"/>
    <n v="160958.29"/>
    <n v="8040.11"/>
    <n v="1919.52"/>
    <n v="150998.66"/>
    <n v="150688.62"/>
    <x v="1"/>
    <x v="1"/>
    <n v="11"/>
    <n v="708.91389671361503"/>
    <n v="1.0020574878182573"/>
    <n v="310.04000000000815"/>
    <n v="0"/>
  </r>
  <r>
    <s v="S01063"/>
    <d v="2025-11-01T00:00:00"/>
    <s v="R01"/>
    <x v="0"/>
    <s v="T02"/>
    <s v="REP02"/>
    <s v="P003"/>
    <n v="251"/>
    <n v="157703.84"/>
    <n v="7773.27"/>
    <n v="802.26"/>
    <n v="149128.32000000001"/>
    <n v="140299.47"/>
    <x v="2"/>
    <x v="1"/>
    <n v="11"/>
    <n v="594.1367330677291"/>
    <n v="1.0629286055036415"/>
    <n v="8828.8500000000058"/>
    <n v="0"/>
  </r>
  <r>
    <s v="S01064"/>
    <d v="2025-11-01T00:00:00"/>
    <s v="R01"/>
    <x v="0"/>
    <s v="T02"/>
    <s v="REP02"/>
    <s v="P004"/>
    <n v="128"/>
    <n v="139329.66"/>
    <n v="8705.9699999999993"/>
    <n v="1328.84"/>
    <n v="129294.86"/>
    <n v="135512.78"/>
    <x v="3"/>
    <x v="1"/>
    <n v="11"/>
    <n v="1010.11609375"/>
    <n v="0.95411561920580479"/>
    <n v="-6217.9199999999983"/>
    <n v="6217.9199999999983"/>
  </r>
  <r>
    <s v="S01065"/>
    <d v="2025-11-01T00:00:00"/>
    <s v="R01"/>
    <x v="0"/>
    <s v="T03"/>
    <s v="REP03"/>
    <s v="P001"/>
    <n v="198"/>
    <n v="192419.61"/>
    <n v="12688.86"/>
    <n v="1804.05"/>
    <n v="177926.7"/>
    <n v="178547.73"/>
    <x v="0"/>
    <x v="1"/>
    <n v="11"/>
    <n v="898.61969696969697"/>
    <n v="0.99652177039719292"/>
    <n v="-621.02999999999884"/>
    <n v="621.02999999999884"/>
  </r>
  <r>
    <s v="S01066"/>
    <d v="2025-11-01T00:00:00"/>
    <s v="R01"/>
    <x v="0"/>
    <s v="T03"/>
    <s v="REP03"/>
    <s v="P002"/>
    <n v="220"/>
    <n v="165100.38"/>
    <n v="8093.24"/>
    <n v="2248.85"/>
    <n v="154758.29"/>
    <n v="163424.81"/>
    <x v="1"/>
    <x v="1"/>
    <n v="11"/>
    <n v="703.44677272727279"/>
    <n v="0.94696937386679547"/>
    <n v="-8666.5199999999895"/>
    <n v="8666.5199999999895"/>
  </r>
  <r>
    <s v="S01067"/>
    <d v="2025-11-01T00:00:00"/>
    <s v="R01"/>
    <x v="0"/>
    <s v="T03"/>
    <s v="REP03"/>
    <s v="P003"/>
    <n v="261"/>
    <n v="160321.99"/>
    <n v="11345.66"/>
    <n v="966.9"/>
    <n v="148009.43"/>
    <n v="152419.51999999999"/>
    <x v="2"/>
    <x v="1"/>
    <n v="11"/>
    <n v="567.08593869731794"/>
    <n v="0.97106610754318079"/>
    <n v="-4410.0899999999965"/>
    <n v="4410.0899999999965"/>
  </r>
  <r>
    <s v="S01068"/>
    <d v="2025-11-01T00:00:00"/>
    <s v="R01"/>
    <x v="0"/>
    <s v="T03"/>
    <s v="REP03"/>
    <s v="P004"/>
    <n v="140"/>
    <n v="154723.35999999999"/>
    <n v="9980.3799999999992"/>
    <n v="1361.96"/>
    <n v="143381.01999999999"/>
    <n v="151008.04999999999"/>
    <x v="3"/>
    <x v="1"/>
    <n v="11"/>
    <n v="1024.1501428571428"/>
    <n v="0.94949256016483885"/>
    <n v="-7627.0299999999988"/>
    <n v="7627.0299999999988"/>
  </r>
  <r>
    <s v="S01069"/>
    <d v="2025-11-01T00:00:00"/>
    <s v="R02"/>
    <x v="1"/>
    <s v="T04"/>
    <s v="REP04"/>
    <s v="P001"/>
    <n v="112"/>
    <n v="110499.69"/>
    <n v="7333.35"/>
    <n v="1251.7"/>
    <n v="101914.64"/>
    <n v="133866.88"/>
    <x v="0"/>
    <x v="1"/>
    <n v="11"/>
    <n v="909.9521428571428"/>
    <n v="0.76131332858433687"/>
    <n v="-31952.240000000005"/>
    <n v="31952.240000000005"/>
  </r>
  <r>
    <s v="S01070"/>
    <d v="2025-11-01T00:00:00"/>
    <s v="R02"/>
    <x v="1"/>
    <s v="T04"/>
    <s v="REP04"/>
    <s v="P002"/>
    <n v="164"/>
    <n v="124958.56"/>
    <n v="7649.98"/>
    <n v="937.17"/>
    <n v="116371.41"/>
    <n v="119178.33"/>
    <x v="1"/>
    <x v="1"/>
    <n v="11"/>
    <n v="709.58176829268291"/>
    <n v="0.97644773173109578"/>
    <n v="-2806.9199999999983"/>
    <n v="2806.9199999999983"/>
  </r>
  <r>
    <s v="S01071"/>
    <d v="2025-11-01T00:00:00"/>
    <s v="R02"/>
    <x v="1"/>
    <s v="T04"/>
    <s v="REP04"/>
    <s v="P003"/>
    <n v="174"/>
    <n v="107225.22"/>
    <n v="6004.2"/>
    <n v="1108.52"/>
    <n v="100112.49"/>
    <n v="114162.56"/>
    <x v="2"/>
    <x v="1"/>
    <n v="11"/>
    <n v="575.35913793103452"/>
    <n v="0.87692926647755631"/>
    <n v="-14050.069999999992"/>
    <n v="14050.069999999992"/>
  </r>
  <r>
    <s v="S01072"/>
    <d v="2025-11-01T00:00:00"/>
    <s v="R02"/>
    <x v="1"/>
    <s v="T04"/>
    <s v="REP04"/>
    <s v="P004"/>
    <n v="106"/>
    <n v="118270.18"/>
    <n v="4686.96"/>
    <n v="876.35"/>
    <n v="112706.86"/>
    <n v="109712.27"/>
    <x v="3"/>
    <x v="1"/>
    <n v="11"/>
    <n v="1063.2722641509433"/>
    <n v="1.0272949415776376"/>
    <n v="2994.5899999999965"/>
    <n v="0"/>
  </r>
  <r>
    <s v="S01073"/>
    <d v="2025-11-01T00:00:00"/>
    <s v="R02"/>
    <x v="1"/>
    <s v="T05"/>
    <s v="REP05"/>
    <s v="P001"/>
    <n v="103"/>
    <n v="100991.36"/>
    <n v="3958.2"/>
    <n v="434.55"/>
    <n v="96598.61"/>
    <n v="116851.71"/>
    <x v="0"/>
    <x v="1"/>
    <n v="11"/>
    <n v="937.85058252427189"/>
    <n v="0.82667690528448401"/>
    <n v="-20253.100000000006"/>
    <n v="20253.100000000006"/>
  </r>
  <r>
    <s v="S01074"/>
    <d v="2025-11-01T00:00:00"/>
    <s v="R02"/>
    <x v="1"/>
    <s v="T05"/>
    <s v="REP05"/>
    <s v="P002"/>
    <n v="147"/>
    <n v="111465.48"/>
    <n v="7390.7"/>
    <n v="608.75"/>
    <n v="103466.03"/>
    <n v="106152.57"/>
    <x v="1"/>
    <x v="1"/>
    <n v="11"/>
    <n v="703.85054421768712"/>
    <n v="0.9746917102430962"/>
    <n v="-2686.5400000000081"/>
    <n v="2686.5400000000081"/>
  </r>
  <r>
    <s v="S01075"/>
    <d v="2025-11-01T00:00:00"/>
    <s v="R02"/>
    <x v="1"/>
    <s v="T05"/>
    <s v="REP05"/>
    <s v="P003"/>
    <n v="157"/>
    <n v="98638.89"/>
    <n v="6378.97"/>
    <n v="1253.3399999999999"/>
    <n v="91006.58"/>
    <n v="98035.51"/>
    <x v="2"/>
    <x v="1"/>
    <n v="11"/>
    <n v="579.65974522292993"/>
    <n v="0.9283022039667056"/>
    <n v="-7028.929999999993"/>
    <n v="7028.929999999993"/>
  </r>
  <r>
    <s v="S01076"/>
    <d v="2025-11-01T00:00:00"/>
    <s v="R02"/>
    <x v="1"/>
    <s v="T05"/>
    <s v="REP05"/>
    <s v="P004"/>
    <n v="89"/>
    <n v="97636.58"/>
    <n v="3551.56"/>
    <n v="1332.03"/>
    <n v="92752.98"/>
    <n v="95402.36"/>
    <x v="3"/>
    <x v="1"/>
    <n v="11"/>
    <n v="1042.1683146067414"/>
    <n v="0.97222940816139136"/>
    <n v="-2649.3800000000047"/>
    <n v="2649.3800000000047"/>
  </r>
  <r>
    <s v="S01077"/>
    <d v="2025-11-01T00:00:00"/>
    <s v="R02"/>
    <x v="1"/>
    <s v="T06"/>
    <s v="REP06"/>
    <s v="P001"/>
    <n v="111"/>
    <n v="107383.56"/>
    <n v="7578.8"/>
    <n v="933.99"/>
    <n v="98870.77"/>
    <n v="130925.71"/>
    <x v="0"/>
    <x v="1"/>
    <n v="11"/>
    <n v="890.72765765765769"/>
    <n v="0.75516695689486812"/>
    <n v="-32054.940000000002"/>
    <n v="32054.940000000002"/>
  </r>
  <r>
    <s v="S01078"/>
    <d v="2025-11-01T00:00:00"/>
    <s v="R02"/>
    <x v="1"/>
    <s v="T06"/>
    <s v="REP06"/>
    <s v="P002"/>
    <n v="165"/>
    <n v="123755.22"/>
    <n v="7799.64"/>
    <n v="1679.09"/>
    <n v="114276.5"/>
    <n v="118815.1"/>
    <x v="1"/>
    <x v="1"/>
    <n v="11"/>
    <n v="692.58484848484852"/>
    <n v="0.96180115153713619"/>
    <n v="-4538.6000000000058"/>
    <n v="4538.6000000000058"/>
  </r>
  <r>
    <s v="S01079"/>
    <d v="2025-11-01T00:00:00"/>
    <s v="R02"/>
    <x v="1"/>
    <s v="T06"/>
    <s v="REP06"/>
    <s v="P003"/>
    <n v="190"/>
    <n v="116080.4"/>
    <n v="8627.66"/>
    <n v="1521.54"/>
    <n v="105931.2"/>
    <n v="111795.73"/>
    <x v="2"/>
    <x v="1"/>
    <n v="11"/>
    <n v="557.5326315789473"/>
    <n v="0.94754245086104805"/>
    <n v="-5864.5299999999988"/>
    <n v="5864.5299999999988"/>
  </r>
  <r>
    <s v="S01080"/>
    <d v="2025-11-01T00:00:00"/>
    <s v="R02"/>
    <x v="1"/>
    <s v="T06"/>
    <s v="REP06"/>
    <s v="P004"/>
    <n v="97"/>
    <n v="107635.55"/>
    <n v="6419.41"/>
    <n v="467.46"/>
    <n v="100748.68"/>
    <n v="108674.6"/>
    <x v="3"/>
    <x v="1"/>
    <n v="11"/>
    <n v="1038.6461855670102"/>
    <n v="0.92706741041604923"/>
    <n v="-7925.9200000000128"/>
    <n v="7925.9200000000128"/>
  </r>
  <r>
    <s v="S01081"/>
    <d v="2025-11-01T00:00:00"/>
    <s v="R03"/>
    <x v="2"/>
    <s v="T07"/>
    <s v="REP07"/>
    <s v="P001"/>
    <n v="129"/>
    <n v="124535.36"/>
    <n v="5111.88"/>
    <n v="701.8"/>
    <n v="118721.67"/>
    <n v="133374.24"/>
    <x v="0"/>
    <x v="1"/>
    <n v="11"/>
    <n v="920.32302325581395"/>
    <n v="0.89013943022280773"/>
    <n v="-14652.569999999992"/>
    <n v="14652.569999999992"/>
  </r>
  <r>
    <s v="S01082"/>
    <d v="2025-11-01T00:00:00"/>
    <s v="R03"/>
    <x v="2"/>
    <s v="T07"/>
    <s v="REP07"/>
    <s v="P002"/>
    <n v="162"/>
    <n v="123482.3"/>
    <n v="4444.3599999999997"/>
    <n v="1199.5999999999999"/>
    <n v="117838.35"/>
    <n v="117736.51"/>
    <x v="1"/>
    <x v="1"/>
    <n v="11"/>
    <n v="727.39722222222224"/>
    <n v="1.0008649823236651"/>
    <n v="101.84000000001106"/>
    <n v="0"/>
  </r>
  <r>
    <s v="S01083"/>
    <d v="2025-11-01T00:00:00"/>
    <s v="R03"/>
    <x v="2"/>
    <s v="T07"/>
    <s v="REP07"/>
    <s v="P003"/>
    <n v="180"/>
    <n v="112993.49"/>
    <n v="5925.7"/>
    <n v="466.82"/>
    <n v="106600.96000000001"/>
    <n v="112869.31"/>
    <x v="2"/>
    <x v="1"/>
    <n v="11"/>
    <n v="592.22755555555557"/>
    <n v="0.94446364560924501"/>
    <n v="-6268.3499999999913"/>
    <n v="6268.3499999999913"/>
  </r>
  <r>
    <s v="S01084"/>
    <d v="2025-11-01T00:00:00"/>
    <s v="R03"/>
    <x v="2"/>
    <s v="T07"/>
    <s v="REP07"/>
    <s v="P004"/>
    <n v="106"/>
    <n v="115622.13"/>
    <n v="7310.77"/>
    <n v="1042.29"/>
    <n v="107269.06"/>
    <n v="106680.69"/>
    <x v="3"/>
    <x v="1"/>
    <n v="11"/>
    <n v="1011.9722641509434"/>
    <n v="1.005515243667809"/>
    <n v="588.36999999999534"/>
    <n v="0"/>
  </r>
  <r>
    <s v="S01085"/>
    <d v="2025-11-01T00:00:00"/>
    <s v="R03"/>
    <x v="2"/>
    <s v="T08"/>
    <s v="REP08"/>
    <s v="P001"/>
    <n v="136"/>
    <n v="133833.31"/>
    <n v="9117.81"/>
    <n v="1431.07"/>
    <n v="123284.42"/>
    <n v="131837.29999999999"/>
    <x v="0"/>
    <x v="1"/>
    <n v="11"/>
    <n v="906.50308823529406"/>
    <n v="0.93512549179936189"/>
    <n v="-8552.8799999999901"/>
    <n v="8552.8799999999901"/>
  </r>
  <r>
    <s v="S01086"/>
    <d v="2025-11-01T00:00:00"/>
    <s v="R03"/>
    <x v="2"/>
    <s v="T08"/>
    <s v="REP08"/>
    <s v="P002"/>
    <n v="169"/>
    <n v="126996.43"/>
    <n v="6529.13"/>
    <n v="1211.3499999999999"/>
    <n v="119255.95"/>
    <n v="121239.8"/>
    <x v="1"/>
    <x v="1"/>
    <n v="11"/>
    <n v="705.65650887573963"/>
    <n v="0.9836369739969878"/>
    <n v="-1983.8500000000058"/>
    <n v="1983.8500000000058"/>
  </r>
  <r>
    <s v="S01087"/>
    <d v="2025-11-01T00:00:00"/>
    <s v="R03"/>
    <x v="2"/>
    <s v="T08"/>
    <s v="REP08"/>
    <s v="P003"/>
    <n v="201"/>
    <n v="125084.04"/>
    <n v="5902.68"/>
    <n v="1082.4100000000001"/>
    <n v="118098.94"/>
    <n v="112096.77"/>
    <x v="2"/>
    <x v="1"/>
    <n v="11"/>
    <n v="587.5569154228856"/>
    <n v="1.0535445401326016"/>
    <n v="6002.1699999999983"/>
    <n v="0"/>
  </r>
  <r>
    <s v="S01088"/>
    <d v="2025-11-01T00:00:00"/>
    <s v="R03"/>
    <x v="2"/>
    <s v="T08"/>
    <s v="REP08"/>
    <s v="P004"/>
    <n v="103"/>
    <n v="113042.26"/>
    <n v="8405.61"/>
    <n v="1017.64"/>
    <n v="103619.02"/>
    <n v="110898.62"/>
    <x v="3"/>
    <x v="1"/>
    <n v="11"/>
    <n v="1006.0099029126214"/>
    <n v="0.93435806505076446"/>
    <n v="-7279.5999999999913"/>
    <n v="7279.5999999999913"/>
  </r>
  <r>
    <s v="S01089"/>
    <d v="2025-11-01T00:00:00"/>
    <s v="R03"/>
    <x v="2"/>
    <s v="T09"/>
    <s v="REP09"/>
    <s v="P001"/>
    <n v="141"/>
    <n v="137574.01999999999"/>
    <n v="7839.95"/>
    <n v="879.05"/>
    <n v="128855.02"/>
    <n v="133936.72"/>
    <x v="0"/>
    <x v="1"/>
    <n v="11"/>
    <n v="913.86539007092199"/>
    <n v="0.96205894843475337"/>
    <n v="-5081.6999999999971"/>
    <n v="5081.6999999999971"/>
  </r>
  <r>
    <s v="S01090"/>
    <d v="2025-11-01T00:00:00"/>
    <s v="R03"/>
    <x v="2"/>
    <s v="T09"/>
    <s v="REP09"/>
    <s v="P002"/>
    <n v="168"/>
    <n v="127723.91"/>
    <n v="6197.52"/>
    <n v="1379.8"/>
    <n v="120146.59"/>
    <n v="123899.21"/>
    <x v="1"/>
    <x v="1"/>
    <n v="11"/>
    <n v="715.15827380952373"/>
    <n v="0.96971231697118965"/>
    <n v="-3752.6200000000099"/>
    <n v="3752.6200000000099"/>
  </r>
  <r>
    <s v="S01091"/>
    <d v="2025-11-01T00:00:00"/>
    <s v="R03"/>
    <x v="2"/>
    <s v="T09"/>
    <s v="REP09"/>
    <s v="P003"/>
    <n v="191"/>
    <n v="118290.76"/>
    <n v="7307.61"/>
    <n v="1373.14"/>
    <n v="109610.01"/>
    <n v="114066.02"/>
    <x v="2"/>
    <x v="1"/>
    <n v="11"/>
    <n v="573.87439790575911"/>
    <n v="0.96093481652116897"/>
    <n v="-4456.0100000000093"/>
    <n v="4456.0100000000093"/>
  </r>
  <r>
    <s v="S01092"/>
    <d v="2025-11-01T00:00:00"/>
    <s v="R03"/>
    <x v="2"/>
    <s v="T09"/>
    <s v="REP09"/>
    <s v="P004"/>
    <n v="110"/>
    <n v="120933.48"/>
    <n v="6173.24"/>
    <n v="1068.21"/>
    <n v="113692.02"/>
    <n v="112079.07"/>
    <x v="3"/>
    <x v="1"/>
    <n v="11"/>
    <n v="1033.5638181818183"/>
    <n v="1.0143911793700644"/>
    <n v="1612.9499999999971"/>
    <n v="0"/>
  </r>
  <r>
    <s v="S01093"/>
    <d v="2025-11-01T00:00:00"/>
    <s v="R04"/>
    <x v="3"/>
    <s v="T10"/>
    <s v="REP10"/>
    <s v="P001"/>
    <n v="114"/>
    <n v="112521.16"/>
    <n v="5725.79"/>
    <n v="1099.8699999999999"/>
    <n v="105695.5"/>
    <n v="106485.51"/>
    <x v="0"/>
    <x v="1"/>
    <n v="11"/>
    <n v="927.15350877192986"/>
    <n v="0.99258105633339222"/>
    <n v="-790.00999999999476"/>
    <n v="790.00999999999476"/>
  </r>
  <r>
    <s v="S01094"/>
    <d v="2025-11-01T00:00:00"/>
    <s v="R04"/>
    <x v="3"/>
    <s v="T10"/>
    <s v="REP10"/>
    <s v="P002"/>
    <n v="138"/>
    <n v="106424.48"/>
    <n v="5697.66"/>
    <n v="627.71"/>
    <n v="100099.1"/>
    <n v="96621.11"/>
    <x v="1"/>
    <x v="1"/>
    <n v="11"/>
    <n v="725.3557971014493"/>
    <n v="1.0359961710230818"/>
    <n v="3477.9900000000052"/>
    <n v="0"/>
  </r>
  <r>
    <s v="S01095"/>
    <d v="2025-11-01T00:00:00"/>
    <s v="R04"/>
    <x v="3"/>
    <s v="T10"/>
    <s v="REP10"/>
    <s v="P003"/>
    <n v="145"/>
    <n v="90637.58"/>
    <n v="4276.67"/>
    <n v="1085.1099999999999"/>
    <n v="85275.79"/>
    <n v="90976.6"/>
    <x v="2"/>
    <x v="1"/>
    <n v="11"/>
    <n v="588.10889655172411"/>
    <n v="0.9373376230810998"/>
    <n v="-5700.8100000000122"/>
    <n v="5700.8100000000122"/>
  </r>
  <r>
    <s v="S01096"/>
    <d v="2025-11-01T00:00:00"/>
    <s v="R04"/>
    <x v="3"/>
    <s v="T10"/>
    <s v="REP10"/>
    <s v="P004"/>
    <n v="84"/>
    <n v="91282.94"/>
    <n v="4429.5"/>
    <n v="988.66"/>
    <n v="85864.78"/>
    <n v="86832.69"/>
    <x v="3"/>
    <x v="1"/>
    <n v="11"/>
    <n v="1022.1997619047619"/>
    <n v="0.98885316117697142"/>
    <n v="-967.91000000000349"/>
    <n v="967.91000000000349"/>
  </r>
  <r>
    <s v="S01097"/>
    <d v="2025-11-01T00:00:00"/>
    <s v="R04"/>
    <x v="3"/>
    <s v="T11"/>
    <s v="REP11"/>
    <s v="P001"/>
    <n v="116"/>
    <n v="114306.05"/>
    <n v="4844.7"/>
    <n v="1274.7"/>
    <n v="108186.65"/>
    <n v="108134.64"/>
    <x v="0"/>
    <x v="1"/>
    <n v="11"/>
    <n v="932.64353448275858"/>
    <n v="1.0004809744592482"/>
    <n v="52.009999999994761"/>
    <n v="0"/>
  </r>
  <r>
    <s v="S01098"/>
    <d v="2025-11-01T00:00:00"/>
    <s v="R04"/>
    <x v="3"/>
    <s v="T11"/>
    <s v="REP11"/>
    <s v="P002"/>
    <n v="140"/>
    <n v="107290.87"/>
    <n v="6171.58"/>
    <n v="1035.94"/>
    <n v="100083.35"/>
    <n v="95383.47"/>
    <x v="1"/>
    <x v="1"/>
    <n v="11"/>
    <n v="714.88107142857143"/>
    <n v="1.049273527163564"/>
    <n v="4699.8800000000047"/>
    <n v="0"/>
  </r>
  <r>
    <s v="S01099"/>
    <d v="2025-11-01T00:00:00"/>
    <s v="R04"/>
    <x v="3"/>
    <s v="T11"/>
    <s v="REP11"/>
    <s v="P003"/>
    <n v="154"/>
    <n v="96669.05"/>
    <n v="6523.4"/>
    <n v="954.76"/>
    <n v="89190.89"/>
    <n v="90534.67"/>
    <x v="2"/>
    <x v="1"/>
    <n v="11"/>
    <n v="579.16162337662342"/>
    <n v="0.98515728836256877"/>
    <n v="-1343.7799999999988"/>
    <n v="1343.7799999999988"/>
  </r>
  <r>
    <s v="S01100"/>
    <d v="2025-11-01T00:00:00"/>
    <s v="R04"/>
    <x v="3"/>
    <s v="T11"/>
    <s v="REP11"/>
    <s v="P004"/>
    <n v="85"/>
    <n v="93002.35"/>
    <n v="5428.55"/>
    <n v="752.15"/>
    <n v="86821.65"/>
    <n v="88276.54"/>
    <x v="3"/>
    <x v="1"/>
    <n v="11"/>
    <n v="1021.4311764705882"/>
    <n v="0.98351895078805762"/>
    <n v="-1454.8899999999994"/>
    <n v="1454.8899999999994"/>
  </r>
  <r>
    <s v="S01101"/>
    <d v="2025-11-01T00:00:00"/>
    <s v="R04"/>
    <x v="3"/>
    <s v="T12"/>
    <s v="REP12"/>
    <s v="P001"/>
    <n v="121"/>
    <n v="117968.19"/>
    <n v="7091.41"/>
    <n v="519.11"/>
    <n v="110357.67"/>
    <n v="119831.82"/>
    <x v="0"/>
    <x v="1"/>
    <n v="11"/>
    <n v="912.04685950413227"/>
    <n v="0.9209379445292577"/>
    <n v="-9474.1500000000087"/>
    <n v="9474.1500000000087"/>
  </r>
  <r>
    <s v="S01102"/>
    <d v="2025-11-01T00:00:00"/>
    <s v="R04"/>
    <x v="3"/>
    <s v="T12"/>
    <s v="REP12"/>
    <s v="P002"/>
    <n v="156"/>
    <n v="119444.91"/>
    <n v="5998.74"/>
    <n v="780.47"/>
    <n v="112665.7"/>
    <n v="108381.11"/>
    <x v="1"/>
    <x v="1"/>
    <n v="11"/>
    <n v="722.21602564102557"/>
    <n v="1.0395326270417418"/>
    <n v="4284.5899999999965"/>
    <n v="0"/>
  </r>
  <r>
    <s v="S01103"/>
    <d v="2025-11-01T00:00:00"/>
    <s v="R04"/>
    <x v="3"/>
    <s v="T12"/>
    <s v="REP12"/>
    <s v="P003"/>
    <n v="174"/>
    <n v="106310.23"/>
    <n v="6258.08"/>
    <n v="672.52"/>
    <n v="99379.63"/>
    <n v="102119.78"/>
    <x v="2"/>
    <x v="1"/>
    <n v="11"/>
    <n v="571.14729885057477"/>
    <n v="0.97316729432828786"/>
    <n v="-2740.1499999999942"/>
    <n v="2740.1499999999942"/>
  </r>
  <r>
    <s v="S01104"/>
    <d v="2025-11-01T00:00:00"/>
    <s v="R04"/>
    <x v="3"/>
    <s v="T12"/>
    <s v="REP12"/>
    <s v="P004"/>
    <n v="90"/>
    <n v="99914.39"/>
    <n v="4852.6400000000003"/>
    <n v="1105.06"/>
    <n v="93956.7"/>
    <n v="99513.19"/>
    <x v="3"/>
    <x v="1"/>
    <n v="11"/>
    <n v="1043.9633333333334"/>
    <n v="0.94416328126954818"/>
    <n v="-5556.4900000000052"/>
    <n v="5556.4900000000052"/>
  </r>
  <r>
    <s v="S01105"/>
    <d v="2025-12-01T00:00:00"/>
    <s v="R01"/>
    <x v="0"/>
    <s v="T01"/>
    <s v="REP01"/>
    <s v="P001"/>
    <n v="166"/>
    <n v="163127.85"/>
    <n v="10610.12"/>
    <n v="831.17"/>
    <n v="151686.56"/>
    <n v="168708.78"/>
    <x v="0"/>
    <x v="1"/>
    <n v="12"/>
    <n v="913.77445783132532"/>
    <n v="0.89910293939651509"/>
    <n v="-17022.22"/>
    <n v="17022.22"/>
  </r>
  <r>
    <s v="S01106"/>
    <d v="2025-12-01T00:00:00"/>
    <s v="R01"/>
    <x v="0"/>
    <s v="T01"/>
    <s v="REP01"/>
    <s v="P002"/>
    <n v="208"/>
    <n v="156348.43"/>
    <n v="8636.33"/>
    <n v="871.99"/>
    <n v="146840.10999999999"/>
    <n v="150884.63"/>
    <x v="1"/>
    <x v="1"/>
    <n v="12"/>
    <n v="705.96206730769222"/>
    <n v="0.97319461896152037"/>
    <n v="-4044.5200000000186"/>
    <n v="4044.5200000000186"/>
  </r>
  <r>
    <s v="S01107"/>
    <d v="2025-12-01T00:00:00"/>
    <s v="R01"/>
    <x v="0"/>
    <s v="T01"/>
    <s v="REP01"/>
    <s v="P003"/>
    <n v="238"/>
    <n v="147569.16"/>
    <n v="6594.97"/>
    <n v="603.79999999999995"/>
    <n v="140370.39000000001"/>
    <n v="141765.15"/>
    <x v="2"/>
    <x v="1"/>
    <n v="12"/>
    <n v="589.79155462184883"/>
    <n v="0.99016147480533845"/>
    <n v="-1394.7599999999802"/>
    <n v="1394.7599999999802"/>
  </r>
  <r>
    <s v="S01108"/>
    <d v="2025-12-01T00:00:00"/>
    <s v="R01"/>
    <x v="0"/>
    <s v="T01"/>
    <s v="REP01"/>
    <s v="P004"/>
    <n v="138"/>
    <n v="151788.60999999999"/>
    <n v="8827.7900000000009"/>
    <n v="1174.44"/>
    <n v="141786.38"/>
    <n v="138969.28"/>
    <x v="3"/>
    <x v="1"/>
    <n v="12"/>
    <n v="1027.437536231884"/>
    <n v="1.0202713865970954"/>
    <n v="2817.1000000000058"/>
    <n v="0"/>
  </r>
  <r>
    <s v="S01109"/>
    <d v="2025-12-01T00:00:00"/>
    <s v="R01"/>
    <x v="0"/>
    <s v="T02"/>
    <s v="REP02"/>
    <s v="P001"/>
    <n v="181"/>
    <n v="175682.93"/>
    <n v="10756.41"/>
    <n v="2372.46"/>
    <n v="162554.07"/>
    <n v="166349.25"/>
    <x v="0"/>
    <x v="1"/>
    <n v="12"/>
    <n v="898.08878453038676"/>
    <n v="0.9771854697270953"/>
    <n v="-3795.179999999993"/>
    <n v="3795.179999999993"/>
  </r>
  <r>
    <s v="S01110"/>
    <d v="2025-12-01T00:00:00"/>
    <s v="R01"/>
    <x v="0"/>
    <s v="T02"/>
    <s v="REP02"/>
    <s v="P002"/>
    <n v="211"/>
    <n v="160039.4"/>
    <n v="10785.58"/>
    <n v="1814.24"/>
    <n v="147439.59"/>
    <n v="153244.76999999999"/>
    <x v="1"/>
    <x v="1"/>
    <n v="12"/>
    <n v="698.76582938388628"/>
    <n v="0.96211825043034105"/>
    <n v="-5805.179999999993"/>
    <n v="5805.179999999993"/>
  </r>
  <r>
    <s v="S01111"/>
    <d v="2025-12-01T00:00:00"/>
    <s v="R01"/>
    <x v="0"/>
    <s v="T02"/>
    <s v="REP02"/>
    <s v="P003"/>
    <n v="234"/>
    <n v="145761.76999999999"/>
    <n v="7563.4"/>
    <n v="1688.3"/>
    <n v="136510.07"/>
    <n v="143463.57"/>
    <x v="2"/>
    <x v="1"/>
    <n v="12"/>
    <n v="583.37636752136757"/>
    <n v="0.9515312493617718"/>
    <n v="-6953.5"/>
    <n v="6953.5"/>
  </r>
  <r>
    <s v="S01112"/>
    <d v="2025-12-01T00:00:00"/>
    <s v="R01"/>
    <x v="0"/>
    <s v="T02"/>
    <s v="REP02"/>
    <s v="P004"/>
    <n v="135"/>
    <n v="146284.29999999999"/>
    <n v="6858.09"/>
    <n v="1824.62"/>
    <n v="137601.59"/>
    <n v="139669.44"/>
    <x v="3"/>
    <x v="1"/>
    <n v="12"/>
    <n v="1019.271037037037"/>
    <n v="0.98519468539431387"/>
    <n v="-2067.8500000000058"/>
    <n v="2067.8500000000058"/>
  </r>
  <r>
    <s v="S01113"/>
    <d v="2025-12-01T00:00:00"/>
    <s v="R01"/>
    <x v="0"/>
    <s v="T03"/>
    <s v="REP03"/>
    <s v="P001"/>
    <n v="182"/>
    <n v="178026.16"/>
    <n v="10938.36"/>
    <n v="1027.31"/>
    <n v="166060.49"/>
    <n v="181646.19"/>
    <x v="0"/>
    <x v="1"/>
    <n v="12"/>
    <n v="912.42027472527468"/>
    <n v="0.91419748468162199"/>
    <n v="-15585.700000000012"/>
    <n v="15585.700000000012"/>
  </r>
  <r>
    <s v="S01114"/>
    <d v="2025-12-01T00:00:00"/>
    <s v="R01"/>
    <x v="0"/>
    <s v="T03"/>
    <s v="REP03"/>
    <s v="P002"/>
    <n v="230"/>
    <n v="176444.21"/>
    <n v="7020.57"/>
    <n v="783.94"/>
    <n v="168639.7"/>
    <n v="165104.22"/>
    <x v="1"/>
    <x v="1"/>
    <n v="12"/>
    <n v="733.21608695652174"/>
    <n v="1.0214136258903619"/>
    <n v="3535.4800000000105"/>
    <n v="0"/>
  </r>
  <r>
    <s v="S01115"/>
    <d v="2025-12-01T00:00:00"/>
    <s v="R01"/>
    <x v="0"/>
    <s v="T03"/>
    <s v="REP03"/>
    <s v="P003"/>
    <n v="281"/>
    <n v="175808.23"/>
    <n v="9185.2099999999991"/>
    <n v="738.39"/>
    <n v="165884.63"/>
    <n v="158956.54999999999"/>
    <x v="2"/>
    <x v="1"/>
    <n v="12"/>
    <n v="590.33676156583635"/>
    <n v="1.0435847406099341"/>
    <n v="6928.0800000000163"/>
    <n v="0"/>
  </r>
  <r>
    <s v="S01116"/>
    <d v="2025-12-01T00:00:00"/>
    <s v="R01"/>
    <x v="0"/>
    <s v="T03"/>
    <s v="REP03"/>
    <s v="P004"/>
    <n v="139"/>
    <n v="154083.85999999999"/>
    <n v="9372.66"/>
    <n v="1972.95"/>
    <n v="142738.23999999999"/>
    <n v="150447.96"/>
    <x v="3"/>
    <x v="1"/>
    <n v="12"/>
    <n v="1026.8938129496403"/>
    <n v="0.94875490501831994"/>
    <n v="-7709.7200000000012"/>
    <n v="7709.7200000000012"/>
  </r>
  <r>
    <s v="S01117"/>
    <d v="2025-12-01T00:00:00"/>
    <s v="R02"/>
    <x v="1"/>
    <s v="T04"/>
    <s v="REP04"/>
    <s v="P001"/>
    <n v="113"/>
    <n v="110620.32"/>
    <n v="7717.96"/>
    <n v="1420.23"/>
    <n v="101482.14"/>
    <n v="136668.84"/>
    <x v="0"/>
    <x v="1"/>
    <n v="12"/>
    <n v="898.07203539823013"/>
    <n v="0.7425404356984372"/>
    <n v="-35186.699999999997"/>
    <n v="35186.699999999997"/>
  </r>
  <r>
    <s v="S01118"/>
    <d v="2025-12-01T00:00:00"/>
    <s v="R02"/>
    <x v="1"/>
    <s v="T04"/>
    <s v="REP04"/>
    <s v="P002"/>
    <n v="173"/>
    <n v="132691.01999999999"/>
    <n v="6175.97"/>
    <n v="1289.22"/>
    <n v="125225.84"/>
    <n v="122612.49"/>
    <x v="1"/>
    <x v="1"/>
    <n v="12"/>
    <n v="723.84878612716761"/>
    <n v="1.0213138971404951"/>
    <n v="2613.3499999999913"/>
    <n v="0"/>
  </r>
  <r>
    <s v="S01119"/>
    <d v="2025-12-01T00:00:00"/>
    <s v="R02"/>
    <x v="1"/>
    <s v="T04"/>
    <s v="REP04"/>
    <s v="P003"/>
    <n v="195"/>
    <n v="120591.62"/>
    <n v="4596.87"/>
    <n v="677.72"/>
    <n v="115317.02"/>
    <n v="115184.36"/>
    <x v="2"/>
    <x v="1"/>
    <n v="12"/>
    <n v="591.36933333333332"/>
    <n v="1.0011517188618315"/>
    <n v="132.66000000000349"/>
    <n v="0"/>
  </r>
  <r>
    <s v="S01120"/>
    <d v="2025-12-01T00:00:00"/>
    <s v="R02"/>
    <x v="1"/>
    <s v="T04"/>
    <s v="REP04"/>
    <s v="P004"/>
    <n v="105"/>
    <n v="117226.48"/>
    <n v="7936.39"/>
    <n v="500.37"/>
    <n v="108789.71"/>
    <n v="112227.29"/>
    <x v="3"/>
    <x v="1"/>
    <n v="12"/>
    <n v="1036.0924761904762"/>
    <n v="0.96936948223555974"/>
    <n v="-3437.5799999999872"/>
    <n v="3437.5799999999872"/>
  </r>
  <r>
    <s v="S01121"/>
    <d v="2025-12-01T00:00:00"/>
    <s v="R02"/>
    <x v="1"/>
    <s v="T05"/>
    <s v="REP05"/>
    <s v="P001"/>
    <n v="101"/>
    <n v="100056.1"/>
    <n v="5075.67"/>
    <n v="1204.1500000000001"/>
    <n v="93776.27"/>
    <n v="117861.83"/>
    <x v="0"/>
    <x v="1"/>
    <n v="12"/>
    <n v="928.4779207920792"/>
    <n v="0.79564579983188788"/>
    <n v="-24085.559999999998"/>
    <n v="24085.559999999998"/>
  </r>
  <r>
    <s v="S01122"/>
    <d v="2025-12-01T00:00:00"/>
    <s v="R02"/>
    <x v="1"/>
    <s v="T05"/>
    <s v="REP05"/>
    <s v="P002"/>
    <n v="138"/>
    <n v="104066.35"/>
    <n v="4646.8999999999996"/>
    <n v="448.15"/>
    <n v="98971.3"/>
    <n v="108637.34"/>
    <x v="1"/>
    <x v="1"/>
    <n v="12"/>
    <n v="717.18333333333339"/>
    <n v="0.91102469924245211"/>
    <n v="-9666.0399999999936"/>
    <n v="9666.0399999999936"/>
  </r>
  <r>
    <s v="S01123"/>
    <d v="2025-12-01T00:00:00"/>
    <s v="R02"/>
    <x v="1"/>
    <s v="T05"/>
    <s v="REP05"/>
    <s v="P003"/>
    <n v="172"/>
    <n v="107755.79"/>
    <n v="7361.7"/>
    <n v="760.09"/>
    <n v="99634"/>
    <n v="101585.49"/>
    <x v="2"/>
    <x v="1"/>
    <n v="12"/>
    <n v="579.26744186046517"/>
    <n v="0.98078967773842496"/>
    <n v="-1951.4900000000052"/>
    <n v="1951.4900000000052"/>
  </r>
  <r>
    <s v="S01124"/>
    <d v="2025-12-01T00:00:00"/>
    <s v="R02"/>
    <x v="1"/>
    <s v="T05"/>
    <s v="REP05"/>
    <s v="P004"/>
    <n v="90"/>
    <n v="99333.68"/>
    <n v="5687.9"/>
    <n v="591.33000000000004"/>
    <n v="93054.45"/>
    <n v="97190.59"/>
    <x v="3"/>
    <x v="1"/>
    <n v="12"/>
    <n v="1033.9383333333333"/>
    <n v="0.95744299936856025"/>
    <n v="-4136.1399999999994"/>
    <n v="4136.1399999999994"/>
  </r>
  <r>
    <s v="S01125"/>
    <d v="2025-12-01T00:00:00"/>
    <s v="R02"/>
    <x v="1"/>
    <s v="T06"/>
    <s v="REP06"/>
    <s v="P001"/>
    <n v="122"/>
    <n v="121133.25"/>
    <n v="4634.58"/>
    <n v="1218.27"/>
    <n v="115280.4"/>
    <n v="135014.16"/>
    <x v="0"/>
    <x v="1"/>
    <n v="12"/>
    <n v="944.92131147540977"/>
    <n v="0.85383933063020934"/>
    <n v="-19733.760000000009"/>
    <n v="19733.760000000009"/>
  </r>
  <r>
    <s v="S01126"/>
    <d v="2025-12-01T00:00:00"/>
    <s v="R02"/>
    <x v="1"/>
    <s v="T06"/>
    <s v="REP06"/>
    <s v="P002"/>
    <n v="162"/>
    <n v="122916.76"/>
    <n v="5110.97"/>
    <n v="529.52"/>
    <n v="117276.27"/>
    <n v="120769.83"/>
    <x v="1"/>
    <x v="1"/>
    <n v="12"/>
    <n v="723.92759259259265"/>
    <n v="0.97107257665262925"/>
    <n v="-3493.5599999999977"/>
    <n v="3493.5599999999977"/>
  </r>
  <r>
    <s v="S01127"/>
    <d v="2025-12-01T00:00:00"/>
    <s v="R02"/>
    <x v="1"/>
    <s v="T06"/>
    <s v="REP06"/>
    <s v="P003"/>
    <n v="195"/>
    <n v="121950.21"/>
    <n v="6563.66"/>
    <n v="1024.48"/>
    <n v="114362.07"/>
    <n v="112780.55"/>
    <x v="2"/>
    <x v="1"/>
    <n v="12"/>
    <n v="586.4721538461539"/>
    <n v="1.0140229853463207"/>
    <n v="1581.5200000000041"/>
    <n v="0"/>
  </r>
  <r>
    <s v="S01128"/>
    <d v="2025-12-01T00:00:00"/>
    <s v="R02"/>
    <x v="1"/>
    <s v="T06"/>
    <s v="REP06"/>
    <s v="P004"/>
    <n v="99"/>
    <n v="109107.78"/>
    <n v="4016.71"/>
    <n v="728.26"/>
    <n v="104362.81"/>
    <n v="110183.03999999999"/>
    <x v="3"/>
    <x v="1"/>
    <n v="12"/>
    <n v="1054.169797979798"/>
    <n v="0.94717671612618426"/>
    <n v="-5820.2299999999959"/>
    <n v="5820.2299999999959"/>
  </r>
  <r>
    <s v="S01129"/>
    <d v="2025-12-01T00:00:00"/>
    <s v="R03"/>
    <x v="2"/>
    <s v="T07"/>
    <s v="REP07"/>
    <s v="P001"/>
    <n v="133"/>
    <n v="129610.77"/>
    <n v="5525.9"/>
    <n v="1187.3900000000001"/>
    <n v="122897.48"/>
    <n v="132907.51999999999"/>
    <x v="0"/>
    <x v="1"/>
    <n v="12"/>
    <n v="924.04120300751879"/>
    <n v="0.92468417136968628"/>
    <n v="-10010.039999999994"/>
    <n v="10010.039999999994"/>
  </r>
  <r>
    <s v="S01130"/>
    <d v="2025-12-01T00:00:00"/>
    <s v="R03"/>
    <x v="2"/>
    <s v="T07"/>
    <s v="REP07"/>
    <s v="P002"/>
    <n v="181"/>
    <n v="137124.89000000001"/>
    <n v="9083.42"/>
    <n v="1465.75"/>
    <n v="126575.73"/>
    <n v="121927.26"/>
    <x v="1"/>
    <x v="1"/>
    <n v="12"/>
    <n v="699.31342541436459"/>
    <n v="1.038124944331563"/>
    <n v="4648.4700000000012"/>
    <n v="0"/>
  </r>
  <r>
    <s v="S01131"/>
    <d v="2025-12-01T00:00:00"/>
    <s v="R03"/>
    <x v="2"/>
    <s v="T07"/>
    <s v="REP07"/>
    <s v="P003"/>
    <n v="192"/>
    <n v="117436.07"/>
    <n v="7119.17"/>
    <n v="1436.08"/>
    <n v="108880.82"/>
    <n v="113305.71"/>
    <x v="2"/>
    <x v="1"/>
    <n v="12"/>
    <n v="567.08760416666667"/>
    <n v="0.96094733442824731"/>
    <n v="-4424.8899999999994"/>
    <n v="4424.8899999999994"/>
  </r>
  <r>
    <s v="S01132"/>
    <d v="2025-12-01T00:00:00"/>
    <s v="R03"/>
    <x v="2"/>
    <s v="T07"/>
    <s v="REP07"/>
    <s v="P004"/>
    <n v="111"/>
    <n v="120493.03"/>
    <n v="5882.87"/>
    <n v="551.83000000000004"/>
    <n v="114058.34"/>
    <n v="110303.71"/>
    <x v="3"/>
    <x v="1"/>
    <n v="12"/>
    <n v="1027.5526126126126"/>
    <n v="1.034039018270555"/>
    <n v="3754.6299999999901"/>
    <n v="0"/>
  </r>
  <r>
    <s v="S01133"/>
    <d v="2025-12-01T00:00:00"/>
    <s v="R03"/>
    <x v="2"/>
    <s v="T08"/>
    <s v="REP08"/>
    <s v="P001"/>
    <n v="146"/>
    <n v="144837.28"/>
    <n v="7298.48"/>
    <n v="763.75"/>
    <n v="136775.04999999999"/>
    <n v="133685.1"/>
    <x v="0"/>
    <x v="1"/>
    <n v="12"/>
    <n v="936.81541095890407"/>
    <n v="1.0231136454249574"/>
    <n v="3089.9499999999825"/>
    <n v="0"/>
  </r>
  <r>
    <s v="S01134"/>
    <d v="2025-12-01T00:00:00"/>
    <s v="R03"/>
    <x v="2"/>
    <s v="T08"/>
    <s v="REP08"/>
    <s v="P002"/>
    <n v="179"/>
    <n v="134767.96"/>
    <n v="6500.93"/>
    <n v="800.92"/>
    <n v="127466.11"/>
    <n v="122118.39999999999"/>
    <x v="1"/>
    <x v="1"/>
    <n v="12"/>
    <n v="712.10117318435755"/>
    <n v="1.0437911895340917"/>
    <n v="5347.7100000000064"/>
    <n v="0"/>
  </r>
  <r>
    <s v="S01135"/>
    <d v="2025-12-01T00:00:00"/>
    <s v="R03"/>
    <x v="2"/>
    <s v="T08"/>
    <s v="REP08"/>
    <s v="P003"/>
    <n v="200"/>
    <n v="124464.1"/>
    <n v="7495.73"/>
    <n v="1623.15"/>
    <n v="115345.22"/>
    <n v="116736.29"/>
    <x v="2"/>
    <x v="1"/>
    <n v="12"/>
    <n v="576.72609999999997"/>
    <n v="0.98808365419185418"/>
    <n v="-1391.0699999999924"/>
    <n v="1391.0699999999924"/>
  </r>
  <r>
    <s v="S01136"/>
    <d v="2025-12-01T00:00:00"/>
    <s v="R03"/>
    <x v="2"/>
    <s v="T08"/>
    <s v="REP08"/>
    <s v="P004"/>
    <n v="108"/>
    <n v="118411.95"/>
    <n v="7347.84"/>
    <n v="882.14"/>
    <n v="110181.97"/>
    <n v="111197.53"/>
    <x v="3"/>
    <x v="1"/>
    <n v="12"/>
    <n v="1020.2034259259259"/>
    <n v="0.99086706332415841"/>
    <n v="-1015.5599999999977"/>
    <n v="1015.5599999999977"/>
  </r>
  <r>
    <s v="S01137"/>
    <d v="2025-12-01T00:00:00"/>
    <s v="R03"/>
    <x v="2"/>
    <s v="T09"/>
    <s v="REP09"/>
    <s v="P001"/>
    <n v="152"/>
    <n v="147647.81"/>
    <n v="8939.6200000000008"/>
    <n v="1348.1"/>
    <n v="137360.09"/>
    <n v="137000.76"/>
    <x v="0"/>
    <x v="1"/>
    <n v="12"/>
    <n v="903.68480263157892"/>
    <n v="1.0026228321653106"/>
    <n v="359.32999999998719"/>
    <n v="0"/>
  </r>
  <r>
    <s v="S01138"/>
    <d v="2025-12-01T00:00:00"/>
    <s v="R03"/>
    <x v="2"/>
    <s v="T09"/>
    <s v="REP09"/>
    <s v="P002"/>
    <n v="183"/>
    <n v="137496.16"/>
    <n v="6696.98"/>
    <n v="1812.33"/>
    <n v="128986.85"/>
    <n v="123982.38"/>
    <x v="1"/>
    <x v="1"/>
    <n v="12"/>
    <n v="704.846174863388"/>
    <n v="1.0403643646782712"/>
    <n v="5004.4700000000012"/>
    <n v="0"/>
  </r>
  <r>
    <s v="S01139"/>
    <d v="2025-12-01T00:00:00"/>
    <s v="R03"/>
    <x v="2"/>
    <s v="T09"/>
    <s v="REP09"/>
    <s v="P003"/>
    <n v="194"/>
    <n v="120612.64"/>
    <n v="6739.78"/>
    <n v="704.05"/>
    <n v="113168.82"/>
    <n v="116477.82"/>
    <x v="2"/>
    <x v="1"/>
    <n v="12"/>
    <n v="583.34443298969074"/>
    <n v="0.97159115787022798"/>
    <n v="-3309"/>
    <n v="3309"/>
  </r>
  <r>
    <s v="S01140"/>
    <d v="2025-12-01T00:00:00"/>
    <s v="R03"/>
    <x v="2"/>
    <s v="T09"/>
    <s v="REP09"/>
    <s v="P004"/>
    <n v="105"/>
    <n v="116527.67"/>
    <n v="6212.77"/>
    <n v="1295.94"/>
    <n v="109018.96"/>
    <n v="112880.77"/>
    <x v="3"/>
    <x v="1"/>
    <n v="12"/>
    <n v="1038.2758095238096"/>
    <n v="0.96578859268943684"/>
    <n v="-3861.8099999999977"/>
    <n v="3861.8099999999977"/>
  </r>
  <r>
    <s v="S01141"/>
    <d v="2025-12-01T00:00:00"/>
    <s v="R04"/>
    <x v="3"/>
    <s v="T10"/>
    <s v="REP10"/>
    <s v="P001"/>
    <n v="115"/>
    <n v="111186.53"/>
    <n v="4519.42"/>
    <n v="798.28"/>
    <n v="105868.84"/>
    <n v="109207.45"/>
    <x v="0"/>
    <x v="1"/>
    <n v="12"/>
    <n v="920.59860869565216"/>
    <n v="0.96942873402867658"/>
    <n v="-3338.6100000000006"/>
    <n v="3338.6100000000006"/>
  </r>
  <r>
    <s v="S01142"/>
    <d v="2025-12-01T00:00:00"/>
    <s v="R04"/>
    <x v="3"/>
    <s v="T10"/>
    <s v="REP10"/>
    <s v="P002"/>
    <n v="138"/>
    <n v="104382.22"/>
    <n v="5702.29"/>
    <n v="676.74"/>
    <n v="98003.19"/>
    <n v="99850.57"/>
    <x v="1"/>
    <x v="1"/>
    <n v="12"/>
    <n v="710.16804347826087"/>
    <n v="0.98149855328817848"/>
    <n v="-1847.3800000000047"/>
    <n v="1847.3800000000047"/>
  </r>
  <r>
    <s v="S01143"/>
    <d v="2025-12-01T00:00:00"/>
    <s v="R04"/>
    <x v="3"/>
    <s v="T10"/>
    <s v="REP10"/>
    <s v="P003"/>
    <n v="161"/>
    <n v="99336.86"/>
    <n v="5245.95"/>
    <n v="561.5"/>
    <n v="93529.4"/>
    <n v="91484.05"/>
    <x v="2"/>
    <x v="1"/>
    <n v="12"/>
    <n v="580.92795031055903"/>
    <n v="1.0223574491946956"/>
    <n v="2045.3499999999913"/>
    <n v="0"/>
  </r>
  <r>
    <s v="S01144"/>
    <d v="2025-12-01T00:00:00"/>
    <s v="R04"/>
    <x v="3"/>
    <s v="T10"/>
    <s v="REP10"/>
    <s v="P004"/>
    <n v="83"/>
    <n v="90752.3"/>
    <n v="6666.87"/>
    <n v="990.05"/>
    <n v="83095.38"/>
    <n v="88687.4"/>
    <x v="3"/>
    <x v="1"/>
    <n v="12"/>
    <n v="1001.1491566265061"/>
    <n v="0.93694684927058425"/>
    <n v="-5592.0199999999895"/>
    <n v="5592.0199999999895"/>
  </r>
  <r>
    <s v="S01145"/>
    <d v="2025-12-01T00:00:00"/>
    <s v="R04"/>
    <x v="3"/>
    <s v="T11"/>
    <s v="REP11"/>
    <s v="P001"/>
    <n v="110"/>
    <n v="106388.95"/>
    <n v="3781.95"/>
    <n v="733.04"/>
    <n v="101873.96"/>
    <n v="108233.22"/>
    <x v="0"/>
    <x v="1"/>
    <n v="12"/>
    <n v="926.12690909090918"/>
    <n v="0.94124484146364684"/>
    <n v="-6359.2599999999948"/>
    <n v="6359.2599999999948"/>
  </r>
  <r>
    <s v="S01146"/>
    <d v="2025-12-01T00:00:00"/>
    <s v="R04"/>
    <x v="3"/>
    <s v="T11"/>
    <s v="REP11"/>
    <s v="P002"/>
    <n v="131"/>
    <n v="99049.7"/>
    <n v="6130.05"/>
    <n v="984.76"/>
    <n v="91934.89"/>
    <n v="97652.05"/>
    <x v="1"/>
    <x v="1"/>
    <n v="12"/>
    <n v="701.79305343511453"/>
    <n v="0.94145376364346678"/>
    <n v="-5717.1600000000035"/>
    <n v="5717.1600000000035"/>
  </r>
  <r>
    <s v="S01147"/>
    <d v="2025-12-01T00:00:00"/>
    <s v="R04"/>
    <x v="3"/>
    <s v="T11"/>
    <s v="REP11"/>
    <s v="P003"/>
    <n v="145"/>
    <n v="89536.78"/>
    <n v="6304.4"/>
    <n v="1047.18"/>
    <n v="82185.2"/>
    <n v="91482.8"/>
    <x v="2"/>
    <x v="1"/>
    <n v="12"/>
    <n v="566.79448275862069"/>
    <n v="0.89836778061012557"/>
    <n v="-9297.6000000000058"/>
    <n v="9297.6000000000058"/>
  </r>
  <r>
    <s v="S01148"/>
    <d v="2025-12-01T00:00:00"/>
    <s v="R04"/>
    <x v="3"/>
    <s v="T11"/>
    <s v="REP11"/>
    <s v="P004"/>
    <n v="90"/>
    <n v="98908.17"/>
    <n v="4600.83"/>
    <n v="1154.3"/>
    <n v="93153.04"/>
    <n v="88398.02"/>
    <x v="3"/>
    <x v="1"/>
    <n v="12"/>
    <n v="1035.0337777777777"/>
    <n v="1.0537910238260992"/>
    <n v="4755.0199999999895"/>
    <n v="0"/>
  </r>
  <r>
    <s v="S01149"/>
    <d v="2025-12-01T00:00:00"/>
    <s v="R04"/>
    <x v="3"/>
    <s v="T12"/>
    <s v="REP12"/>
    <s v="P001"/>
    <n v="127"/>
    <n v="124777.27"/>
    <n v="6480.21"/>
    <n v="1682.9"/>
    <n v="116614.16"/>
    <n v="124207.27"/>
    <x v="0"/>
    <x v="1"/>
    <n v="12"/>
    <n v="918.22173228346458"/>
    <n v="0.93886742700326642"/>
    <n v="-7593.1100000000006"/>
    <n v="7593.1100000000006"/>
  </r>
  <r>
    <s v="S01150"/>
    <d v="2025-12-01T00:00:00"/>
    <s v="R04"/>
    <x v="3"/>
    <s v="T12"/>
    <s v="REP12"/>
    <s v="P002"/>
    <n v="157"/>
    <n v="119845.83"/>
    <n v="6116.95"/>
    <n v="1533.53"/>
    <n v="112195.35"/>
    <n v="111791.99"/>
    <x v="1"/>
    <x v="1"/>
    <n v="12"/>
    <n v="714.62006369426751"/>
    <n v="1.0036081297058939"/>
    <n v="403.36000000000058"/>
    <n v="0"/>
  </r>
  <r>
    <s v="S01151"/>
    <d v="2025-12-01T00:00:00"/>
    <s v="R04"/>
    <x v="3"/>
    <s v="T12"/>
    <s v="REP12"/>
    <s v="P003"/>
    <n v="167"/>
    <n v="103433.51"/>
    <n v="7707.01"/>
    <n v="783.1"/>
    <n v="94943.4"/>
    <n v="105112.6"/>
    <x v="2"/>
    <x v="1"/>
    <n v="12"/>
    <n v="568.52335329341315"/>
    <n v="0.90325422451732706"/>
    <n v="-10169.200000000012"/>
    <n v="10169.200000000012"/>
  </r>
  <r>
    <s v="S01152"/>
    <d v="2025-12-01T00:00:00"/>
    <s v="R04"/>
    <x v="3"/>
    <s v="T12"/>
    <s v="REP12"/>
    <s v="P004"/>
    <n v="94"/>
    <n v="104598.81"/>
    <n v="5572.36"/>
    <n v="1429.3"/>
    <n v="97597.14"/>
    <n v="101342.23"/>
    <x v="3"/>
    <x v="1"/>
    <n v="12"/>
    <n v="1038.2674468085106"/>
    <n v="0.96304511949263405"/>
    <n v="-3745.0899999999965"/>
    <n v="3745.0899999999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2B5D0-B0EF-42C6-AC7D-24CC22E9F2E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8" firstHeaderRow="0" firstDataRow="1" firstDataCol="1" rowPageCount="1" colPageCount="1"/>
  <pivotFields count="20">
    <pivotField showAll="0"/>
    <pivotField numFmtId="164"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dataField="1" numFmtId="1" showAll="0"/>
    <pivotField numFmtId="2" showAll="0"/>
    <pivotField numFmtId="2" showAll="0"/>
    <pivotField numFmtId="2" showAll="0"/>
    <pivotField dataField="1" numFmtId="2" showAll="0"/>
    <pivotField dataField="1" numFmtId="2" showAll="0"/>
    <pivotField showAll="0"/>
    <pivotField axis="axisPage" numFmtId="1" showAll="0">
      <items count="3">
        <item x="0"/>
        <item x="1"/>
        <item t="default"/>
      </items>
    </pivotField>
    <pivotField numFmtId="1" showAll="0"/>
    <pivotField numFmtId="2" showAll="0"/>
    <pivotField numFmtId="10" showAll="0"/>
    <pivotField numFmtId="2" showAll="0"/>
    <pivotField numFmtId="2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item="1" hier="-1"/>
  </pageFields>
  <dataFields count="3">
    <dataField name="Sum of NetSalesTRY" fld="11" baseField="0" baseItem="0"/>
    <dataField name="Sum of TargetTRY" fld="12" baseField="0" baseItem="0"/>
    <dataField name="Sum of Uni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E4D90-6E7F-4162-B193-17C76CF8267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0" firstDataRow="1" firstDataCol="1" rowPageCount="1" colPageCount="1"/>
  <pivotFields count="20">
    <pivotField showAll="0"/>
    <pivotField numFmtId="164" showAll="0"/>
    <pivotField showAll="0"/>
    <pivotField showAll="0"/>
    <pivotField showAll="0"/>
    <pivotField showAll="0"/>
    <pivotField showAll="0"/>
    <pivotField dataField="1" numFmtId="1" showAll="0"/>
    <pivotField numFmtId="2" showAll="0"/>
    <pivotField numFmtId="2" showAll="0"/>
    <pivotField numFmtId="2" showAll="0"/>
    <pivotField dataField="1" numFmtId="2" showAll="0"/>
    <pivotField dataField="1" numFmtId="2" showAll="0"/>
    <pivotField axis="axisRow" showAll="0">
      <items count="5">
        <item x="0"/>
        <item x="1"/>
        <item x="3"/>
        <item x="2"/>
        <item t="default"/>
      </items>
    </pivotField>
    <pivotField axis="axisPage" numFmtId="1" showAll="0">
      <items count="3">
        <item x="0"/>
        <item x="1"/>
        <item t="default"/>
      </items>
    </pivotField>
    <pivotField numFmtId="1" showAll="0"/>
    <pivotField numFmtId="2" showAll="0"/>
    <pivotField numFmtId="10" showAll="0"/>
    <pivotField numFmtId="2" showAll="0"/>
    <pivotField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item="1" hier="-1"/>
  </pageFields>
  <dataFields count="3">
    <dataField name="Sum of NetSalesTRY" fld="11" baseField="0" baseItem="0"/>
    <dataField name="Sum of TargetTRY" fld="12" baseField="0" baseItem="0"/>
    <dataField name="Sum of Uni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roducts" displayName="tblProducts" ref="A1:D5" totalsRowShown="0">
  <autoFilter ref="A1:D5" xr:uid="{00000000-000C-0000-FFFF-FFFF00000000}"/>
  <tableColumns count="4">
    <tableColumn id="1" xr3:uid="{00000000-0010-0000-0000-000001000000}" name="ProductID"/>
    <tableColumn id="2" xr3:uid="{00000000-0010-0000-0000-000002000000}" name="ProductName"/>
    <tableColumn id="3" xr3:uid="{00000000-0010-0000-0000-000003000000}" name="TherapeuticArea"/>
    <tableColumn id="4" xr3:uid="{00000000-0010-0000-0000-000004000000}" name="ListPrice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gions" displayName="tblRegions" ref="A1:B5">
  <autoFilter ref="A1:B5" xr:uid="{00000000-000C-0000-FFFF-FFFF01000000}"/>
  <tableColumns count="2">
    <tableColumn id="1" xr3:uid="{00000000-0010-0000-0100-000001000000}" name="RegionID" totalsRowLabel="Total"/>
    <tableColumn id="2" xr3:uid="{00000000-0010-0000-0100-000002000000}" name="Region" totalsRowFunction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eps" displayName="tblReps" ref="A1:G13" totalsRowShown="0">
  <autoFilter ref="A1:G13" xr:uid="{00000000-000C-0000-FFFF-FFFF02000000}"/>
  <tableColumns count="7">
    <tableColumn id="1" xr3:uid="{00000000-0010-0000-0200-000001000000}" name="RepID"/>
    <tableColumn id="2" xr3:uid="{00000000-0010-0000-0200-000002000000}" name="RepName"/>
    <tableColumn id="3" xr3:uid="{00000000-0010-0000-0200-000003000000}" name="RegionID"/>
    <tableColumn id="4" xr3:uid="{00000000-0010-0000-0200-000004000000}" name="Region"/>
    <tableColumn id="5" xr3:uid="{00000000-0010-0000-0200-000005000000}" name="TerritoryID"/>
    <tableColumn id="6" xr3:uid="{00000000-0010-0000-0200-000006000000}" name="HireDate" dataDxfId="25"/>
    <tableColumn id="7" xr3:uid="{00000000-0010-0000-0200-000007000000}" name="Active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HCP" displayName="tblHCP" ref="A1:J151" totalsRowShown="0">
  <autoFilter ref="A1:J151" xr:uid="{00000000-000C-0000-FFFF-FFFF03000000}"/>
  <tableColumns count="10">
    <tableColumn id="1" xr3:uid="{00000000-0010-0000-0300-000001000000}" name="HCPID"/>
    <tableColumn id="2" xr3:uid="{00000000-0010-0000-0300-000002000000}" name="HCPName"/>
    <tableColumn id="3" xr3:uid="{00000000-0010-0000-0300-000003000000}" name="RegionID"/>
    <tableColumn id="4" xr3:uid="{00000000-0010-0000-0300-000004000000}" name="Region"/>
    <tableColumn id="5" xr3:uid="{00000000-0010-0000-0300-000005000000}" name="TerritoryID"/>
    <tableColumn id="6" xr3:uid="{00000000-0010-0000-0300-000006000000}" name="Specialty"/>
    <tableColumn id="7" xr3:uid="{00000000-0010-0000-0300-000007000000}" name="Segment"/>
    <tableColumn id="8" xr3:uid="{00000000-0010-0000-0300-000008000000}" name="PotentialScore" dataDxfId="24"/>
    <tableColumn id="9" xr3:uid="{00000000-0010-0000-0300-000009000000}" name="EngagementScore" dataDxfId="23"/>
    <tableColumn id="10" xr3:uid="{00000000-0010-0000-0300-00000A000000}" name="TargetFlag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ales" displayName="tblSales" ref="A1:T1153" totalsRowShown="0">
  <autoFilter ref="A1:T1153" xr:uid="{00000000-000C-0000-FFFF-FFFF04000000}"/>
  <tableColumns count="20">
    <tableColumn id="1" xr3:uid="{00000000-0010-0000-0400-000001000000}" name="SalesID"/>
    <tableColumn id="2" xr3:uid="{00000000-0010-0000-0400-000002000000}" name="Month" dataDxfId="21"/>
    <tableColumn id="3" xr3:uid="{00000000-0010-0000-0400-000003000000}" name="RegionID"/>
    <tableColumn id="4" xr3:uid="{00000000-0010-0000-0400-000004000000}" name="Region"/>
    <tableColumn id="5" xr3:uid="{00000000-0010-0000-0400-000005000000}" name="TerritoryID"/>
    <tableColumn id="6" xr3:uid="{00000000-0010-0000-0400-000006000000}" name="RepID"/>
    <tableColumn id="7" xr3:uid="{00000000-0010-0000-0400-000007000000}" name="ProductID"/>
    <tableColumn id="8" xr3:uid="{00000000-0010-0000-0400-000008000000}" name="Units" dataDxfId="20"/>
    <tableColumn id="9" xr3:uid="{00000000-0010-0000-0400-000009000000}" name="GrossSalesTRY" dataDxfId="19"/>
    <tableColumn id="10" xr3:uid="{00000000-0010-0000-0400-00000A000000}" name="DiscountTRY" dataDxfId="18"/>
    <tableColumn id="11" xr3:uid="{00000000-0010-0000-0400-00000B000000}" name="ReturnsTRY" dataDxfId="17"/>
    <tableColumn id="12" xr3:uid="{00000000-0010-0000-0400-00000C000000}" name="NetSalesTRY" dataDxfId="16"/>
    <tableColumn id="13" xr3:uid="{00000000-0010-0000-0400-00000D000000}" name="TargetTRY" dataDxfId="15"/>
    <tableColumn id="14" xr3:uid="{71B00F66-15C5-4BAC-A925-F551A8C1C22A}" name="ProductName" dataDxfId="14">
      <calculatedColumnFormula>_xlfn.XLOOKUP(tblSales[[#This Row],[ProductID]],tblProducts[ProductID],tblProducts[ProductName],"Not Found")</calculatedColumnFormula>
    </tableColumn>
    <tableColumn id="15" xr3:uid="{B90F7AA7-B3B2-4AB3-8D21-27C101821C3C}" name="Year" dataDxfId="13">
      <calculatedColumnFormula>YEAR(tblSales[[#This Row],[Month]])</calculatedColumnFormula>
    </tableColumn>
    <tableColumn id="16" xr3:uid="{0AAFF1CC-FB16-4BD7-8AB7-9CD3C1D745D2}" name="MonthNo" dataDxfId="12">
      <calculatedColumnFormula>MONTH(tblSales[[#This Row],[Month]])</calculatedColumnFormula>
    </tableColumn>
    <tableColumn id="17" xr3:uid="{678F7B6D-A52C-4C2F-8B29-05A38BE9057D}" name="AveragePriceTRY" dataDxfId="11">
      <calculatedColumnFormula>IFERROR(tblSales[[#This Row],[NetSalesTRY]]/tblSales[[#This Row],[Units]],0)</calculatedColumnFormula>
    </tableColumn>
    <tableColumn id="18" xr3:uid="{60260575-3173-4120-8BD1-1DB35C03E2FF}" name="AchievementPct" dataDxfId="10" dataCellStyle="Percent">
      <calculatedColumnFormula>IFERROR(tblSales[[#This Row],[NetSalesTRY]]/tblSales[[#This Row],[TargetTRY]],0)</calculatedColumnFormula>
    </tableColumn>
    <tableColumn id="19" xr3:uid="{4775BE91-F9D7-4C49-B822-DD0940FCC64F}" name="TargetVarianceTRY" dataDxfId="9">
      <calculatedColumnFormula>tblSales[[#This Row],[NetSalesTRY]]-tblSales[[#This Row],[TargetTRY]]</calculatedColumnFormula>
    </tableColumn>
    <tableColumn id="20" xr3:uid="{CFC73DB1-BE12-40E6-9F31-99BE4537602D}" name="RemainingGapTRY" dataDxfId="8">
      <calculatedColumnFormula>MAX(tblSales[[#This Row],[TargetTRY]]-tblSales[[#This Row],[NetSalesTRY]],0)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arket" displayName="tblMarket" ref="A1:G385" totalsRowShown="0">
  <autoFilter ref="A1:G385" xr:uid="{00000000-000C-0000-FFFF-FFFF05000000}"/>
  <tableColumns count="7">
    <tableColumn id="1" xr3:uid="{00000000-0010-0000-0500-000001000000}" name="MarketID"/>
    <tableColumn id="2" xr3:uid="{00000000-0010-0000-0500-000002000000}" name="Month" dataDxfId="7"/>
    <tableColumn id="3" xr3:uid="{00000000-0010-0000-0500-000003000000}" name="RegionID"/>
    <tableColumn id="4" xr3:uid="{00000000-0010-0000-0500-000004000000}" name="Region"/>
    <tableColumn id="5" xr3:uid="{00000000-0010-0000-0500-000005000000}" name="ProductID"/>
    <tableColumn id="6" xr3:uid="{00000000-0010-0000-0500-000006000000}" name="TotalMarketSalesTRY" dataDxfId="6"/>
    <tableColumn id="7" xr3:uid="{00000000-0010-0000-0500-000007000000}" name="CompetitorXSalesTRY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alls" displayName="tblCalls" ref="A1:K3066" totalsRowShown="0">
  <autoFilter ref="A1:K3066" xr:uid="{00000000-000C-0000-FFFF-FFFF06000000}"/>
  <tableColumns count="11">
    <tableColumn id="1" xr3:uid="{00000000-0010-0000-0600-000001000000}" name="CallID"/>
    <tableColumn id="2" xr3:uid="{00000000-0010-0000-0600-000002000000}" name="CallDate" dataDxfId="4"/>
    <tableColumn id="3" xr3:uid="{00000000-0010-0000-0600-000003000000}" name="Month" dataDxfId="3"/>
    <tableColumn id="4" xr3:uid="{00000000-0010-0000-0600-000004000000}" name="RepID"/>
    <tableColumn id="5" xr3:uid="{00000000-0010-0000-0600-000005000000}" name="RegionID"/>
    <tableColumn id="6" xr3:uid="{00000000-0010-0000-0600-000006000000}" name="TerritoryID"/>
    <tableColumn id="7" xr3:uid="{00000000-0010-0000-0600-000007000000}" name="HCPID"/>
    <tableColumn id="8" xr3:uid="{00000000-0010-0000-0600-000008000000}" name="ProductID"/>
    <tableColumn id="9" xr3:uid="{00000000-0010-0000-0600-000009000000}" name="CallStatus"/>
    <tableColumn id="10" xr3:uid="{00000000-0010-0000-0600-00000A000000}" name="Channel"/>
    <tableColumn id="11" xr3:uid="{00000000-0010-0000-0600-00000B000000}" name="DurationMi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7" sqref="D7"/>
    </sheetView>
  </sheetViews>
  <sheetFormatPr defaultRowHeight="13.8"/>
  <cols>
    <col min="1" max="1" width="12" customWidth="1"/>
    <col min="2" max="2" width="20" customWidth="1"/>
    <col min="3" max="3" width="22" customWidth="1"/>
    <col min="4" max="4" width="14" customWidth="1"/>
  </cols>
  <sheetData>
    <row r="1" spans="1:4">
      <c r="A1" s="3" t="s">
        <v>1</v>
      </c>
      <c r="B1" s="3" t="s">
        <v>2</v>
      </c>
      <c r="C1" s="3" t="s">
        <v>3</v>
      </c>
      <c r="D1" s="3" t="s">
        <v>4</v>
      </c>
    </row>
    <row r="2" spans="1:4">
      <c r="A2" t="s">
        <v>5</v>
      </c>
      <c r="B2" t="s">
        <v>6</v>
      </c>
      <c r="C2" t="s">
        <v>7</v>
      </c>
      <c r="D2" s="2">
        <v>980</v>
      </c>
    </row>
    <row r="3" spans="1:4">
      <c r="A3" t="s">
        <v>8</v>
      </c>
      <c r="B3" t="s">
        <v>9</v>
      </c>
      <c r="C3" t="s">
        <v>10</v>
      </c>
      <c r="D3" s="2">
        <v>760</v>
      </c>
    </row>
    <row r="4" spans="1:4">
      <c r="A4" t="s">
        <v>11</v>
      </c>
      <c r="B4" t="s">
        <v>12</v>
      </c>
      <c r="C4" t="s">
        <v>13</v>
      </c>
      <c r="D4" s="2">
        <v>620</v>
      </c>
    </row>
    <row r="5" spans="1:4">
      <c r="A5" t="s">
        <v>14</v>
      </c>
      <c r="B5" t="s">
        <v>15</v>
      </c>
      <c r="C5" t="s">
        <v>16</v>
      </c>
      <c r="D5" s="2">
        <v>1100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A1048576"/>
    </sheetView>
  </sheetViews>
  <sheetFormatPr defaultRowHeight="13.8"/>
  <cols>
    <col min="1" max="1" width="12" customWidth="1"/>
    <col min="2" max="2" width="22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20</v>
      </c>
    </row>
    <row r="3" spans="1:2">
      <c r="A3" t="s">
        <v>21</v>
      </c>
      <c r="B3" t="s">
        <v>22</v>
      </c>
    </row>
    <row r="4" spans="1:2">
      <c r="A4" t="s">
        <v>23</v>
      </c>
      <c r="B4" t="s">
        <v>24</v>
      </c>
    </row>
    <row r="5" spans="1:2">
      <c r="A5" t="s">
        <v>25</v>
      </c>
      <c r="B5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K14" sqref="K14"/>
    </sheetView>
  </sheetViews>
  <sheetFormatPr defaultRowHeight="13.8"/>
  <cols>
    <col min="1" max="1" width="10.19921875" bestFit="1" customWidth="1"/>
    <col min="2" max="2" width="13.5" bestFit="1" customWidth="1"/>
    <col min="3" max="3" width="12.8984375" bestFit="1" customWidth="1"/>
    <col min="4" max="4" width="13.69921875" bestFit="1" customWidth="1"/>
    <col min="5" max="5" width="14.296875" bestFit="1" customWidth="1"/>
    <col min="6" max="6" width="12.5" style="16" bestFit="1" customWidth="1"/>
    <col min="7" max="7" width="14.19921875" bestFit="1" customWidth="1"/>
  </cols>
  <sheetData>
    <row r="1" spans="1:7">
      <c r="A1" s="1" t="s">
        <v>27</v>
      </c>
      <c r="B1" s="1" t="s">
        <v>28</v>
      </c>
      <c r="C1" s="1" t="s">
        <v>17</v>
      </c>
      <c r="D1" s="1" t="s">
        <v>18</v>
      </c>
      <c r="E1" s="1" t="s">
        <v>29</v>
      </c>
      <c r="F1" s="14" t="s">
        <v>30</v>
      </c>
      <c r="G1" s="1" t="s">
        <v>31</v>
      </c>
    </row>
    <row r="2" spans="1:7">
      <c r="A2" t="s">
        <v>32</v>
      </c>
      <c r="B2" t="s">
        <v>33</v>
      </c>
      <c r="C2" t="s">
        <v>19</v>
      </c>
      <c r="D2" t="s">
        <v>20</v>
      </c>
      <c r="E2" t="s">
        <v>34</v>
      </c>
      <c r="F2" s="15">
        <v>44989</v>
      </c>
      <c r="G2">
        <v>1</v>
      </c>
    </row>
    <row r="3" spans="1:7">
      <c r="A3" t="s">
        <v>35</v>
      </c>
      <c r="B3" t="s">
        <v>36</v>
      </c>
      <c r="C3" t="s">
        <v>19</v>
      </c>
      <c r="D3" t="s">
        <v>20</v>
      </c>
      <c r="E3" t="s">
        <v>37</v>
      </c>
      <c r="F3" s="15">
        <v>45417</v>
      </c>
      <c r="G3">
        <v>1</v>
      </c>
    </row>
    <row r="4" spans="1:7">
      <c r="A4" t="s">
        <v>38</v>
      </c>
      <c r="B4" t="s">
        <v>39</v>
      </c>
      <c r="C4" t="s">
        <v>19</v>
      </c>
      <c r="D4" t="s">
        <v>20</v>
      </c>
      <c r="E4" t="s">
        <v>40</v>
      </c>
      <c r="F4" s="15">
        <v>44748</v>
      </c>
      <c r="G4">
        <v>1</v>
      </c>
    </row>
    <row r="5" spans="1:7">
      <c r="A5" t="s">
        <v>41</v>
      </c>
      <c r="B5" t="s">
        <v>42</v>
      </c>
      <c r="C5" t="s">
        <v>21</v>
      </c>
      <c r="D5" t="s">
        <v>22</v>
      </c>
      <c r="E5" t="s">
        <v>43</v>
      </c>
      <c r="F5" s="15">
        <v>45176</v>
      </c>
      <c r="G5">
        <v>1</v>
      </c>
    </row>
    <row r="6" spans="1:7">
      <c r="A6" t="s">
        <v>44</v>
      </c>
      <c r="B6" t="s">
        <v>45</v>
      </c>
      <c r="C6" t="s">
        <v>21</v>
      </c>
      <c r="D6" t="s">
        <v>22</v>
      </c>
      <c r="E6" t="s">
        <v>46</v>
      </c>
      <c r="F6" s="15">
        <v>45604</v>
      </c>
      <c r="G6">
        <v>1</v>
      </c>
    </row>
    <row r="7" spans="1:7">
      <c r="A7" t="s">
        <v>47</v>
      </c>
      <c r="B7" t="s">
        <v>48</v>
      </c>
      <c r="C7" t="s">
        <v>21</v>
      </c>
      <c r="D7" t="s">
        <v>22</v>
      </c>
      <c r="E7" t="s">
        <v>49</v>
      </c>
      <c r="F7" s="15">
        <v>44570</v>
      </c>
      <c r="G7">
        <v>1</v>
      </c>
    </row>
    <row r="8" spans="1:7">
      <c r="A8" t="s">
        <v>50</v>
      </c>
      <c r="B8" t="s">
        <v>51</v>
      </c>
      <c r="C8" t="s">
        <v>23</v>
      </c>
      <c r="D8" t="s">
        <v>24</v>
      </c>
      <c r="E8" t="s">
        <v>52</v>
      </c>
      <c r="F8" s="15">
        <v>44995</v>
      </c>
      <c r="G8">
        <v>1</v>
      </c>
    </row>
    <row r="9" spans="1:7">
      <c r="A9" t="s">
        <v>53</v>
      </c>
      <c r="B9" t="s">
        <v>54</v>
      </c>
      <c r="C9" t="s">
        <v>23</v>
      </c>
      <c r="D9" t="s">
        <v>24</v>
      </c>
      <c r="E9" t="s">
        <v>55</v>
      </c>
      <c r="F9" s="15">
        <v>45423</v>
      </c>
      <c r="G9">
        <v>1</v>
      </c>
    </row>
    <row r="10" spans="1:7">
      <c r="A10" t="s">
        <v>56</v>
      </c>
      <c r="B10" t="s">
        <v>57</v>
      </c>
      <c r="C10" t="s">
        <v>23</v>
      </c>
      <c r="D10" t="s">
        <v>24</v>
      </c>
      <c r="E10" t="s">
        <v>58</v>
      </c>
      <c r="F10" s="15">
        <v>44754</v>
      </c>
      <c r="G10">
        <v>1</v>
      </c>
    </row>
    <row r="11" spans="1:7">
      <c r="A11" t="s">
        <v>59</v>
      </c>
      <c r="B11" t="s">
        <v>60</v>
      </c>
      <c r="C11" t="s">
        <v>25</v>
      </c>
      <c r="D11" t="s">
        <v>26</v>
      </c>
      <c r="E11" t="s">
        <v>61</v>
      </c>
      <c r="F11" s="15">
        <v>45182</v>
      </c>
      <c r="G11">
        <v>1</v>
      </c>
    </row>
    <row r="12" spans="1:7">
      <c r="A12" t="s">
        <v>62</v>
      </c>
      <c r="B12" t="s">
        <v>63</v>
      </c>
      <c r="C12" t="s">
        <v>25</v>
      </c>
      <c r="D12" t="s">
        <v>26</v>
      </c>
      <c r="E12" t="s">
        <v>64</v>
      </c>
      <c r="F12" s="15">
        <v>45610</v>
      </c>
      <c r="G12">
        <v>1</v>
      </c>
    </row>
    <row r="13" spans="1:7">
      <c r="A13" t="s">
        <v>65</v>
      </c>
      <c r="B13" t="s">
        <v>66</v>
      </c>
      <c r="C13" t="s">
        <v>25</v>
      </c>
      <c r="D13" t="s">
        <v>26</v>
      </c>
      <c r="E13" t="s">
        <v>67</v>
      </c>
      <c r="F13" s="15">
        <v>44576</v>
      </c>
      <c r="G1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1"/>
  <sheetViews>
    <sheetView workbookViewId="0">
      <selection activeCell="N16" sqref="N16"/>
    </sheetView>
  </sheetViews>
  <sheetFormatPr defaultRowHeight="13.8"/>
  <cols>
    <col min="1" max="1" width="10.5" bestFit="1" customWidth="1"/>
    <col min="2" max="2" width="13.796875" bestFit="1" customWidth="1"/>
    <col min="3" max="3" width="12.8984375" bestFit="1" customWidth="1"/>
    <col min="4" max="4" width="13.69921875" bestFit="1" customWidth="1"/>
    <col min="5" max="5" width="14.296875" bestFit="1" customWidth="1"/>
    <col min="6" max="6" width="14.59765625" bestFit="1" customWidth="1"/>
    <col min="7" max="7" width="12.796875" bestFit="1" customWidth="1"/>
    <col min="8" max="8" width="17.796875" style="8" bestFit="1" customWidth="1"/>
    <col min="9" max="9" width="21.296875" style="8" bestFit="1" customWidth="1"/>
    <col min="10" max="10" width="14.19921875" style="8" bestFit="1" customWidth="1"/>
  </cols>
  <sheetData>
    <row r="1" spans="1:10">
      <c r="A1" s="1" t="s">
        <v>68</v>
      </c>
      <c r="B1" s="1" t="s">
        <v>69</v>
      </c>
      <c r="C1" s="1" t="s">
        <v>17</v>
      </c>
      <c r="D1" s="1" t="s">
        <v>18</v>
      </c>
      <c r="E1" s="1" t="s">
        <v>29</v>
      </c>
      <c r="F1" s="1" t="s">
        <v>70</v>
      </c>
      <c r="G1" s="1" t="s">
        <v>71</v>
      </c>
      <c r="H1" s="7" t="s">
        <v>72</v>
      </c>
      <c r="I1" s="7" t="s">
        <v>73</v>
      </c>
      <c r="J1" s="7" t="s">
        <v>74</v>
      </c>
    </row>
    <row r="2" spans="1:10">
      <c r="A2" t="s">
        <v>75</v>
      </c>
      <c r="B2" t="s">
        <v>76</v>
      </c>
      <c r="C2" t="s">
        <v>19</v>
      </c>
      <c r="D2" t="s">
        <v>20</v>
      </c>
      <c r="E2" t="s">
        <v>34</v>
      </c>
      <c r="F2" t="s">
        <v>7</v>
      </c>
      <c r="G2" t="s">
        <v>77</v>
      </c>
      <c r="H2" s="8">
        <v>68</v>
      </c>
      <c r="I2" s="8">
        <v>38</v>
      </c>
      <c r="J2" s="8">
        <v>1</v>
      </c>
    </row>
    <row r="3" spans="1:10">
      <c r="A3" t="s">
        <v>78</v>
      </c>
      <c r="B3" t="s">
        <v>79</v>
      </c>
      <c r="C3" t="s">
        <v>19</v>
      </c>
      <c r="D3" t="s">
        <v>20</v>
      </c>
      <c r="E3" t="s">
        <v>37</v>
      </c>
      <c r="F3" t="s">
        <v>80</v>
      </c>
      <c r="G3" t="s">
        <v>81</v>
      </c>
      <c r="H3" s="8">
        <v>95</v>
      </c>
      <c r="I3" s="8">
        <v>88</v>
      </c>
      <c r="J3" s="8">
        <v>1</v>
      </c>
    </row>
    <row r="4" spans="1:10">
      <c r="A4" t="s">
        <v>82</v>
      </c>
      <c r="B4" t="s">
        <v>83</v>
      </c>
      <c r="C4" t="s">
        <v>19</v>
      </c>
      <c r="D4" t="s">
        <v>20</v>
      </c>
      <c r="E4" t="s">
        <v>40</v>
      </c>
      <c r="F4" t="s">
        <v>84</v>
      </c>
      <c r="G4" t="s">
        <v>81</v>
      </c>
      <c r="H4" s="8">
        <v>78</v>
      </c>
      <c r="I4" s="8">
        <v>64</v>
      </c>
      <c r="J4" s="8">
        <v>1</v>
      </c>
    </row>
    <row r="5" spans="1:10">
      <c r="A5" t="s">
        <v>85</v>
      </c>
      <c r="B5" t="s">
        <v>86</v>
      </c>
      <c r="C5" t="s">
        <v>19</v>
      </c>
      <c r="D5" t="s">
        <v>20</v>
      </c>
      <c r="E5" t="s">
        <v>34</v>
      </c>
      <c r="F5" t="s">
        <v>16</v>
      </c>
      <c r="G5" t="s">
        <v>87</v>
      </c>
      <c r="H5" s="8">
        <v>33</v>
      </c>
      <c r="I5" s="8">
        <v>30</v>
      </c>
      <c r="J5" s="8">
        <v>0</v>
      </c>
    </row>
    <row r="6" spans="1:10">
      <c r="A6" t="s">
        <v>88</v>
      </c>
      <c r="B6" t="s">
        <v>89</v>
      </c>
      <c r="C6" t="s">
        <v>19</v>
      </c>
      <c r="D6" t="s">
        <v>20</v>
      </c>
      <c r="E6" t="s">
        <v>37</v>
      </c>
      <c r="F6" t="s">
        <v>80</v>
      </c>
      <c r="G6" t="s">
        <v>77</v>
      </c>
      <c r="H6" s="8">
        <v>73</v>
      </c>
      <c r="I6" s="8">
        <v>49</v>
      </c>
      <c r="J6" s="8">
        <v>1</v>
      </c>
    </row>
    <row r="7" spans="1:10">
      <c r="A7" t="s">
        <v>90</v>
      </c>
      <c r="B7" t="s">
        <v>91</v>
      </c>
      <c r="C7" t="s">
        <v>19</v>
      </c>
      <c r="D7" t="s">
        <v>20</v>
      </c>
      <c r="E7" t="s">
        <v>40</v>
      </c>
      <c r="F7" t="s">
        <v>7</v>
      </c>
      <c r="G7" t="s">
        <v>77</v>
      </c>
      <c r="H7" s="8">
        <v>66</v>
      </c>
      <c r="I7" s="8">
        <v>79</v>
      </c>
      <c r="J7" s="8">
        <v>1</v>
      </c>
    </row>
    <row r="8" spans="1:10">
      <c r="A8" t="s">
        <v>92</v>
      </c>
      <c r="B8" t="s">
        <v>93</v>
      </c>
      <c r="C8" t="s">
        <v>19</v>
      </c>
      <c r="D8" t="s">
        <v>20</v>
      </c>
      <c r="E8" t="s">
        <v>34</v>
      </c>
      <c r="F8" t="s">
        <v>80</v>
      </c>
      <c r="G8" t="s">
        <v>77</v>
      </c>
      <c r="H8" s="8">
        <v>62</v>
      </c>
      <c r="I8" s="8">
        <v>82</v>
      </c>
      <c r="J8" s="8">
        <v>1</v>
      </c>
    </row>
    <row r="9" spans="1:10">
      <c r="A9" t="s">
        <v>94</v>
      </c>
      <c r="B9" t="s">
        <v>95</v>
      </c>
      <c r="C9" t="s">
        <v>19</v>
      </c>
      <c r="D9" t="s">
        <v>20</v>
      </c>
      <c r="E9" t="s">
        <v>37</v>
      </c>
      <c r="F9" t="s">
        <v>84</v>
      </c>
      <c r="G9" t="s">
        <v>77</v>
      </c>
      <c r="H9" s="8">
        <v>79</v>
      </c>
      <c r="I9" s="8">
        <v>41</v>
      </c>
      <c r="J9" s="8">
        <v>0</v>
      </c>
    </row>
    <row r="10" spans="1:10">
      <c r="A10" t="s">
        <v>96</v>
      </c>
      <c r="B10" t="s">
        <v>97</v>
      </c>
      <c r="C10" t="s">
        <v>19</v>
      </c>
      <c r="D10" t="s">
        <v>20</v>
      </c>
      <c r="E10" t="s">
        <v>40</v>
      </c>
      <c r="F10" t="s">
        <v>98</v>
      </c>
      <c r="G10" t="s">
        <v>77</v>
      </c>
      <c r="H10" s="8">
        <v>67</v>
      </c>
      <c r="I10" s="8">
        <v>59</v>
      </c>
      <c r="J10" s="8">
        <v>1</v>
      </c>
    </row>
    <row r="11" spans="1:10">
      <c r="A11" t="s">
        <v>99</v>
      </c>
      <c r="B11" t="s">
        <v>100</v>
      </c>
      <c r="C11" t="s">
        <v>19</v>
      </c>
      <c r="D11" t="s">
        <v>20</v>
      </c>
      <c r="E11" t="s">
        <v>34</v>
      </c>
      <c r="F11" t="s">
        <v>16</v>
      </c>
      <c r="G11" t="s">
        <v>77</v>
      </c>
      <c r="H11" s="8">
        <v>57</v>
      </c>
      <c r="I11" s="8">
        <v>43</v>
      </c>
      <c r="J11" s="8">
        <v>1</v>
      </c>
    </row>
    <row r="12" spans="1:10">
      <c r="A12" t="s">
        <v>101</v>
      </c>
      <c r="B12" t="s">
        <v>102</v>
      </c>
      <c r="C12" t="s">
        <v>19</v>
      </c>
      <c r="D12" t="s">
        <v>20</v>
      </c>
      <c r="E12" t="s">
        <v>37</v>
      </c>
      <c r="F12" t="s">
        <v>84</v>
      </c>
      <c r="G12" t="s">
        <v>81</v>
      </c>
      <c r="H12" s="8">
        <v>98</v>
      </c>
      <c r="I12" s="8">
        <v>62</v>
      </c>
      <c r="J12" s="8">
        <v>1</v>
      </c>
    </row>
    <row r="13" spans="1:10">
      <c r="A13" t="s">
        <v>103</v>
      </c>
      <c r="B13" t="s">
        <v>104</v>
      </c>
      <c r="C13" t="s">
        <v>19</v>
      </c>
      <c r="D13" t="s">
        <v>20</v>
      </c>
      <c r="E13" t="s">
        <v>40</v>
      </c>
      <c r="F13" t="s">
        <v>7</v>
      </c>
      <c r="G13" t="s">
        <v>77</v>
      </c>
      <c r="H13" s="8">
        <v>51</v>
      </c>
      <c r="I13" s="8">
        <v>39</v>
      </c>
      <c r="J13" s="8">
        <v>1</v>
      </c>
    </row>
    <row r="14" spans="1:10">
      <c r="A14" t="s">
        <v>105</v>
      </c>
      <c r="B14" t="s">
        <v>106</v>
      </c>
      <c r="C14" t="s">
        <v>19</v>
      </c>
      <c r="D14" t="s">
        <v>20</v>
      </c>
      <c r="E14" t="s">
        <v>34</v>
      </c>
      <c r="F14" t="s">
        <v>84</v>
      </c>
      <c r="G14" t="s">
        <v>77</v>
      </c>
      <c r="H14" s="8">
        <v>70</v>
      </c>
      <c r="I14" s="8">
        <v>37</v>
      </c>
      <c r="J14" s="8">
        <v>1</v>
      </c>
    </row>
    <row r="15" spans="1:10">
      <c r="A15" t="s">
        <v>107</v>
      </c>
      <c r="B15" t="s">
        <v>108</v>
      </c>
      <c r="C15" t="s">
        <v>19</v>
      </c>
      <c r="D15" t="s">
        <v>20</v>
      </c>
      <c r="E15" t="s">
        <v>37</v>
      </c>
      <c r="F15" t="s">
        <v>80</v>
      </c>
      <c r="G15" t="s">
        <v>81</v>
      </c>
      <c r="H15" s="8">
        <v>94</v>
      </c>
      <c r="I15" s="8">
        <v>60</v>
      </c>
      <c r="J15" s="8">
        <v>1</v>
      </c>
    </row>
    <row r="16" spans="1:10">
      <c r="A16" t="s">
        <v>109</v>
      </c>
      <c r="B16" t="s">
        <v>110</v>
      </c>
      <c r="C16" t="s">
        <v>19</v>
      </c>
      <c r="D16" t="s">
        <v>20</v>
      </c>
      <c r="E16" t="s">
        <v>40</v>
      </c>
      <c r="F16" t="s">
        <v>98</v>
      </c>
      <c r="G16" t="s">
        <v>81</v>
      </c>
      <c r="H16" s="8">
        <v>100</v>
      </c>
      <c r="I16" s="8">
        <v>57</v>
      </c>
      <c r="J16" s="8">
        <v>1</v>
      </c>
    </row>
    <row r="17" spans="1:10">
      <c r="A17" t="s">
        <v>111</v>
      </c>
      <c r="B17" t="s">
        <v>112</v>
      </c>
      <c r="C17" t="s">
        <v>19</v>
      </c>
      <c r="D17" t="s">
        <v>20</v>
      </c>
      <c r="E17" t="s">
        <v>34</v>
      </c>
      <c r="F17" t="s">
        <v>84</v>
      </c>
      <c r="G17" t="s">
        <v>87</v>
      </c>
      <c r="H17" s="8">
        <v>49</v>
      </c>
      <c r="I17" s="8">
        <v>33</v>
      </c>
      <c r="J17" s="8">
        <v>1</v>
      </c>
    </row>
    <row r="18" spans="1:10">
      <c r="A18" t="s">
        <v>113</v>
      </c>
      <c r="B18" t="s">
        <v>114</v>
      </c>
      <c r="C18" t="s">
        <v>19</v>
      </c>
      <c r="D18" t="s">
        <v>20</v>
      </c>
      <c r="E18" t="s">
        <v>37</v>
      </c>
      <c r="F18" t="s">
        <v>16</v>
      </c>
      <c r="G18" t="s">
        <v>87</v>
      </c>
      <c r="H18" s="8">
        <v>50</v>
      </c>
      <c r="I18" s="8">
        <v>66</v>
      </c>
      <c r="J18" s="8">
        <v>0</v>
      </c>
    </row>
    <row r="19" spans="1:10">
      <c r="A19" t="s">
        <v>115</v>
      </c>
      <c r="B19" t="s">
        <v>116</v>
      </c>
      <c r="C19" t="s">
        <v>19</v>
      </c>
      <c r="D19" t="s">
        <v>20</v>
      </c>
      <c r="E19" t="s">
        <v>40</v>
      </c>
      <c r="F19" t="s">
        <v>117</v>
      </c>
      <c r="G19" t="s">
        <v>87</v>
      </c>
      <c r="H19" s="8">
        <v>47</v>
      </c>
      <c r="I19" s="8">
        <v>58</v>
      </c>
      <c r="J19" s="8">
        <v>0</v>
      </c>
    </row>
    <row r="20" spans="1:10">
      <c r="A20" t="s">
        <v>118</v>
      </c>
      <c r="B20" t="s">
        <v>119</v>
      </c>
      <c r="C20" t="s">
        <v>19</v>
      </c>
      <c r="D20" t="s">
        <v>20</v>
      </c>
      <c r="E20" t="s">
        <v>34</v>
      </c>
      <c r="F20" t="s">
        <v>117</v>
      </c>
      <c r="G20" t="s">
        <v>87</v>
      </c>
      <c r="H20" s="8">
        <v>48</v>
      </c>
      <c r="I20" s="8">
        <v>62</v>
      </c>
      <c r="J20" s="8">
        <v>0</v>
      </c>
    </row>
    <row r="21" spans="1:10">
      <c r="A21" t="s">
        <v>120</v>
      </c>
      <c r="B21" t="s">
        <v>121</v>
      </c>
      <c r="C21" t="s">
        <v>19</v>
      </c>
      <c r="D21" t="s">
        <v>20</v>
      </c>
      <c r="E21" t="s">
        <v>37</v>
      </c>
      <c r="F21" t="s">
        <v>84</v>
      </c>
      <c r="G21" t="s">
        <v>87</v>
      </c>
      <c r="H21" s="8">
        <v>48</v>
      </c>
      <c r="I21" s="8">
        <v>54</v>
      </c>
      <c r="J21" s="8">
        <v>0</v>
      </c>
    </row>
    <row r="22" spans="1:10">
      <c r="A22" t="s">
        <v>122</v>
      </c>
      <c r="B22" t="s">
        <v>123</v>
      </c>
      <c r="C22" t="s">
        <v>19</v>
      </c>
      <c r="D22" t="s">
        <v>20</v>
      </c>
      <c r="E22" t="s">
        <v>40</v>
      </c>
      <c r="F22" t="s">
        <v>84</v>
      </c>
      <c r="G22" t="s">
        <v>77</v>
      </c>
      <c r="H22" s="8">
        <v>63</v>
      </c>
      <c r="I22" s="8">
        <v>55</v>
      </c>
      <c r="J22" s="8">
        <v>1</v>
      </c>
    </row>
    <row r="23" spans="1:10">
      <c r="A23" t="s">
        <v>124</v>
      </c>
      <c r="B23" t="s">
        <v>125</v>
      </c>
      <c r="C23" t="s">
        <v>19</v>
      </c>
      <c r="D23" t="s">
        <v>20</v>
      </c>
      <c r="E23" t="s">
        <v>34</v>
      </c>
      <c r="F23" t="s">
        <v>84</v>
      </c>
      <c r="G23" t="s">
        <v>81</v>
      </c>
      <c r="H23" s="8">
        <v>87</v>
      </c>
      <c r="I23" s="8">
        <v>66</v>
      </c>
      <c r="J23" s="8">
        <v>1</v>
      </c>
    </row>
    <row r="24" spans="1:10">
      <c r="A24" t="s">
        <v>126</v>
      </c>
      <c r="B24" t="s">
        <v>127</v>
      </c>
      <c r="C24" t="s">
        <v>19</v>
      </c>
      <c r="D24" t="s">
        <v>20</v>
      </c>
      <c r="E24" t="s">
        <v>37</v>
      </c>
      <c r="F24" t="s">
        <v>7</v>
      </c>
      <c r="G24" t="s">
        <v>77</v>
      </c>
      <c r="H24" s="8">
        <v>68</v>
      </c>
      <c r="I24" s="8">
        <v>59</v>
      </c>
      <c r="J24" s="8">
        <v>0</v>
      </c>
    </row>
    <row r="25" spans="1:10">
      <c r="A25" t="s">
        <v>128</v>
      </c>
      <c r="B25" t="s">
        <v>129</v>
      </c>
      <c r="C25" t="s">
        <v>19</v>
      </c>
      <c r="D25" t="s">
        <v>20</v>
      </c>
      <c r="E25" t="s">
        <v>40</v>
      </c>
      <c r="F25" t="s">
        <v>117</v>
      </c>
      <c r="G25" t="s">
        <v>77</v>
      </c>
      <c r="H25" s="8">
        <v>74</v>
      </c>
      <c r="I25" s="8">
        <v>71</v>
      </c>
      <c r="J25" s="8">
        <v>0</v>
      </c>
    </row>
    <row r="26" spans="1:10">
      <c r="A26" t="s">
        <v>130</v>
      </c>
      <c r="B26" t="s">
        <v>131</v>
      </c>
      <c r="C26" t="s">
        <v>19</v>
      </c>
      <c r="D26" t="s">
        <v>20</v>
      </c>
      <c r="E26" t="s">
        <v>34</v>
      </c>
      <c r="F26" t="s">
        <v>16</v>
      </c>
      <c r="G26" t="s">
        <v>77</v>
      </c>
      <c r="H26" s="8">
        <v>67</v>
      </c>
      <c r="I26" s="8">
        <v>41</v>
      </c>
      <c r="J26" s="8">
        <v>1</v>
      </c>
    </row>
    <row r="27" spans="1:10">
      <c r="A27" t="s">
        <v>132</v>
      </c>
      <c r="B27" t="s">
        <v>133</v>
      </c>
      <c r="C27" t="s">
        <v>19</v>
      </c>
      <c r="D27" t="s">
        <v>20</v>
      </c>
      <c r="E27" t="s">
        <v>37</v>
      </c>
      <c r="F27" t="s">
        <v>80</v>
      </c>
      <c r="G27" t="s">
        <v>77</v>
      </c>
      <c r="H27" s="8">
        <v>70</v>
      </c>
      <c r="I27" s="8">
        <v>63</v>
      </c>
      <c r="J27" s="8">
        <v>0</v>
      </c>
    </row>
    <row r="28" spans="1:10">
      <c r="A28" t="s">
        <v>134</v>
      </c>
      <c r="B28" t="s">
        <v>135</v>
      </c>
      <c r="C28" t="s">
        <v>19</v>
      </c>
      <c r="D28" t="s">
        <v>20</v>
      </c>
      <c r="E28" t="s">
        <v>40</v>
      </c>
      <c r="F28" t="s">
        <v>16</v>
      </c>
      <c r="G28" t="s">
        <v>81</v>
      </c>
      <c r="H28" s="8">
        <v>78</v>
      </c>
      <c r="I28" s="8">
        <v>60</v>
      </c>
      <c r="J28" s="8">
        <v>1</v>
      </c>
    </row>
    <row r="29" spans="1:10">
      <c r="A29" t="s">
        <v>136</v>
      </c>
      <c r="B29" t="s">
        <v>137</v>
      </c>
      <c r="C29" t="s">
        <v>19</v>
      </c>
      <c r="D29" t="s">
        <v>20</v>
      </c>
      <c r="E29" t="s">
        <v>34</v>
      </c>
      <c r="F29" t="s">
        <v>84</v>
      </c>
      <c r="G29" t="s">
        <v>81</v>
      </c>
      <c r="H29" s="8">
        <v>97</v>
      </c>
      <c r="I29" s="8">
        <v>53</v>
      </c>
      <c r="J29" s="8">
        <v>1</v>
      </c>
    </row>
    <row r="30" spans="1:10">
      <c r="A30" t="s">
        <v>138</v>
      </c>
      <c r="B30" t="s">
        <v>139</v>
      </c>
      <c r="C30" t="s">
        <v>19</v>
      </c>
      <c r="D30" t="s">
        <v>20</v>
      </c>
      <c r="E30" t="s">
        <v>37</v>
      </c>
      <c r="F30" t="s">
        <v>98</v>
      </c>
      <c r="G30" t="s">
        <v>87</v>
      </c>
      <c r="H30" s="8">
        <v>57</v>
      </c>
      <c r="I30" s="8">
        <v>53</v>
      </c>
      <c r="J30" s="8">
        <v>0</v>
      </c>
    </row>
    <row r="31" spans="1:10">
      <c r="A31" t="s">
        <v>140</v>
      </c>
      <c r="B31" t="s">
        <v>141</v>
      </c>
      <c r="C31" t="s">
        <v>19</v>
      </c>
      <c r="D31" t="s">
        <v>20</v>
      </c>
      <c r="E31" t="s">
        <v>40</v>
      </c>
      <c r="F31" t="s">
        <v>84</v>
      </c>
      <c r="G31" t="s">
        <v>81</v>
      </c>
      <c r="H31" s="8">
        <v>94</v>
      </c>
      <c r="I31" s="8">
        <v>61</v>
      </c>
      <c r="J31" s="8">
        <v>1</v>
      </c>
    </row>
    <row r="32" spans="1:10">
      <c r="A32" t="s">
        <v>142</v>
      </c>
      <c r="B32" t="s">
        <v>143</v>
      </c>
      <c r="C32" t="s">
        <v>19</v>
      </c>
      <c r="D32" t="s">
        <v>20</v>
      </c>
      <c r="E32" t="s">
        <v>34</v>
      </c>
      <c r="F32" t="s">
        <v>117</v>
      </c>
      <c r="G32" t="s">
        <v>77</v>
      </c>
      <c r="H32" s="8">
        <v>55</v>
      </c>
      <c r="I32" s="8">
        <v>49</v>
      </c>
      <c r="J32" s="8">
        <v>1</v>
      </c>
    </row>
    <row r="33" spans="1:10">
      <c r="A33" t="s">
        <v>144</v>
      </c>
      <c r="B33" t="s">
        <v>145</v>
      </c>
      <c r="C33" t="s">
        <v>19</v>
      </c>
      <c r="D33" t="s">
        <v>20</v>
      </c>
      <c r="E33" t="s">
        <v>37</v>
      </c>
      <c r="F33" t="s">
        <v>7</v>
      </c>
      <c r="G33" t="s">
        <v>77</v>
      </c>
      <c r="H33" s="8">
        <v>78</v>
      </c>
      <c r="I33" s="8">
        <v>60</v>
      </c>
      <c r="J33" s="8">
        <v>0</v>
      </c>
    </row>
    <row r="34" spans="1:10">
      <c r="A34" t="s">
        <v>146</v>
      </c>
      <c r="B34" t="s">
        <v>147</v>
      </c>
      <c r="C34" t="s">
        <v>19</v>
      </c>
      <c r="D34" t="s">
        <v>20</v>
      </c>
      <c r="E34" t="s">
        <v>40</v>
      </c>
      <c r="F34" t="s">
        <v>84</v>
      </c>
      <c r="G34" t="s">
        <v>81</v>
      </c>
      <c r="H34" s="8">
        <v>82</v>
      </c>
      <c r="I34" s="8">
        <v>77</v>
      </c>
      <c r="J34" s="8">
        <v>1</v>
      </c>
    </row>
    <row r="35" spans="1:10">
      <c r="A35" t="s">
        <v>148</v>
      </c>
      <c r="B35" t="s">
        <v>149</v>
      </c>
      <c r="C35" t="s">
        <v>19</v>
      </c>
      <c r="D35" t="s">
        <v>20</v>
      </c>
      <c r="E35" t="s">
        <v>34</v>
      </c>
      <c r="F35" t="s">
        <v>7</v>
      </c>
      <c r="G35" t="s">
        <v>87</v>
      </c>
      <c r="H35" s="8">
        <v>58</v>
      </c>
      <c r="I35" s="8">
        <v>75</v>
      </c>
      <c r="J35" s="8">
        <v>0</v>
      </c>
    </row>
    <row r="36" spans="1:10">
      <c r="A36" t="s">
        <v>150</v>
      </c>
      <c r="B36" t="s">
        <v>151</v>
      </c>
      <c r="C36" t="s">
        <v>19</v>
      </c>
      <c r="D36" t="s">
        <v>20</v>
      </c>
      <c r="E36" t="s">
        <v>37</v>
      </c>
      <c r="F36" t="s">
        <v>7</v>
      </c>
      <c r="G36" t="s">
        <v>87</v>
      </c>
      <c r="H36" s="8">
        <v>43</v>
      </c>
      <c r="I36" s="8">
        <v>52</v>
      </c>
      <c r="J36" s="8">
        <v>0</v>
      </c>
    </row>
    <row r="37" spans="1:10">
      <c r="A37" t="s">
        <v>152</v>
      </c>
      <c r="B37" t="s">
        <v>153</v>
      </c>
      <c r="C37" t="s">
        <v>19</v>
      </c>
      <c r="D37" t="s">
        <v>20</v>
      </c>
      <c r="E37" t="s">
        <v>40</v>
      </c>
      <c r="F37" t="s">
        <v>7</v>
      </c>
      <c r="G37" t="s">
        <v>77</v>
      </c>
      <c r="H37" s="8">
        <v>66</v>
      </c>
      <c r="I37" s="8">
        <v>62</v>
      </c>
      <c r="J37" s="8">
        <v>0</v>
      </c>
    </row>
    <row r="38" spans="1:10">
      <c r="A38" t="s">
        <v>154</v>
      </c>
      <c r="B38" t="s">
        <v>155</v>
      </c>
      <c r="C38" t="s">
        <v>19</v>
      </c>
      <c r="D38" t="s">
        <v>20</v>
      </c>
      <c r="E38" t="s">
        <v>34</v>
      </c>
      <c r="F38" t="s">
        <v>84</v>
      </c>
      <c r="G38" t="s">
        <v>77</v>
      </c>
      <c r="H38" s="8">
        <v>50</v>
      </c>
      <c r="I38" s="8">
        <v>42</v>
      </c>
      <c r="J38" s="8">
        <v>0</v>
      </c>
    </row>
    <row r="39" spans="1:10">
      <c r="A39" t="s">
        <v>156</v>
      </c>
      <c r="B39" t="s">
        <v>157</v>
      </c>
      <c r="C39" t="s">
        <v>19</v>
      </c>
      <c r="D39" t="s">
        <v>20</v>
      </c>
      <c r="E39" t="s">
        <v>37</v>
      </c>
      <c r="F39" t="s">
        <v>98</v>
      </c>
      <c r="G39" t="s">
        <v>87</v>
      </c>
      <c r="H39" s="8">
        <v>33</v>
      </c>
      <c r="I39" s="8">
        <v>63</v>
      </c>
      <c r="J39" s="8">
        <v>0</v>
      </c>
    </row>
    <row r="40" spans="1:10">
      <c r="A40" t="s">
        <v>158</v>
      </c>
      <c r="B40" t="s">
        <v>159</v>
      </c>
      <c r="C40" t="s">
        <v>19</v>
      </c>
      <c r="D40" t="s">
        <v>20</v>
      </c>
      <c r="E40" t="s">
        <v>40</v>
      </c>
      <c r="F40" t="s">
        <v>117</v>
      </c>
      <c r="G40" t="s">
        <v>77</v>
      </c>
      <c r="H40" s="8">
        <v>76</v>
      </c>
      <c r="I40" s="8">
        <v>69</v>
      </c>
      <c r="J40" s="8">
        <v>1</v>
      </c>
    </row>
    <row r="41" spans="1:10">
      <c r="A41" t="s">
        <v>160</v>
      </c>
      <c r="B41" t="s">
        <v>161</v>
      </c>
      <c r="C41" t="s">
        <v>19</v>
      </c>
      <c r="D41" t="s">
        <v>20</v>
      </c>
      <c r="E41" t="s">
        <v>34</v>
      </c>
      <c r="F41" t="s">
        <v>7</v>
      </c>
      <c r="G41" t="s">
        <v>87</v>
      </c>
      <c r="H41" s="8">
        <v>36</v>
      </c>
      <c r="I41" s="8">
        <v>74</v>
      </c>
      <c r="J41" s="8">
        <v>0</v>
      </c>
    </row>
    <row r="42" spans="1:10">
      <c r="A42" t="s">
        <v>162</v>
      </c>
      <c r="B42" t="s">
        <v>163</v>
      </c>
      <c r="C42" t="s">
        <v>19</v>
      </c>
      <c r="D42" t="s">
        <v>20</v>
      </c>
      <c r="E42" t="s">
        <v>37</v>
      </c>
      <c r="F42" t="s">
        <v>84</v>
      </c>
      <c r="G42" t="s">
        <v>77</v>
      </c>
      <c r="H42" s="8">
        <v>59</v>
      </c>
      <c r="I42" s="8">
        <v>49</v>
      </c>
      <c r="J42" s="8">
        <v>0</v>
      </c>
    </row>
    <row r="43" spans="1:10">
      <c r="A43" t="s">
        <v>164</v>
      </c>
      <c r="B43" t="s">
        <v>165</v>
      </c>
      <c r="C43" t="s">
        <v>19</v>
      </c>
      <c r="D43" t="s">
        <v>20</v>
      </c>
      <c r="E43" t="s">
        <v>40</v>
      </c>
      <c r="F43" t="s">
        <v>7</v>
      </c>
      <c r="G43" t="s">
        <v>81</v>
      </c>
      <c r="H43" s="8">
        <v>93</v>
      </c>
      <c r="I43" s="8">
        <v>63</v>
      </c>
      <c r="J43" s="8">
        <v>1</v>
      </c>
    </row>
    <row r="44" spans="1:10">
      <c r="A44" t="s">
        <v>166</v>
      </c>
      <c r="B44" t="s">
        <v>167</v>
      </c>
      <c r="C44" t="s">
        <v>21</v>
      </c>
      <c r="D44" t="s">
        <v>22</v>
      </c>
      <c r="E44" t="s">
        <v>43</v>
      </c>
      <c r="F44" t="s">
        <v>16</v>
      </c>
      <c r="G44" t="s">
        <v>77</v>
      </c>
      <c r="H44" s="8">
        <v>65</v>
      </c>
      <c r="I44" s="8">
        <v>55</v>
      </c>
      <c r="J44" s="8">
        <v>1</v>
      </c>
    </row>
    <row r="45" spans="1:10">
      <c r="A45" t="s">
        <v>168</v>
      </c>
      <c r="B45" t="s">
        <v>169</v>
      </c>
      <c r="C45" t="s">
        <v>21</v>
      </c>
      <c r="D45" t="s">
        <v>22</v>
      </c>
      <c r="E45" t="s">
        <v>46</v>
      </c>
      <c r="F45" t="s">
        <v>84</v>
      </c>
      <c r="G45" t="s">
        <v>87</v>
      </c>
      <c r="H45" s="8">
        <v>32</v>
      </c>
      <c r="I45" s="8">
        <v>40</v>
      </c>
      <c r="J45" s="8">
        <v>0</v>
      </c>
    </row>
    <row r="46" spans="1:10">
      <c r="A46" t="s">
        <v>170</v>
      </c>
      <c r="B46" t="s">
        <v>171</v>
      </c>
      <c r="C46" t="s">
        <v>21</v>
      </c>
      <c r="D46" t="s">
        <v>22</v>
      </c>
      <c r="E46" t="s">
        <v>49</v>
      </c>
      <c r="F46" t="s">
        <v>80</v>
      </c>
      <c r="G46" t="s">
        <v>77</v>
      </c>
      <c r="H46" s="8">
        <v>79</v>
      </c>
      <c r="I46" s="8">
        <v>78</v>
      </c>
      <c r="J46" s="8">
        <v>1</v>
      </c>
    </row>
    <row r="47" spans="1:10">
      <c r="A47" t="s">
        <v>172</v>
      </c>
      <c r="B47" t="s">
        <v>173</v>
      </c>
      <c r="C47" t="s">
        <v>21</v>
      </c>
      <c r="D47" t="s">
        <v>22</v>
      </c>
      <c r="E47" t="s">
        <v>43</v>
      </c>
      <c r="F47" t="s">
        <v>117</v>
      </c>
      <c r="G47" t="s">
        <v>81</v>
      </c>
      <c r="H47" s="8">
        <v>78</v>
      </c>
      <c r="I47" s="8">
        <v>67</v>
      </c>
      <c r="J47" s="8">
        <v>1</v>
      </c>
    </row>
    <row r="48" spans="1:10">
      <c r="A48" t="s">
        <v>174</v>
      </c>
      <c r="B48" t="s">
        <v>175</v>
      </c>
      <c r="C48" t="s">
        <v>21</v>
      </c>
      <c r="D48" t="s">
        <v>22</v>
      </c>
      <c r="E48" t="s">
        <v>46</v>
      </c>
      <c r="F48" t="s">
        <v>117</v>
      </c>
      <c r="G48" t="s">
        <v>87</v>
      </c>
      <c r="H48" s="8">
        <v>20</v>
      </c>
      <c r="I48" s="8">
        <v>62</v>
      </c>
      <c r="J48" s="8">
        <v>1</v>
      </c>
    </row>
    <row r="49" spans="1:10">
      <c r="A49" t="s">
        <v>176</v>
      </c>
      <c r="B49" t="s">
        <v>177</v>
      </c>
      <c r="C49" t="s">
        <v>21</v>
      </c>
      <c r="D49" t="s">
        <v>22</v>
      </c>
      <c r="E49" t="s">
        <v>49</v>
      </c>
      <c r="F49" t="s">
        <v>80</v>
      </c>
      <c r="G49" t="s">
        <v>87</v>
      </c>
      <c r="H49" s="8">
        <v>34</v>
      </c>
      <c r="I49" s="8">
        <v>55</v>
      </c>
      <c r="J49" s="8">
        <v>0</v>
      </c>
    </row>
    <row r="50" spans="1:10">
      <c r="A50" t="s">
        <v>178</v>
      </c>
      <c r="B50" t="s">
        <v>179</v>
      </c>
      <c r="C50" t="s">
        <v>21</v>
      </c>
      <c r="D50" t="s">
        <v>22</v>
      </c>
      <c r="E50" t="s">
        <v>43</v>
      </c>
      <c r="F50" t="s">
        <v>98</v>
      </c>
      <c r="G50" t="s">
        <v>81</v>
      </c>
      <c r="H50" s="8">
        <v>91</v>
      </c>
      <c r="I50" s="8">
        <v>72</v>
      </c>
      <c r="J50" s="8">
        <v>1</v>
      </c>
    </row>
    <row r="51" spans="1:10">
      <c r="A51" t="s">
        <v>180</v>
      </c>
      <c r="B51" t="s">
        <v>181</v>
      </c>
      <c r="C51" t="s">
        <v>21</v>
      </c>
      <c r="D51" t="s">
        <v>22</v>
      </c>
      <c r="E51" t="s">
        <v>46</v>
      </c>
      <c r="F51" t="s">
        <v>16</v>
      </c>
      <c r="G51" t="s">
        <v>87</v>
      </c>
      <c r="H51" s="8">
        <v>31</v>
      </c>
      <c r="I51" s="8">
        <v>22</v>
      </c>
      <c r="J51" s="8">
        <v>1</v>
      </c>
    </row>
    <row r="52" spans="1:10">
      <c r="A52" t="s">
        <v>182</v>
      </c>
      <c r="B52" t="s">
        <v>183</v>
      </c>
      <c r="C52" t="s">
        <v>21</v>
      </c>
      <c r="D52" t="s">
        <v>22</v>
      </c>
      <c r="E52" t="s">
        <v>49</v>
      </c>
      <c r="F52" t="s">
        <v>117</v>
      </c>
      <c r="G52" t="s">
        <v>77</v>
      </c>
      <c r="H52" s="8">
        <v>65</v>
      </c>
      <c r="I52" s="8">
        <v>73</v>
      </c>
      <c r="J52" s="8">
        <v>1</v>
      </c>
    </row>
    <row r="53" spans="1:10">
      <c r="A53" t="s">
        <v>184</v>
      </c>
      <c r="B53" t="s">
        <v>185</v>
      </c>
      <c r="C53" t="s">
        <v>21</v>
      </c>
      <c r="D53" t="s">
        <v>22</v>
      </c>
      <c r="E53" t="s">
        <v>43</v>
      </c>
      <c r="F53" t="s">
        <v>84</v>
      </c>
      <c r="G53" t="s">
        <v>77</v>
      </c>
      <c r="H53" s="8">
        <v>67</v>
      </c>
      <c r="I53" s="8">
        <v>69</v>
      </c>
      <c r="J53" s="8">
        <v>0</v>
      </c>
    </row>
    <row r="54" spans="1:10">
      <c r="A54" t="s">
        <v>186</v>
      </c>
      <c r="B54" t="s">
        <v>187</v>
      </c>
      <c r="C54" t="s">
        <v>21</v>
      </c>
      <c r="D54" t="s">
        <v>22</v>
      </c>
      <c r="E54" t="s">
        <v>46</v>
      </c>
      <c r="F54" t="s">
        <v>117</v>
      </c>
      <c r="G54" t="s">
        <v>77</v>
      </c>
      <c r="H54" s="8">
        <v>64</v>
      </c>
      <c r="I54" s="8">
        <v>75</v>
      </c>
      <c r="J54" s="8">
        <v>1</v>
      </c>
    </row>
    <row r="55" spans="1:10">
      <c r="A55" t="s">
        <v>188</v>
      </c>
      <c r="B55" t="s">
        <v>189</v>
      </c>
      <c r="C55" t="s">
        <v>21</v>
      </c>
      <c r="D55" t="s">
        <v>22</v>
      </c>
      <c r="E55" t="s">
        <v>49</v>
      </c>
      <c r="F55" t="s">
        <v>16</v>
      </c>
      <c r="G55" t="s">
        <v>77</v>
      </c>
      <c r="H55" s="8">
        <v>68</v>
      </c>
      <c r="I55" s="8">
        <v>64</v>
      </c>
      <c r="J55" s="8">
        <v>1</v>
      </c>
    </row>
    <row r="56" spans="1:10">
      <c r="A56" t="s">
        <v>190</v>
      </c>
      <c r="B56" t="s">
        <v>191</v>
      </c>
      <c r="C56" t="s">
        <v>21</v>
      </c>
      <c r="D56" t="s">
        <v>22</v>
      </c>
      <c r="E56" t="s">
        <v>43</v>
      </c>
      <c r="F56" t="s">
        <v>117</v>
      </c>
      <c r="G56" t="s">
        <v>77</v>
      </c>
      <c r="H56" s="8">
        <v>69</v>
      </c>
      <c r="I56" s="8">
        <v>47</v>
      </c>
      <c r="J56" s="8">
        <v>1</v>
      </c>
    </row>
    <row r="57" spans="1:10">
      <c r="A57" t="s">
        <v>192</v>
      </c>
      <c r="B57" t="s">
        <v>193</v>
      </c>
      <c r="C57" t="s">
        <v>21</v>
      </c>
      <c r="D57" t="s">
        <v>22</v>
      </c>
      <c r="E57" t="s">
        <v>46</v>
      </c>
      <c r="F57" t="s">
        <v>117</v>
      </c>
      <c r="G57" t="s">
        <v>87</v>
      </c>
      <c r="H57" s="8">
        <v>57</v>
      </c>
      <c r="I57" s="8">
        <v>23</v>
      </c>
      <c r="J57" s="8">
        <v>0</v>
      </c>
    </row>
    <row r="58" spans="1:10">
      <c r="A58" t="s">
        <v>194</v>
      </c>
      <c r="B58" t="s">
        <v>195</v>
      </c>
      <c r="C58" t="s">
        <v>21</v>
      </c>
      <c r="D58" t="s">
        <v>22</v>
      </c>
      <c r="E58" t="s">
        <v>49</v>
      </c>
      <c r="F58" t="s">
        <v>16</v>
      </c>
      <c r="G58" t="s">
        <v>77</v>
      </c>
      <c r="H58" s="8">
        <v>60</v>
      </c>
      <c r="I58" s="8">
        <v>84</v>
      </c>
      <c r="J58" s="8">
        <v>1</v>
      </c>
    </row>
    <row r="59" spans="1:10">
      <c r="A59" t="s">
        <v>196</v>
      </c>
      <c r="B59" t="s">
        <v>197</v>
      </c>
      <c r="C59" t="s">
        <v>21</v>
      </c>
      <c r="D59" t="s">
        <v>22</v>
      </c>
      <c r="E59" t="s">
        <v>43</v>
      </c>
      <c r="F59" t="s">
        <v>117</v>
      </c>
      <c r="G59" t="s">
        <v>77</v>
      </c>
      <c r="H59" s="8">
        <v>56</v>
      </c>
      <c r="I59" s="8">
        <v>68</v>
      </c>
      <c r="J59" s="8">
        <v>1</v>
      </c>
    </row>
    <row r="60" spans="1:10">
      <c r="A60" t="s">
        <v>198</v>
      </c>
      <c r="B60" t="s">
        <v>199</v>
      </c>
      <c r="C60" t="s">
        <v>21</v>
      </c>
      <c r="D60" t="s">
        <v>22</v>
      </c>
      <c r="E60" t="s">
        <v>46</v>
      </c>
      <c r="F60" t="s">
        <v>117</v>
      </c>
      <c r="G60" t="s">
        <v>81</v>
      </c>
      <c r="H60" s="8">
        <v>99</v>
      </c>
      <c r="I60" s="8">
        <v>46</v>
      </c>
      <c r="J60" s="8">
        <v>1</v>
      </c>
    </row>
    <row r="61" spans="1:10">
      <c r="A61" t="s">
        <v>200</v>
      </c>
      <c r="B61" t="s">
        <v>201</v>
      </c>
      <c r="C61" t="s">
        <v>21</v>
      </c>
      <c r="D61" t="s">
        <v>22</v>
      </c>
      <c r="E61" t="s">
        <v>49</v>
      </c>
      <c r="F61" t="s">
        <v>84</v>
      </c>
      <c r="G61" t="s">
        <v>77</v>
      </c>
      <c r="H61" s="8">
        <v>51</v>
      </c>
      <c r="I61" s="8">
        <v>79</v>
      </c>
      <c r="J61" s="8">
        <v>0</v>
      </c>
    </row>
    <row r="62" spans="1:10">
      <c r="A62" t="s">
        <v>202</v>
      </c>
      <c r="B62" t="s">
        <v>203</v>
      </c>
      <c r="C62" t="s">
        <v>21</v>
      </c>
      <c r="D62" t="s">
        <v>22</v>
      </c>
      <c r="E62" t="s">
        <v>43</v>
      </c>
      <c r="F62" t="s">
        <v>117</v>
      </c>
      <c r="G62" t="s">
        <v>87</v>
      </c>
      <c r="H62" s="8">
        <v>36</v>
      </c>
      <c r="I62" s="8">
        <v>35</v>
      </c>
      <c r="J62" s="8">
        <v>0</v>
      </c>
    </row>
    <row r="63" spans="1:10">
      <c r="A63" t="s">
        <v>204</v>
      </c>
      <c r="B63" t="s">
        <v>205</v>
      </c>
      <c r="C63" t="s">
        <v>21</v>
      </c>
      <c r="D63" t="s">
        <v>22</v>
      </c>
      <c r="E63" t="s">
        <v>46</v>
      </c>
      <c r="F63" t="s">
        <v>7</v>
      </c>
      <c r="G63" t="s">
        <v>87</v>
      </c>
      <c r="H63" s="8">
        <v>45</v>
      </c>
      <c r="I63" s="8">
        <v>34</v>
      </c>
      <c r="J63" s="8">
        <v>0</v>
      </c>
    </row>
    <row r="64" spans="1:10">
      <c r="A64" t="s">
        <v>206</v>
      </c>
      <c r="B64" t="s">
        <v>207</v>
      </c>
      <c r="C64" t="s">
        <v>21</v>
      </c>
      <c r="D64" t="s">
        <v>22</v>
      </c>
      <c r="E64" t="s">
        <v>49</v>
      </c>
      <c r="F64" t="s">
        <v>16</v>
      </c>
      <c r="G64" t="s">
        <v>87</v>
      </c>
      <c r="H64" s="8">
        <v>50</v>
      </c>
      <c r="I64" s="8">
        <v>45</v>
      </c>
      <c r="J64" s="8">
        <v>0</v>
      </c>
    </row>
    <row r="65" spans="1:10">
      <c r="A65" t="s">
        <v>208</v>
      </c>
      <c r="B65" t="s">
        <v>209</v>
      </c>
      <c r="C65" t="s">
        <v>21</v>
      </c>
      <c r="D65" t="s">
        <v>22</v>
      </c>
      <c r="E65" t="s">
        <v>43</v>
      </c>
      <c r="F65" t="s">
        <v>98</v>
      </c>
      <c r="G65" t="s">
        <v>81</v>
      </c>
      <c r="H65" s="8">
        <v>81</v>
      </c>
      <c r="I65" s="8">
        <v>74</v>
      </c>
      <c r="J65" s="8">
        <v>1</v>
      </c>
    </row>
    <row r="66" spans="1:10">
      <c r="A66" t="s">
        <v>210</v>
      </c>
      <c r="B66" t="s">
        <v>211</v>
      </c>
      <c r="C66" t="s">
        <v>21</v>
      </c>
      <c r="D66" t="s">
        <v>22</v>
      </c>
      <c r="E66" t="s">
        <v>46</v>
      </c>
      <c r="F66" t="s">
        <v>84</v>
      </c>
      <c r="G66" t="s">
        <v>77</v>
      </c>
      <c r="H66" s="8">
        <v>52</v>
      </c>
      <c r="I66" s="8">
        <v>67</v>
      </c>
      <c r="J66" s="8">
        <v>1</v>
      </c>
    </row>
    <row r="67" spans="1:10">
      <c r="A67" t="s">
        <v>212</v>
      </c>
      <c r="B67" t="s">
        <v>213</v>
      </c>
      <c r="C67" t="s">
        <v>21</v>
      </c>
      <c r="D67" t="s">
        <v>22</v>
      </c>
      <c r="E67" t="s">
        <v>49</v>
      </c>
      <c r="F67" t="s">
        <v>16</v>
      </c>
      <c r="G67" t="s">
        <v>77</v>
      </c>
      <c r="H67" s="8">
        <v>79</v>
      </c>
      <c r="I67" s="8">
        <v>43</v>
      </c>
      <c r="J67" s="8">
        <v>1</v>
      </c>
    </row>
    <row r="68" spans="1:10">
      <c r="A68" t="s">
        <v>214</v>
      </c>
      <c r="B68" t="s">
        <v>215</v>
      </c>
      <c r="C68" t="s">
        <v>21</v>
      </c>
      <c r="D68" t="s">
        <v>22</v>
      </c>
      <c r="E68" t="s">
        <v>43</v>
      </c>
      <c r="F68" t="s">
        <v>84</v>
      </c>
      <c r="G68" t="s">
        <v>81</v>
      </c>
      <c r="H68" s="8">
        <v>97</v>
      </c>
      <c r="I68" s="8">
        <v>76</v>
      </c>
      <c r="J68" s="8">
        <v>1</v>
      </c>
    </row>
    <row r="69" spans="1:10">
      <c r="A69" t="s">
        <v>216</v>
      </c>
      <c r="B69" t="s">
        <v>217</v>
      </c>
      <c r="C69" t="s">
        <v>21</v>
      </c>
      <c r="D69" t="s">
        <v>22</v>
      </c>
      <c r="E69" t="s">
        <v>46</v>
      </c>
      <c r="F69" t="s">
        <v>16</v>
      </c>
      <c r="G69" t="s">
        <v>77</v>
      </c>
      <c r="H69" s="8">
        <v>79</v>
      </c>
      <c r="I69" s="8">
        <v>55</v>
      </c>
      <c r="J69" s="8">
        <v>1</v>
      </c>
    </row>
    <row r="70" spans="1:10">
      <c r="A70" t="s">
        <v>218</v>
      </c>
      <c r="B70" t="s">
        <v>219</v>
      </c>
      <c r="C70" t="s">
        <v>21</v>
      </c>
      <c r="D70" t="s">
        <v>22</v>
      </c>
      <c r="E70" t="s">
        <v>49</v>
      </c>
      <c r="F70" t="s">
        <v>16</v>
      </c>
      <c r="G70" t="s">
        <v>81</v>
      </c>
      <c r="H70" s="8">
        <v>91</v>
      </c>
      <c r="I70" s="8">
        <v>86</v>
      </c>
      <c r="J70" s="8">
        <v>1</v>
      </c>
    </row>
    <row r="71" spans="1:10">
      <c r="A71" t="s">
        <v>220</v>
      </c>
      <c r="B71" t="s">
        <v>221</v>
      </c>
      <c r="C71" t="s">
        <v>21</v>
      </c>
      <c r="D71" t="s">
        <v>22</v>
      </c>
      <c r="E71" t="s">
        <v>43</v>
      </c>
      <c r="F71" t="s">
        <v>98</v>
      </c>
      <c r="G71" t="s">
        <v>81</v>
      </c>
      <c r="H71" s="8">
        <v>93</v>
      </c>
      <c r="I71" s="8">
        <v>58</v>
      </c>
      <c r="J71" s="8">
        <v>1</v>
      </c>
    </row>
    <row r="72" spans="1:10">
      <c r="A72" t="s">
        <v>222</v>
      </c>
      <c r="B72" t="s">
        <v>223</v>
      </c>
      <c r="C72" t="s">
        <v>21</v>
      </c>
      <c r="D72" t="s">
        <v>22</v>
      </c>
      <c r="E72" t="s">
        <v>46</v>
      </c>
      <c r="F72" t="s">
        <v>7</v>
      </c>
      <c r="G72" t="s">
        <v>87</v>
      </c>
      <c r="H72" s="8">
        <v>52</v>
      </c>
      <c r="I72" s="8">
        <v>58</v>
      </c>
      <c r="J72" s="8">
        <v>0</v>
      </c>
    </row>
    <row r="73" spans="1:10">
      <c r="A73" t="s">
        <v>224</v>
      </c>
      <c r="B73" t="s">
        <v>225</v>
      </c>
      <c r="C73" t="s">
        <v>21</v>
      </c>
      <c r="D73" t="s">
        <v>22</v>
      </c>
      <c r="E73" t="s">
        <v>49</v>
      </c>
      <c r="F73" t="s">
        <v>117</v>
      </c>
      <c r="G73" t="s">
        <v>87</v>
      </c>
      <c r="H73" s="8">
        <v>56</v>
      </c>
      <c r="I73" s="8">
        <v>32</v>
      </c>
      <c r="J73" s="8">
        <v>0</v>
      </c>
    </row>
    <row r="74" spans="1:10">
      <c r="A74" t="s">
        <v>226</v>
      </c>
      <c r="B74" t="s">
        <v>227</v>
      </c>
      <c r="C74" t="s">
        <v>21</v>
      </c>
      <c r="D74" t="s">
        <v>22</v>
      </c>
      <c r="E74" t="s">
        <v>43</v>
      </c>
      <c r="F74" t="s">
        <v>7</v>
      </c>
      <c r="G74" t="s">
        <v>77</v>
      </c>
      <c r="H74" s="8">
        <v>67</v>
      </c>
      <c r="I74" s="8">
        <v>75</v>
      </c>
      <c r="J74" s="8">
        <v>1</v>
      </c>
    </row>
    <row r="75" spans="1:10">
      <c r="A75" t="s">
        <v>228</v>
      </c>
      <c r="B75" t="s">
        <v>229</v>
      </c>
      <c r="C75" t="s">
        <v>21</v>
      </c>
      <c r="D75" t="s">
        <v>22</v>
      </c>
      <c r="E75" t="s">
        <v>46</v>
      </c>
      <c r="F75" t="s">
        <v>98</v>
      </c>
      <c r="G75" t="s">
        <v>87</v>
      </c>
      <c r="H75" s="8">
        <v>53</v>
      </c>
      <c r="I75" s="8">
        <v>27</v>
      </c>
      <c r="J75" s="8">
        <v>0</v>
      </c>
    </row>
    <row r="76" spans="1:10">
      <c r="A76" t="s">
        <v>230</v>
      </c>
      <c r="B76" t="s">
        <v>231</v>
      </c>
      <c r="C76" t="s">
        <v>21</v>
      </c>
      <c r="D76" t="s">
        <v>22</v>
      </c>
      <c r="E76" t="s">
        <v>49</v>
      </c>
      <c r="F76" t="s">
        <v>84</v>
      </c>
      <c r="G76" t="s">
        <v>77</v>
      </c>
      <c r="H76" s="8">
        <v>70</v>
      </c>
      <c r="I76" s="8">
        <v>70</v>
      </c>
      <c r="J76" s="8">
        <v>1</v>
      </c>
    </row>
    <row r="77" spans="1:10">
      <c r="A77" t="s">
        <v>232</v>
      </c>
      <c r="B77" t="s">
        <v>233</v>
      </c>
      <c r="C77" t="s">
        <v>21</v>
      </c>
      <c r="D77" t="s">
        <v>22</v>
      </c>
      <c r="E77" t="s">
        <v>43</v>
      </c>
      <c r="F77" t="s">
        <v>98</v>
      </c>
      <c r="G77" t="s">
        <v>77</v>
      </c>
      <c r="H77" s="8">
        <v>71</v>
      </c>
      <c r="I77" s="8">
        <v>56</v>
      </c>
      <c r="J77" s="8">
        <v>1</v>
      </c>
    </row>
    <row r="78" spans="1:10">
      <c r="A78" t="s">
        <v>234</v>
      </c>
      <c r="B78" t="s">
        <v>235</v>
      </c>
      <c r="C78" t="s">
        <v>21</v>
      </c>
      <c r="D78" t="s">
        <v>22</v>
      </c>
      <c r="E78" t="s">
        <v>46</v>
      </c>
      <c r="F78" t="s">
        <v>7</v>
      </c>
      <c r="G78" t="s">
        <v>77</v>
      </c>
      <c r="H78" s="8">
        <v>77</v>
      </c>
      <c r="I78" s="8">
        <v>37</v>
      </c>
      <c r="J78" s="8">
        <v>1</v>
      </c>
    </row>
    <row r="79" spans="1:10">
      <c r="A79" t="s">
        <v>236</v>
      </c>
      <c r="B79" t="s">
        <v>237</v>
      </c>
      <c r="C79" t="s">
        <v>21</v>
      </c>
      <c r="D79" t="s">
        <v>22</v>
      </c>
      <c r="E79" t="s">
        <v>49</v>
      </c>
      <c r="F79" t="s">
        <v>117</v>
      </c>
      <c r="G79" t="s">
        <v>81</v>
      </c>
      <c r="H79" s="8">
        <v>93</v>
      </c>
      <c r="I79" s="8">
        <v>59</v>
      </c>
      <c r="J79" s="8">
        <v>1</v>
      </c>
    </row>
    <row r="80" spans="1:10">
      <c r="A80" t="s">
        <v>238</v>
      </c>
      <c r="B80" t="s">
        <v>239</v>
      </c>
      <c r="C80" t="s">
        <v>23</v>
      </c>
      <c r="D80" t="s">
        <v>24</v>
      </c>
      <c r="E80" t="s">
        <v>52</v>
      </c>
      <c r="F80" t="s">
        <v>80</v>
      </c>
      <c r="G80" t="s">
        <v>77</v>
      </c>
      <c r="H80" s="8">
        <v>54</v>
      </c>
      <c r="I80" s="8">
        <v>43</v>
      </c>
      <c r="J80" s="8">
        <v>1</v>
      </c>
    </row>
    <row r="81" spans="1:10">
      <c r="A81" t="s">
        <v>240</v>
      </c>
      <c r="B81" t="s">
        <v>241</v>
      </c>
      <c r="C81" t="s">
        <v>23</v>
      </c>
      <c r="D81" t="s">
        <v>24</v>
      </c>
      <c r="E81" t="s">
        <v>55</v>
      </c>
      <c r="F81" t="s">
        <v>16</v>
      </c>
      <c r="G81" t="s">
        <v>77</v>
      </c>
      <c r="H81" s="8">
        <v>66</v>
      </c>
      <c r="I81" s="8">
        <v>50</v>
      </c>
      <c r="J81" s="8">
        <v>1</v>
      </c>
    </row>
    <row r="82" spans="1:10">
      <c r="A82" t="s">
        <v>242</v>
      </c>
      <c r="B82" t="s">
        <v>243</v>
      </c>
      <c r="C82" t="s">
        <v>23</v>
      </c>
      <c r="D82" t="s">
        <v>24</v>
      </c>
      <c r="E82" t="s">
        <v>58</v>
      </c>
      <c r="F82" t="s">
        <v>84</v>
      </c>
      <c r="G82" t="s">
        <v>77</v>
      </c>
      <c r="H82" s="8">
        <v>68</v>
      </c>
      <c r="I82" s="8">
        <v>60</v>
      </c>
      <c r="J82" s="8">
        <v>1</v>
      </c>
    </row>
    <row r="83" spans="1:10">
      <c r="A83" t="s">
        <v>244</v>
      </c>
      <c r="B83" t="s">
        <v>245</v>
      </c>
      <c r="C83" t="s">
        <v>23</v>
      </c>
      <c r="D83" t="s">
        <v>24</v>
      </c>
      <c r="E83" t="s">
        <v>52</v>
      </c>
      <c r="F83" t="s">
        <v>84</v>
      </c>
      <c r="G83" t="s">
        <v>77</v>
      </c>
      <c r="H83" s="8">
        <v>62</v>
      </c>
      <c r="I83" s="8">
        <v>79</v>
      </c>
      <c r="J83" s="8">
        <v>1</v>
      </c>
    </row>
    <row r="84" spans="1:10">
      <c r="A84" t="s">
        <v>246</v>
      </c>
      <c r="B84" t="s">
        <v>247</v>
      </c>
      <c r="C84" t="s">
        <v>23</v>
      </c>
      <c r="D84" t="s">
        <v>24</v>
      </c>
      <c r="E84" t="s">
        <v>55</v>
      </c>
      <c r="F84" t="s">
        <v>16</v>
      </c>
      <c r="G84" t="s">
        <v>87</v>
      </c>
      <c r="H84" s="8">
        <v>35</v>
      </c>
      <c r="I84" s="8">
        <v>34</v>
      </c>
      <c r="J84" s="8">
        <v>0</v>
      </c>
    </row>
    <row r="85" spans="1:10">
      <c r="A85" t="s">
        <v>248</v>
      </c>
      <c r="B85" t="s">
        <v>249</v>
      </c>
      <c r="C85" t="s">
        <v>23</v>
      </c>
      <c r="D85" t="s">
        <v>24</v>
      </c>
      <c r="E85" t="s">
        <v>58</v>
      </c>
      <c r="F85" t="s">
        <v>98</v>
      </c>
      <c r="G85" t="s">
        <v>81</v>
      </c>
      <c r="H85" s="8">
        <v>91</v>
      </c>
      <c r="I85" s="8">
        <v>86</v>
      </c>
      <c r="J85" s="8">
        <v>1</v>
      </c>
    </row>
    <row r="86" spans="1:10">
      <c r="A86" t="s">
        <v>250</v>
      </c>
      <c r="B86" t="s">
        <v>251</v>
      </c>
      <c r="C86" t="s">
        <v>23</v>
      </c>
      <c r="D86" t="s">
        <v>24</v>
      </c>
      <c r="E86" t="s">
        <v>52</v>
      </c>
      <c r="F86" t="s">
        <v>98</v>
      </c>
      <c r="G86" t="s">
        <v>87</v>
      </c>
      <c r="H86" s="8">
        <v>22</v>
      </c>
      <c r="I86" s="8">
        <v>43</v>
      </c>
      <c r="J86" s="8">
        <v>0</v>
      </c>
    </row>
    <row r="87" spans="1:10">
      <c r="A87" t="s">
        <v>252</v>
      </c>
      <c r="B87" t="s">
        <v>253</v>
      </c>
      <c r="C87" t="s">
        <v>23</v>
      </c>
      <c r="D87" t="s">
        <v>24</v>
      </c>
      <c r="E87" t="s">
        <v>55</v>
      </c>
      <c r="F87" t="s">
        <v>7</v>
      </c>
      <c r="G87" t="s">
        <v>77</v>
      </c>
      <c r="H87" s="8">
        <v>63</v>
      </c>
      <c r="I87" s="8">
        <v>37</v>
      </c>
      <c r="J87" s="8">
        <v>1</v>
      </c>
    </row>
    <row r="88" spans="1:10">
      <c r="A88" t="s">
        <v>254</v>
      </c>
      <c r="B88" t="s">
        <v>255</v>
      </c>
      <c r="C88" t="s">
        <v>23</v>
      </c>
      <c r="D88" t="s">
        <v>24</v>
      </c>
      <c r="E88" t="s">
        <v>58</v>
      </c>
      <c r="F88" t="s">
        <v>7</v>
      </c>
      <c r="G88" t="s">
        <v>77</v>
      </c>
      <c r="H88" s="8">
        <v>72</v>
      </c>
      <c r="I88" s="8">
        <v>65</v>
      </c>
      <c r="J88" s="8">
        <v>0</v>
      </c>
    </row>
    <row r="89" spans="1:10">
      <c r="A89" t="s">
        <v>256</v>
      </c>
      <c r="B89" t="s">
        <v>257</v>
      </c>
      <c r="C89" t="s">
        <v>23</v>
      </c>
      <c r="D89" t="s">
        <v>24</v>
      </c>
      <c r="E89" t="s">
        <v>52</v>
      </c>
      <c r="F89" t="s">
        <v>7</v>
      </c>
      <c r="G89" t="s">
        <v>77</v>
      </c>
      <c r="H89" s="8">
        <v>73</v>
      </c>
      <c r="I89" s="8">
        <v>49</v>
      </c>
      <c r="J89" s="8">
        <v>0</v>
      </c>
    </row>
    <row r="90" spans="1:10">
      <c r="A90" t="s">
        <v>258</v>
      </c>
      <c r="B90" t="s">
        <v>259</v>
      </c>
      <c r="C90" t="s">
        <v>23</v>
      </c>
      <c r="D90" t="s">
        <v>24</v>
      </c>
      <c r="E90" t="s">
        <v>55</v>
      </c>
      <c r="F90" t="s">
        <v>84</v>
      </c>
      <c r="G90" t="s">
        <v>87</v>
      </c>
      <c r="H90" s="8">
        <v>56</v>
      </c>
      <c r="I90" s="8">
        <v>40</v>
      </c>
      <c r="J90" s="8">
        <v>0</v>
      </c>
    </row>
    <row r="91" spans="1:10">
      <c r="A91" t="s">
        <v>260</v>
      </c>
      <c r="B91" t="s">
        <v>261</v>
      </c>
      <c r="C91" t="s">
        <v>23</v>
      </c>
      <c r="D91" t="s">
        <v>24</v>
      </c>
      <c r="E91" t="s">
        <v>58</v>
      </c>
      <c r="F91" t="s">
        <v>117</v>
      </c>
      <c r="G91" t="s">
        <v>77</v>
      </c>
      <c r="H91" s="8">
        <v>56</v>
      </c>
      <c r="I91" s="8">
        <v>56</v>
      </c>
      <c r="J91" s="8">
        <v>1</v>
      </c>
    </row>
    <row r="92" spans="1:10">
      <c r="A92" t="s">
        <v>262</v>
      </c>
      <c r="B92" t="s">
        <v>263</v>
      </c>
      <c r="C92" t="s">
        <v>23</v>
      </c>
      <c r="D92" t="s">
        <v>24</v>
      </c>
      <c r="E92" t="s">
        <v>52</v>
      </c>
      <c r="F92" t="s">
        <v>117</v>
      </c>
      <c r="G92" t="s">
        <v>87</v>
      </c>
      <c r="H92" s="8">
        <v>43</v>
      </c>
      <c r="I92" s="8">
        <v>59</v>
      </c>
      <c r="J92" s="8">
        <v>0</v>
      </c>
    </row>
    <row r="93" spans="1:10">
      <c r="A93" t="s">
        <v>264</v>
      </c>
      <c r="B93" t="s">
        <v>265</v>
      </c>
      <c r="C93" t="s">
        <v>23</v>
      </c>
      <c r="D93" t="s">
        <v>24</v>
      </c>
      <c r="E93" t="s">
        <v>55</v>
      </c>
      <c r="F93" t="s">
        <v>16</v>
      </c>
      <c r="G93" t="s">
        <v>81</v>
      </c>
      <c r="H93" s="8">
        <v>89</v>
      </c>
      <c r="I93" s="8">
        <v>88</v>
      </c>
      <c r="J93" s="8">
        <v>1</v>
      </c>
    </row>
    <row r="94" spans="1:10">
      <c r="A94" t="s">
        <v>266</v>
      </c>
      <c r="B94" t="s">
        <v>267</v>
      </c>
      <c r="C94" t="s">
        <v>23</v>
      </c>
      <c r="D94" t="s">
        <v>24</v>
      </c>
      <c r="E94" t="s">
        <v>58</v>
      </c>
      <c r="F94" t="s">
        <v>84</v>
      </c>
      <c r="G94" t="s">
        <v>77</v>
      </c>
      <c r="H94" s="8">
        <v>68</v>
      </c>
      <c r="I94" s="8">
        <v>35</v>
      </c>
      <c r="J94" s="8">
        <v>1</v>
      </c>
    </row>
    <row r="95" spans="1:10">
      <c r="A95" t="s">
        <v>268</v>
      </c>
      <c r="B95" t="s">
        <v>269</v>
      </c>
      <c r="C95" t="s">
        <v>23</v>
      </c>
      <c r="D95" t="s">
        <v>24</v>
      </c>
      <c r="E95" t="s">
        <v>52</v>
      </c>
      <c r="F95" t="s">
        <v>84</v>
      </c>
      <c r="G95" t="s">
        <v>77</v>
      </c>
      <c r="H95" s="8">
        <v>62</v>
      </c>
      <c r="I95" s="8">
        <v>35</v>
      </c>
      <c r="J95" s="8">
        <v>1</v>
      </c>
    </row>
    <row r="96" spans="1:10">
      <c r="A96" t="s">
        <v>270</v>
      </c>
      <c r="B96" t="s">
        <v>271</v>
      </c>
      <c r="C96" t="s">
        <v>23</v>
      </c>
      <c r="D96" t="s">
        <v>24</v>
      </c>
      <c r="E96" t="s">
        <v>55</v>
      </c>
      <c r="F96" t="s">
        <v>80</v>
      </c>
      <c r="G96" t="s">
        <v>81</v>
      </c>
      <c r="H96" s="8">
        <v>90</v>
      </c>
      <c r="I96" s="8">
        <v>64</v>
      </c>
      <c r="J96" s="8">
        <v>1</v>
      </c>
    </row>
    <row r="97" spans="1:10">
      <c r="A97" t="s">
        <v>272</v>
      </c>
      <c r="B97" t="s">
        <v>273</v>
      </c>
      <c r="C97" t="s">
        <v>23</v>
      </c>
      <c r="D97" t="s">
        <v>24</v>
      </c>
      <c r="E97" t="s">
        <v>58</v>
      </c>
      <c r="F97" t="s">
        <v>98</v>
      </c>
      <c r="G97" t="s">
        <v>87</v>
      </c>
      <c r="H97" s="8">
        <v>44</v>
      </c>
      <c r="I97" s="8">
        <v>51</v>
      </c>
      <c r="J97" s="8">
        <v>1</v>
      </c>
    </row>
    <row r="98" spans="1:10">
      <c r="A98" t="s">
        <v>274</v>
      </c>
      <c r="B98" t="s">
        <v>275</v>
      </c>
      <c r="C98" t="s">
        <v>23</v>
      </c>
      <c r="D98" t="s">
        <v>24</v>
      </c>
      <c r="E98" t="s">
        <v>52</v>
      </c>
      <c r="F98" t="s">
        <v>117</v>
      </c>
      <c r="G98" t="s">
        <v>81</v>
      </c>
      <c r="H98" s="8">
        <v>86</v>
      </c>
      <c r="I98" s="8">
        <v>45</v>
      </c>
      <c r="J98" s="8">
        <v>1</v>
      </c>
    </row>
    <row r="99" spans="1:10">
      <c r="A99" t="s">
        <v>276</v>
      </c>
      <c r="B99" t="s">
        <v>277</v>
      </c>
      <c r="C99" t="s">
        <v>23</v>
      </c>
      <c r="D99" t="s">
        <v>24</v>
      </c>
      <c r="E99" t="s">
        <v>55</v>
      </c>
      <c r="F99" t="s">
        <v>117</v>
      </c>
      <c r="G99" t="s">
        <v>81</v>
      </c>
      <c r="H99" s="8">
        <v>99</v>
      </c>
      <c r="I99" s="8">
        <v>73</v>
      </c>
      <c r="J99" s="8">
        <v>1</v>
      </c>
    </row>
    <row r="100" spans="1:10">
      <c r="A100" t="s">
        <v>278</v>
      </c>
      <c r="B100" t="s">
        <v>279</v>
      </c>
      <c r="C100" t="s">
        <v>23</v>
      </c>
      <c r="D100" t="s">
        <v>24</v>
      </c>
      <c r="E100" t="s">
        <v>58</v>
      </c>
      <c r="F100" t="s">
        <v>16</v>
      </c>
      <c r="G100" t="s">
        <v>77</v>
      </c>
      <c r="H100" s="8">
        <v>58</v>
      </c>
      <c r="I100" s="8">
        <v>45</v>
      </c>
      <c r="J100" s="8">
        <v>1</v>
      </c>
    </row>
    <row r="101" spans="1:10">
      <c r="A101" t="s">
        <v>280</v>
      </c>
      <c r="B101" t="s">
        <v>281</v>
      </c>
      <c r="C101" t="s">
        <v>23</v>
      </c>
      <c r="D101" t="s">
        <v>24</v>
      </c>
      <c r="E101" t="s">
        <v>52</v>
      </c>
      <c r="F101" t="s">
        <v>98</v>
      </c>
      <c r="G101" t="s">
        <v>77</v>
      </c>
      <c r="H101" s="8">
        <v>60</v>
      </c>
      <c r="I101" s="8">
        <v>76</v>
      </c>
      <c r="J101" s="8">
        <v>1</v>
      </c>
    </row>
    <row r="102" spans="1:10">
      <c r="A102" t="s">
        <v>282</v>
      </c>
      <c r="B102" t="s">
        <v>283</v>
      </c>
      <c r="C102" t="s">
        <v>23</v>
      </c>
      <c r="D102" t="s">
        <v>24</v>
      </c>
      <c r="E102" t="s">
        <v>55</v>
      </c>
      <c r="F102" t="s">
        <v>80</v>
      </c>
      <c r="G102" t="s">
        <v>81</v>
      </c>
      <c r="H102" s="8">
        <v>81</v>
      </c>
      <c r="I102" s="8">
        <v>87</v>
      </c>
      <c r="J102" s="8">
        <v>1</v>
      </c>
    </row>
    <row r="103" spans="1:10">
      <c r="A103" t="s">
        <v>284</v>
      </c>
      <c r="B103" t="s">
        <v>285</v>
      </c>
      <c r="C103" t="s">
        <v>23</v>
      </c>
      <c r="D103" t="s">
        <v>24</v>
      </c>
      <c r="E103" t="s">
        <v>58</v>
      </c>
      <c r="F103" t="s">
        <v>16</v>
      </c>
      <c r="G103" t="s">
        <v>87</v>
      </c>
      <c r="H103" s="8">
        <v>31</v>
      </c>
      <c r="I103" s="8">
        <v>43</v>
      </c>
      <c r="J103" s="8">
        <v>0</v>
      </c>
    </row>
    <row r="104" spans="1:10">
      <c r="A104" t="s">
        <v>286</v>
      </c>
      <c r="B104" t="s">
        <v>287</v>
      </c>
      <c r="C104" t="s">
        <v>23</v>
      </c>
      <c r="D104" t="s">
        <v>24</v>
      </c>
      <c r="E104" t="s">
        <v>52</v>
      </c>
      <c r="F104" t="s">
        <v>7</v>
      </c>
      <c r="G104" t="s">
        <v>87</v>
      </c>
      <c r="H104" s="8">
        <v>43</v>
      </c>
      <c r="I104" s="8">
        <v>24</v>
      </c>
      <c r="J104" s="8">
        <v>0</v>
      </c>
    </row>
    <row r="105" spans="1:10">
      <c r="A105" t="s">
        <v>288</v>
      </c>
      <c r="B105" t="s">
        <v>289</v>
      </c>
      <c r="C105" t="s">
        <v>23</v>
      </c>
      <c r="D105" t="s">
        <v>24</v>
      </c>
      <c r="E105" t="s">
        <v>55</v>
      </c>
      <c r="F105" t="s">
        <v>80</v>
      </c>
      <c r="G105" t="s">
        <v>77</v>
      </c>
      <c r="H105" s="8">
        <v>50</v>
      </c>
      <c r="I105" s="8">
        <v>84</v>
      </c>
      <c r="J105" s="8">
        <v>0</v>
      </c>
    </row>
    <row r="106" spans="1:10">
      <c r="A106" t="s">
        <v>290</v>
      </c>
      <c r="B106" t="s">
        <v>291</v>
      </c>
      <c r="C106" t="s">
        <v>23</v>
      </c>
      <c r="D106" t="s">
        <v>24</v>
      </c>
      <c r="E106" t="s">
        <v>58</v>
      </c>
      <c r="F106" t="s">
        <v>117</v>
      </c>
      <c r="G106" t="s">
        <v>77</v>
      </c>
      <c r="H106" s="8">
        <v>75</v>
      </c>
      <c r="I106" s="8">
        <v>81</v>
      </c>
      <c r="J106" s="8">
        <v>1</v>
      </c>
    </row>
    <row r="107" spans="1:10">
      <c r="A107" t="s">
        <v>292</v>
      </c>
      <c r="B107" t="s">
        <v>293</v>
      </c>
      <c r="C107" t="s">
        <v>23</v>
      </c>
      <c r="D107" t="s">
        <v>24</v>
      </c>
      <c r="E107" t="s">
        <v>52</v>
      </c>
      <c r="F107" t="s">
        <v>98</v>
      </c>
      <c r="G107" t="s">
        <v>81</v>
      </c>
      <c r="H107" s="8">
        <v>90</v>
      </c>
      <c r="I107" s="8">
        <v>47</v>
      </c>
      <c r="J107" s="8">
        <v>1</v>
      </c>
    </row>
    <row r="108" spans="1:10">
      <c r="A108" t="s">
        <v>294</v>
      </c>
      <c r="B108" t="s">
        <v>295</v>
      </c>
      <c r="C108" t="s">
        <v>23</v>
      </c>
      <c r="D108" t="s">
        <v>24</v>
      </c>
      <c r="E108" t="s">
        <v>55</v>
      </c>
      <c r="F108" t="s">
        <v>80</v>
      </c>
      <c r="G108" t="s">
        <v>81</v>
      </c>
      <c r="H108" s="8">
        <v>78</v>
      </c>
      <c r="I108" s="8">
        <v>60</v>
      </c>
      <c r="J108" s="8">
        <v>1</v>
      </c>
    </row>
    <row r="109" spans="1:10">
      <c r="A109" t="s">
        <v>296</v>
      </c>
      <c r="B109" t="s">
        <v>297</v>
      </c>
      <c r="C109" t="s">
        <v>23</v>
      </c>
      <c r="D109" t="s">
        <v>24</v>
      </c>
      <c r="E109" t="s">
        <v>58</v>
      </c>
      <c r="F109" t="s">
        <v>7</v>
      </c>
      <c r="G109" t="s">
        <v>87</v>
      </c>
      <c r="H109" s="8">
        <v>25</v>
      </c>
      <c r="I109" s="8">
        <v>42</v>
      </c>
      <c r="J109" s="8">
        <v>0</v>
      </c>
    </row>
    <row r="110" spans="1:10">
      <c r="A110" t="s">
        <v>298</v>
      </c>
      <c r="B110" t="s">
        <v>299</v>
      </c>
      <c r="C110" t="s">
        <v>23</v>
      </c>
      <c r="D110" t="s">
        <v>24</v>
      </c>
      <c r="E110" t="s">
        <v>52</v>
      </c>
      <c r="F110" t="s">
        <v>7</v>
      </c>
      <c r="G110" t="s">
        <v>77</v>
      </c>
      <c r="H110" s="8">
        <v>64</v>
      </c>
      <c r="I110" s="8">
        <v>45</v>
      </c>
      <c r="J110" s="8">
        <v>1</v>
      </c>
    </row>
    <row r="111" spans="1:10">
      <c r="A111" t="s">
        <v>300</v>
      </c>
      <c r="B111" t="s">
        <v>301</v>
      </c>
      <c r="C111" t="s">
        <v>23</v>
      </c>
      <c r="D111" t="s">
        <v>24</v>
      </c>
      <c r="E111" t="s">
        <v>55</v>
      </c>
      <c r="F111" t="s">
        <v>7</v>
      </c>
      <c r="G111" t="s">
        <v>77</v>
      </c>
      <c r="H111" s="8">
        <v>63</v>
      </c>
      <c r="I111" s="8">
        <v>67</v>
      </c>
      <c r="J111" s="8">
        <v>0</v>
      </c>
    </row>
    <row r="112" spans="1:10">
      <c r="A112" t="s">
        <v>302</v>
      </c>
      <c r="B112" t="s">
        <v>303</v>
      </c>
      <c r="C112" t="s">
        <v>23</v>
      </c>
      <c r="D112" t="s">
        <v>24</v>
      </c>
      <c r="E112" t="s">
        <v>58</v>
      </c>
      <c r="F112" t="s">
        <v>7</v>
      </c>
      <c r="G112" t="s">
        <v>81</v>
      </c>
      <c r="H112" s="8">
        <v>83</v>
      </c>
      <c r="I112" s="8">
        <v>67</v>
      </c>
      <c r="J112" s="8">
        <v>1</v>
      </c>
    </row>
    <row r="113" spans="1:10">
      <c r="A113" t="s">
        <v>304</v>
      </c>
      <c r="B113" t="s">
        <v>305</v>
      </c>
      <c r="C113" t="s">
        <v>23</v>
      </c>
      <c r="D113" t="s">
        <v>24</v>
      </c>
      <c r="E113" t="s">
        <v>52</v>
      </c>
      <c r="F113" t="s">
        <v>117</v>
      </c>
      <c r="G113" t="s">
        <v>87</v>
      </c>
      <c r="H113" s="8">
        <v>21</v>
      </c>
      <c r="I113" s="8">
        <v>47</v>
      </c>
      <c r="J113" s="8">
        <v>0</v>
      </c>
    </row>
    <row r="114" spans="1:10">
      <c r="A114" t="s">
        <v>306</v>
      </c>
      <c r="B114" t="s">
        <v>307</v>
      </c>
      <c r="C114" t="s">
        <v>23</v>
      </c>
      <c r="D114" t="s">
        <v>24</v>
      </c>
      <c r="E114" t="s">
        <v>55</v>
      </c>
      <c r="F114" t="s">
        <v>80</v>
      </c>
      <c r="G114" t="s">
        <v>77</v>
      </c>
      <c r="H114" s="8">
        <v>67</v>
      </c>
      <c r="I114" s="8">
        <v>49</v>
      </c>
      <c r="J114" s="8">
        <v>1</v>
      </c>
    </row>
    <row r="115" spans="1:10">
      <c r="A115" t="s">
        <v>308</v>
      </c>
      <c r="B115" t="s">
        <v>309</v>
      </c>
      <c r="C115" t="s">
        <v>23</v>
      </c>
      <c r="D115" t="s">
        <v>24</v>
      </c>
      <c r="E115" t="s">
        <v>58</v>
      </c>
      <c r="F115" t="s">
        <v>98</v>
      </c>
      <c r="G115" t="s">
        <v>77</v>
      </c>
      <c r="H115" s="8">
        <v>63</v>
      </c>
      <c r="I115" s="8">
        <v>79</v>
      </c>
      <c r="J115" s="8">
        <v>1</v>
      </c>
    </row>
    <row r="116" spans="1:10">
      <c r="A116" t="s">
        <v>310</v>
      </c>
      <c r="B116" t="s">
        <v>311</v>
      </c>
      <c r="C116" t="s">
        <v>23</v>
      </c>
      <c r="D116" t="s">
        <v>24</v>
      </c>
      <c r="E116" t="s">
        <v>52</v>
      </c>
      <c r="F116" t="s">
        <v>98</v>
      </c>
      <c r="G116" t="s">
        <v>77</v>
      </c>
      <c r="H116" s="8">
        <v>70</v>
      </c>
      <c r="I116" s="8">
        <v>40</v>
      </c>
      <c r="J116" s="8">
        <v>1</v>
      </c>
    </row>
    <row r="117" spans="1:10">
      <c r="A117" t="s">
        <v>312</v>
      </c>
      <c r="B117" t="s">
        <v>313</v>
      </c>
      <c r="C117" t="s">
        <v>23</v>
      </c>
      <c r="D117" t="s">
        <v>24</v>
      </c>
      <c r="E117" t="s">
        <v>55</v>
      </c>
      <c r="F117" t="s">
        <v>7</v>
      </c>
      <c r="G117" t="s">
        <v>81</v>
      </c>
      <c r="H117" s="8">
        <v>88</v>
      </c>
      <c r="I117" s="8">
        <v>61</v>
      </c>
      <c r="J117" s="8">
        <v>1</v>
      </c>
    </row>
    <row r="118" spans="1:10">
      <c r="A118" t="s">
        <v>314</v>
      </c>
      <c r="B118" t="s">
        <v>315</v>
      </c>
      <c r="C118" t="s">
        <v>25</v>
      </c>
      <c r="D118" t="s">
        <v>26</v>
      </c>
      <c r="E118" t="s">
        <v>61</v>
      </c>
      <c r="F118" t="s">
        <v>117</v>
      </c>
      <c r="G118" t="s">
        <v>77</v>
      </c>
      <c r="H118" s="8">
        <v>70</v>
      </c>
      <c r="I118" s="8">
        <v>76</v>
      </c>
      <c r="J118" s="8">
        <v>1</v>
      </c>
    </row>
    <row r="119" spans="1:10">
      <c r="A119" t="s">
        <v>316</v>
      </c>
      <c r="B119" t="s">
        <v>317</v>
      </c>
      <c r="C119" t="s">
        <v>25</v>
      </c>
      <c r="D119" t="s">
        <v>26</v>
      </c>
      <c r="E119" t="s">
        <v>64</v>
      </c>
      <c r="F119" t="s">
        <v>80</v>
      </c>
      <c r="G119" t="s">
        <v>77</v>
      </c>
      <c r="H119" s="8">
        <v>55</v>
      </c>
      <c r="I119" s="8">
        <v>41</v>
      </c>
      <c r="J119" s="8">
        <v>1</v>
      </c>
    </row>
    <row r="120" spans="1:10">
      <c r="A120" t="s">
        <v>318</v>
      </c>
      <c r="B120" t="s">
        <v>319</v>
      </c>
      <c r="C120" t="s">
        <v>25</v>
      </c>
      <c r="D120" t="s">
        <v>26</v>
      </c>
      <c r="E120" t="s">
        <v>67</v>
      </c>
      <c r="F120" t="s">
        <v>16</v>
      </c>
      <c r="G120" t="s">
        <v>81</v>
      </c>
      <c r="H120" s="8">
        <v>85</v>
      </c>
      <c r="I120" s="8">
        <v>76</v>
      </c>
      <c r="J120" s="8">
        <v>1</v>
      </c>
    </row>
    <row r="121" spans="1:10">
      <c r="A121" t="s">
        <v>320</v>
      </c>
      <c r="B121" t="s">
        <v>321</v>
      </c>
      <c r="C121" t="s">
        <v>25</v>
      </c>
      <c r="D121" t="s">
        <v>26</v>
      </c>
      <c r="E121" t="s">
        <v>61</v>
      </c>
      <c r="F121" t="s">
        <v>98</v>
      </c>
      <c r="G121" t="s">
        <v>81</v>
      </c>
      <c r="H121" s="8">
        <v>95</v>
      </c>
      <c r="I121" s="8">
        <v>64</v>
      </c>
      <c r="J121" s="8">
        <v>1</v>
      </c>
    </row>
    <row r="122" spans="1:10">
      <c r="A122" t="s">
        <v>322</v>
      </c>
      <c r="B122" t="s">
        <v>323</v>
      </c>
      <c r="C122" t="s">
        <v>25</v>
      </c>
      <c r="D122" t="s">
        <v>26</v>
      </c>
      <c r="E122" t="s">
        <v>64</v>
      </c>
      <c r="F122" t="s">
        <v>117</v>
      </c>
      <c r="G122" t="s">
        <v>77</v>
      </c>
      <c r="H122" s="8">
        <v>65</v>
      </c>
      <c r="I122" s="8">
        <v>44</v>
      </c>
      <c r="J122" s="8">
        <v>1</v>
      </c>
    </row>
    <row r="123" spans="1:10">
      <c r="A123" t="s">
        <v>324</v>
      </c>
      <c r="B123" t="s">
        <v>325</v>
      </c>
      <c r="C123" t="s">
        <v>25</v>
      </c>
      <c r="D123" t="s">
        <v>26</v>
      </c>
      <c r="E123" t="s">
        <v>67</v>
      </c>
      <c r="F123" t="s">
        <v>84</v>
      </c>
      <c r="G123" t="s">
        <v>87</v>
      </c>
      <c r="H123" s="8">
        <v>55</v>
      </c>
      <c r="I123" s="8">
        <v>21</v>
      </c>
      <c r="J123" s="8">
        <v>0</v>
      </c>
    </row>
    <row r="124" spans="1:10">
      <c r="A124" t="s">
        <v>326</v>
      </c>
      <c r="B124" t="s">
        <v>327</v>
      </c>
      <c r="C124" t="s">
        <v>25</v>
      </c>
      <c r="D124" t="s">
        <v>26</v>
      </c>
      <c r="E124" t="s">
        <v>61</v>
      </c>
      <c r="F124" t="s">
        <v>84</v>
      </c>
      <c r="G124" t="s">
        <v>77</v>
      </c>
      <c r="H124" s="8">
        <v>70</v>
      </c>
      <c r="I124" s="8">
        <v>35</v>
      </c>
      <c r="J124" s="8">
        <v>1</v>
      </c>
    </row>
    <row r="125" spans="1:10">
      <c r="A125" t="s">
        <v>328</v>
      </c>
      <c r="B125" t="s">
        <v>329</v>
      </c>
      <c r="C125" t="s">
        <v>25</v>
      </c>
      <c r="D125" t="s">
        <v>26</v>
      </c>
      <c r="E125" t="s">
        <v>64</v>
      </c>
      <c r="F125" t="s">
        <v>84</v>
      </c>
      <c r="G125" t="s">
        <v>81</v>
      </c>
      <c r="H125" s="8">
        <v>94</v>
      </c>
      <c r="I125" s="8">
        <v>68</v>
      </c>
      <c r="J125" s="8">
        <v>1</v>
      </c>
    </row>
    <row r="126" spans="1:10">
      <c r="A126" t="s">
        <v>330</v>
      </c>
      <c r="B126" t="s">
        <v>331</v>
      </c>
      <c r="C126" t="s">
        <v>25</v>
      </c>
      <c r="D126" t="s">
        <v>26</v>
      </c>
      <c r="E126" t="s">
        <v>67</v>
      </c>
      <c r="F126" t="s">
        <v>80</v>
      </c>
      <c r="G126" t="s">
        <v>87</v>
      </c>
      <c r="H126" s="8">
        <v>20</v>
      </c>
      <c r="I126" s="8">
        <v>63</v>
      </c>
      <c r="J126" s="8">
        <v>0</v>
      </c>
    </row>
    <row r="127" spans="1:10">
      <c r="A127" t="s">
        <v>332</v>
      </c>
      <c r="B127" t="s">
        <v>333</v>
      </c>
      <c r="C127" t="s">
        <v>25</v>
      </c>
      <c r="D127" t="s">
        <v>26</v>
      </c>
      <c r="E127" t="s">
        <v>61</v>
      </c>
      <c r="F127" t="s">
        <v>80</v>
      </c>
      <c r="G127" t="s">
        <v>77</v>
      </c>
      <c r="H127" s="8">
        <v>75</v>
      </c>
      <c r="I127" s="8">
        <v>70</v>
      </c>
      <c r="J127" s="8">
        <v>1</v>
      </c>
    </row>
    <row r="128" spans="1:10">
      <c r="A128" t="s">
        <v>334</v>
      </c>
      <c r="B128" t="s">
        <v>335</v>
      </c>
      <c r="C128" t="s">
        <v>25</v>
      </c>
      <c r="D128" t="s">
        <v>26</v>
      </c>
      <c r="E128" t="s">
        <v>64</v>
      </c>
      <c r="F128" t="s">
        <v>98</v>
      </c>
      <c r="G128" t="s">
        <v>87</v>
      </c>
      <c r="H128" s="8">
        <v>55</v>
      </c>
      <c r="I128" s="8">
        <v>25</v>
      </c>
      <c r="J128" s="8">
        <v>0</v>
      </c>
    </row>
    <row r="129" spans="1:10">
      <c r="A129" t="s">
        <v>336</v>
      </c>
      <c r="B129" t="s">
        <v>337</v>
      </c>
      <c r="C129" t="s">
        <v>25</v>
      </c>
      <c r="D129" t="s">
        <v>26</v>
      </c>
      <c r="E129" t="s">
        <v>67</v>
      </c>
      <c r="F129" t="s">
        <v>84</v>
      </c>
      <c r="G129" t="s">
        <v>87</v>
      </c>
      <c r="H129" s="8">
        <v>53</v>
      </c>
      <c r="I129" s="8">
        <v>41</v>
      </c>
      <c r="J129" s="8">
        <v>0</v>
      </c>
    </row>
    <row r="130" spans="1:10">
      <c r="A130" t="s">
        <v>338</v>
      </c>
      <c r="B130" t="s">
        <v>339</v>
      </c>
      <c r="C130" t="s">
        <v>25</v>
      </c>
      <c r="D130" t="s">
        <v>26</v>
      </c>
      <c r="E130" t="s">
        <v>61</v>
      </c>
      <c r="F130" t="s">
        <v>16</v>
      </c>
      <c r="G130" t="s">
        <v>87</v>
      </c>
      <c r="H130" s="8">
        <v>40</v>
      </c>
      <c r="I130" s="8">
        <v>38</v>
      </c>
      <c r="J130" s="8">
        <v>0</v>
      </c>
    </row>
    <row r="131" spans="1:10">
      <c r="A131" t="s">
        <v>340</v>
      </c>
      <c r="B131" t="s">
        <v>341</v>
      </c>
      <c r="C131" t="s">
        <v>25</v>
      </c>
      <c r="D131" t="s">
        <v>26</v>
      </c>
      <c r="E131" t="s">
        <v>64</v>
      </c>
      <c r="F131" t="s">
        <v>80</v>
      </c>
      <c r="G131" t="s">
        <v>77</v>
      </c>
      <c r="H131" s="8">
        <v>73</v>
      </c>
      <c r="I131" s="8">
        <v>51</v>
      </c>
      <c r="J131" s="8">
        <v>1</v>
      </c>
    </row>
    <row r="132" spans="1:10">
      <c r="A132" t="s">
        <v>342</v>
      </c>
      <c r="B132" t="s">
        <v>343</v>
      </c>
      <c r="C132" t="s">
        <v>25</v>
      </c>
      <c r="D132" t="s">
        <v>26</v>
      </c>
      <c r="E132" t="s">
        <v>67</v>
      </c>
      <c r="F132" t="s">
        <v>84</v>
      </c>
      <c r="G132" t="s">
        <v>87</v>
      </c>
      <c r="H132" s="8">
        <v>56</v>
      </c>
      <c r="I132" s="8">
        <v>71</v>
      </c>
      <c r="J132" s="8">
        <v>1</v>
      </c>
    </row>
    <row r="133" spans="1:10">
      <c r="A133" t="s">
        <v>344</v>
      </c>
      <c r="B133" t="s">
        <v>345</v>
      </c>
      <c r="C133" t="s">
        <v>25</v>
      </c>
      <c r="D133" t="s">
        <v>26</v>
      </c>
      <c r="E133" t="s">
        <v>61</v>
      </c>
      <c r="F133" t="s">
        <v>80</v>
      </c>
      <c r="G133" t="s">
        <v>77</v>
      </c>
      <c r="H133" s="8">
        <v>73</v>
      </c>
      <c r="I133" s="8">
        <v>85</v>
      </c>
      <c r="J133" s="8">
        <v>1</v>
      </c>
    </row>
    <row r="134" spans="1:10">
      <c r="A134" t="s">
        <v>346</v>
      </c>
      <c r="B134" t="s">
        <v>347</v>
      </c>
      <c r="C134" t="s">
        <v>25</v>
      </c>
      <c r="D134" t="s">
        <v>26</v>
      </c>
      <c r="E134" t="s">
        <v>64</v>
      </c>
      <c r="F134" t="s">
        <v>117</v>
      </c>
      <c r="G134" t="s">
        <v>77</v>
      </c>
      <c r="H134" s="8">
        <v>73</v>
      </c>
      <c r="I134" s="8">
        <v>47</v>
      </c>
      <c r="J134" s="8">
        <v>1</v>
      </c>
    </row>
    <row r="135" spans="1:10">
      <c r="A135" t="s">
        <v>348</v>
      </c>
      <c r="B135" t="s">
        <v>349</v>
      </c>
      <c r="C135" t="s">
        <v>25</v>
      </c>
      <c r="D135" t="s">
        <v>26</v>
      </c>
      <c r="E135" t="s">
        <v>67</v>
      </c>
      <c r="F135" t="s">
        <v>98</v>
      </c>
      <c r="G135" t="s">
        <v>77</v>
      </c>
      <c r="H135" s="8">
        <v>78</v>
      </c>
      <c r="I135" s="8">
        <v>82</v>
      </c>
      <c r="J135" s="8">
        <v>1</v>
      </c>
    </row>
    <row r="136" spans="1:10">
      <c r="A136" t="s">
        <v>350</v>
      </c>
      <c r="B136" t="s">
        <v>351</v>
      </c>
      <c r="C136" t="s">
        <v>25</v>
      </c>
      <c r="D136" t="s">
        <v>26</v>
      </c>
      <c r="E136" t="s">
        <v>61</v>
      </c>
      <c r="F136" t="s">
        <v>84</v>
      </c>
      <c r="G136" t="s">
        <v>77</v>
      </c>
      <c r="H136" s="8">
        <v>77</v>
      </c>
      <c r="I136" s="8">
        <v>56</v>
      </c>
      <c r="J136" s="8">
        <v>0</v>
      </c>
    </row>
    <row r="137" spans="1:10">
      <c r="A137" t="s">
        <v>352</v>
      </c>
      <c r="B137" t="s">
        <v>353</v>
      </c>
      <c r="C137" t="s">
        <v>25</v>
      </c>
      <c r="D137" t="s">
        <v>26</v>
      </c>
      <c r="E137" t="s">
        <v>64</v>
      </c>
      <c r="F137" t="s">
        <v>117</v>
      </c>
      <c r="G137" t="s">
        <v>87</v>
      </c>
      <c r="H137" s="8">
        <v>34</v>
      </c>
      <c r="I137" s="8">
        <v>57</v>
      </c>
      <c r="J137" s="8">
        <v>0</v>
      </c>
    </row>
    <row r="138" spans="1:10">
      <c r="A138" t="s">
        <v>354</v>
      </c>
      <c r="B138" t="s">
        <v>355</v>
      </c>
      <c r="C138" t="s">
        <v>25</v>
      </c>
      <c r="D138" t="s">
        <v>26</v>
      </c>
      <c r="E138" t="s">
        <v>67</v>
      </c>
      <c r="F138" t="s">
        <v>117</v>
      </c>
      <c r="G138" t="s">
        <v>81</v>
      </c>
      <c r="H138" s="8">
        <v>89</v>
      </c>
      <c r="I138" s="8">
        <v>75</v>
      </c>
      <c r="J138" s="8">
        <v>1</v>
      </c>
    </row>
    <row r="139" spans="1:10">
      <c r="A139" t="s">
        <v>356</v>
      </c>
      <c r="B139" t="s">
        <v>357</v>
      </c>
      <c r="C139" t="s">
        <v>25</v>
      </c>
      <c r="D139" t="s">
        <v>26</v>
      </c>
      <c r="E139" t="s">
        <v>61</v>
      </c>
      <c r="F139" t="s">
        <v>80</v>
      </c>
      <c r="G139" t="s">
        <v>77</v>
      </c>
      <c r="H139" s="8">
        <v>64</v>
      </c>
      <c r="I139" s="8">
        <v>84</v>
      </c>
      <c r="J139" s="8">
        <v>1</v>
      </c>
    </row>
    <row r="140" spans="1:10">
      <c r="A140" t="s">
        <v>358</v>
      </c>
      <c r="B140" t="s">
        <v>359</v>
      </c>
      <c r="C140" t="s">
        <v>25</v>
      </c>
      <c r="D140" t="s">
        <v>26</v>
      </c>
      <c r="E140" t="s">
        <v>64</v>
      </c>
      <c r="F140" t="s">
        <v>80</v>
      </c>
      <c r="G140" t="s">
        <v>81</v>
      </c>
      <c r="H140" s="8">
        <v>88</v>
      </c>
      <c r="I140" s="8">
        <v>79</v>
      </c>
      <c r="J140" s="8">
        <v>1</v>
      </c>
    </row>
    <row r="141" spans="1:10">
      <c r="A141" t="s">
        <v>360</v>
      </c>
      <c r="B141" t="s">
        <v>361</v>
      </c>
      <c r="C141" t="s">
        <v>25</v>
      </c>
      <c r="D141" t="s">
        <v>26</v>
      </c>
      <c r="E141" t="s">
        <v>67</v>
      </c>
      <c r="F141" t="s">
        <v>7</v>
      </c>
      <c r="G141" t="s">
        <v>77</v>
      </c>
      <c r="H141" s="8">
        <v>61</v>
      </c>
      <c r="I141" s="8">
        <v>35</v>
      </c>
      <c r="J141" s="8">
        <v>0</v>
      </c>
    </row>
    <row r="142" spans="1:10">
      <c r="A142" t="s">
        <v>362</v>
      </c>
      <c r="B142" t="s">
        <v>363</v>
      </c>
      <c r="C142" t="s">
        <v>25</v>
      </c>
      <c r="D142" t="s">
        <v>26</v>
      </c>
      <c r="E142" t="s">
        <v>61</v>
      </c>
      <c r="F142" t="s">
        <v>16</v>
      </c>
      <c r="G142" t="s">
        <v>77</v>
      </c>
      <c r="H142" s="8">
        <v>74</v>
      </c>
      <c r="I142" s="8">
        <v>54</v>
      </c>
      <c r="J142" s="8">
        <v>0</v>
      </c>
    </row>
    <row r="143" spans="1:10">
      <c r="A143" t="s">
        <v>364</v>
      </c>
      <c r="B143" t="s">
        <v>365</v>
      </c>
      <c r="C143" t="s">
        <v>25</v>
      </c>
      <c r="D143" t="s">
        <v>26</v>
      </c>
      <c r="E143" t="s">
        <v>64</v>
      </c>
      <c r="F143" t="s">
        <v>16</v>
      </c>
      <c r="G143" t="s">
        <v>77</v>
      </c>
      <c r="H143" s="8">
        <v>58</v>
      </c>
      <c r="I143" s="8">
        <v>83</v>
      </c>
      <c r="J143" s="8">
        <v>1</v>
      </c>
    </row>
    <row r="144" spans="1:10">
      <c r="A144" t="s">
        <v>366</v>
      </c>
      <c r="B144" t="s">
        <v>367</v>
      </c>
      <c r="C144" t="s">
        <v>25</v>
      </c>
      <c r="D144" t="s">
        <v>26</v>
      </c>
      <c r="E144" t="s">
        <v>67</v>
      </c>
      <c r="F144" t="s">
        <v>16</v>
      </c>
      <c r="G144" t="s">
        <v>87</v>
      </c>
      <c r="H144" s="8">
        <v>49</v>
      </c>
      <c r="I144" s="8">
        <v>66</v>
      </c>
      <c r="J144" s="8">
        <v>0</v>
      </c>
    </row>
    <row r="145" spans="1:10">
      <c r="A145" t="s">
        <v>368</v>
      </c>
      <c r="B145" t="s">
        <v>369</v>
      </c>
      <c r="C145" t="s">
        <v>25</v>
      </c>
      <c r="D145" t="s">
        <v>26</v>
      </c>
      <c r="E145" t="s">
        <v>61</v>
      </c>
      <c r="F145" t="s">
        <v>16</v>
      </c>
      <c r="G145" t="s">
        <v>77</v>
      </c>
      <c r="H145" s="8">
        <v>51</v>
      </c>
      <c r="I145" s="8">
        <v>37</v>
      </c>
      <c r="J145" s="8">
        <v>1</v>
      </c>
    </row>
    <row r="146" spans="1:10">
      <c r="A146" t="s">
        <v>370</v>
      </c>
      <c r="B146" t="s">
        <v>371</v>
      </c>
      <c r="C146" t="s">
        <v>25</v>
      </c>
      <c r="D146" t="s">
        <v>26</v>
      </c>
      <c r="E146" t="s">
        <v>64</v>
      </c>
      <c r="F146" t="s">
        <v>84</v>
      </c>
      <c r="G146" t="s">
        <v>81</v>
      </c>
      <c r="H146" s="8">
        <v>86</v>
      </c>
      <c r="I146" s="8">
        <v>80</v>
      </c>
      <c r="J146" s="8">
        <v>1</v>
      </c>
    </row>
    <row r="147" spans="1:10">
      <c r="A147" t="s">
        <v>372</v>
      </c>
      <c r="B147" t="s">
        <v>373</v>
      </c>
      <c r="C147" t="s">
        <v>25</v>
      </c>
      <c r="D147" t="s">
        <v>26</v>
      </c>
      <c r="E147" t="s">
        <v>67</v>
      </c>
      <c r="F147" t="s">
        <v>7</v>
      </c>
      <c r="G147" t="s">
        <v>77</v>
      </c>
      <c r="H147" s="8">
        <v>51</v>
      </c>
      <c r="I147" s="8">
        <v>84</v>
      </c>
      <c r="J147" s="8">
        <v>1</v>
      </c>
    </row>
    <row r="148" spans="1:10">
      <c r="A148" t="s">
        <v>374</v>
      </c>
      <c r="B148" t="s">
        <v>375</v>
      </c>
      <c r="C148" t="s">
        <v>25</v>
      </c>
      <c r="D148" t="s">
        <v>26</v>
      </c>
      <c r="E148" t="s">
        <v>61</v>
      </c>
      <c r="F148" t="s">
        <v>80</v>
      </c>
      <c r="G148" t="s">
        <v>77</v>
      </c>
      <c r="H148" s="8">
        <v>65</v>
      </c>
      <c r="I148" s="8">
        <v>70</v>
      </c>
      <c r="J148" s="8">
        <v>1</v>
      </c>
    </row>
    <row r="149" spans="1:10">
      <c r="A149" t="s">
        <v>376</v>
      </c>
      <c r="B149" t="s">
        <v>377</v>
      </c>
      <c r="C149" t="s">
        <v>25</v>
      </c>
      <c r="D149" t="s">
        <v>26</v>
      </c>
      <c r="E149" t="s">
        <v>64</v>
      </c>
      <c r="F149" t="s">
        <v>80</v>
      </c>
      <c r="G149" t="s">
        <v>87</v>
      </c>
      <c r="H149" s="8">
        <v>56</v>
      </c>
      <c r="I149" s="8">
        <v>64</v>
      </c>
      <c r="J149" s="8">
        <v>0</v>
      </c>
    </row>
    <row r="150" spans="1:10">
      <c r="A150" t="s">
        <v>378</v>
      </c>
      <c r="B150" t="s">
        <v>379</v>
      </c>
      <c r="C150" t="s">
        <v>25</v>
      </c>
      <c r="D150" t="s">
        <v>26</v>
      </c>
      <c r="E150" t="s">
        <v>67</v>
      </c>
      <c r="F150" t="s">
        <v>84</v>
      </c>
      <c r="G150" t="s">
        <v>87</v>
      </c>
      <c r="H150" s="8">
        <v>23</v>
      </c>
      <c r="I150" s="8">
        <v>60</v>
      </c>
      <c r="J150" s="8">
        <v>0</v>
      </c>
    </row>
    <row r="151" spans="1:10">
      <c r="A151" t="s">
        <v>380</v>
      </c>
      <c r="B151" t="s">
        <v>381</v>
      </c>
      <c r="C151" t="s">
        <v>25</v>
      </c>
      <c r="D151" t="s">
        <v>26</v>
      </c>
      <c r="E151" t="s">
        <v>61</v>
      </c>
      <c r="F151" t="s">
        <v>98</v>
      </c>
      <c r="G151" t="s">
        <v>81</v>
      </c>
      <c r="H151" s="8">
        <v>80</v>
      </c>
      <c r="I151" s="8">
        <v>85</v>
      </c>
      <c r="J151" s="8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153"/>
  <sheetViews>
    <sheetView topLeftCell="Q2" workbookViewId="0">
      <selection activeCell="V13" sqref="V13"/>
    </sheetView>
  </sheetViews>
  <sheetFormatPr defaultRowHeight="13.8"/>
  <cols>
    <col min="1" max="1" width="11.5" bestFit="1" customWidth="1"/>
    <col min="2" max="2" width="10.296875" style="16" bestFit="1" customWidth="1"/>
    <col min="3" max="3" width="12.8984375" bestFit="1" customWidth="1"/>
    <col min="4" max="4" width="13.69921875" bestFit="1" customWidth="1"/>
    <col min="5" max="5" width="14.296875" bestFit="1" customWidth="1"/>
    <col min="6" max="6" width="10.19921875" bestFit="1" customWidth="1"/>
    <col min="7" max="7" width="13.5" bestFit="1" customWidth="1"/>
    <col min="8" max="8" width="9.3984375" style="8" bestFit="1" customWidth="1"/>
    <col min="9" max="9" width="18.69921875" style="6" bestFit="1" customWidth="1"/>
    <col min="10" max="10" width="16.296875" style="6" bestFit="1" customWidth="1"/>
    <col min="11" max="11" width="15.5" style="6" bestFit="1" customWidth="1"/>
    <col min="12" max="12" width="16.3984375" style="6" bestFit="1" customWidth="1"/>
    <col min="13" max="13" width="14.19921875" style="6" bestFit="1" customWidth="1"/>
    <col min="14" max="14" width="14.796875" bestFit="1" customWidth="1"/>
    <col min="15" max="15" width="7" style="8" bestFit="1" customWidth="1"/>
    <col min="16" max="16" width="10.69921875" style="8" bestFit="1" customWidth="1"/>
    <col min="17" max="17" width="18.59765625" bestFit="1" customWidth="1"/>
    <col min="18" max="18" width="17.5" style="17" bestFit="1" customWidth="1"/>
    <col min="19" max="19" width="20.09765625" style="6" bestFit="1" customWidth="1"/>
    <col min="20" max="20" width="19.69921875" style="6" bestFit="1" customWidth="1"/>
  </cols>
  <sheetData>
    <row r="1" spans="1:20">
      <c r="A1" s="1" t="s">
        <v>382</v>
      </c>
      <c r="B1" s="14" t="s">
        <v>383</v>
      </c>
      <c r="C1" s="1" t="s">
        <v>17</v>
      </c>
      <c r="D1" s="1" t="s">
        <v>18</v>
      </c>
      <c r="E1" s="1" t="s">
        <v>29</v>
      </c>
      <c r="F1" s="1" t="s">
        <v>27</v>
      </c>
      <c r="G1" s="1" t="s">
        <v>1</v>
      </c>
      <c r="H1" s="7" t="s">
        <v>384</v>
      </c>
      <c r="I1" s="5" t="s">
        <v>385</v>
      </c>
      <c r="J1" s="5" t="s">
        <v>386</v>
      </c>
      <c r="K1" s="5" t="s">
        <v>387</v>
      </c>
      <c r="L1" s="5" t="s">
        <v>388</v>
      </c>
      <c r="M1" s="5" t="s">
        <v>389</v>
      </c>
      <c r="N1" t="s">
        <v>2</v>
      </c>
      <c r="O1" s="8" t="s">
        <v>5059</v>
      </c>
      <c r="P1" s="8" t="s">
        <v>5060</v>
      </c>
      <c r="Q1" t="s">
        <v>5061</v>
      </c>
      <c r="R1" s="17" t="s">
        <v>5062</v>
      </c>
      <c r="S1" s="6" t="s">
        <v>5063</v>
      </c>
      <c r="T1" s="6" t="s">
        <v>5064</v>
      </c>
    </row>
    <row r="2" spans="1:20">
      <c r="A2" t="s">
        <v>390</v>
      </c>
      <c r="B2" s="15">
        <v>45292</v>
      </c>
      <c r="C2" t="s">
        <v>19</v>
      </c>
      <c r="D2" t="s">
        <v>20</v>
      </c>
      <c r="E2" t="s">
        <v>34</v>
      </c>
      <c r="F2" t="s">
        <v>32</v>
      </c>
      <c r="G2" t="s">
        <v>5</v>
      </c>
      <c r="H2" s="8">
        <v>131</v>
      </c>
      <c r="I2" s="9">
        <v>126664.43</v>
      </c>
      <c r="J2" s="9">
        <v>6790.28</v>
      </c>
      <c r="K2" s="9">
        <v>1599.83</v>
      </c>
      <c r="L2" s="9">
        <v>118274.33</v>
      </c>
      <c r="M2" s="9">
        <v>121199</v>
      </c>
      <c r="N2" s="6" t="str">
        <f>_xlfn.XLOOKUP(tblSales[[#This Row],[ProductID]],tblProducts[ProductID],tblProducts[ProductName],"Not Found")</f>
        <v>Cardiovan</v>
      </c>
      <c r="O2" s="8">
        <f>YEAR(tblSales[[#This Row],[Month]])</f>
        <v>2024</v>
      </c>
      <c r="P2" s="8">
        <f>MONTH(tblSales[[#This Row],[Month]])</f>
        <v>1</v>
      </c>
      <c r="Q2" s="6">
        <f>IFERROR(tblSales[[#This Row],[NetSalesTRY]]/tblSales[[#This Row],[Units]],0)</f>
        <v>902.85748091603057</v>
      </c>
      <c r="R2" s="17">
        <f>IFERROR(tblSales[[#This Row],[NetSalesTRY]]/tblSales[[#This Row],[TargetTRY]],0)</f>
        <v>0.97586886030412789</v>
      </c>
      <c r="S2" s="6">
        <f>tblSales[[#This Row],[NetSalesTRY]]-tblSales[[#This Row],[TargetTRY]]</f>
        <v>-2924.6699999999983</v>
      </c>
      <c r="T2" s="6">
        <f>MAX(tblSales[[#This Row],[TargetTRY]]-tblSales[[#This Row],[NetSalesTRY]],0)</f>
        <v>2924.6699999999983</v>
      </c>
    </row>
    <row r="3" spans="1:20">
      <c r="A3" t="s">
        <v>391</v>
      </c>
      <c r="B3" s="15">
        <v>45292</v>
      </c>
      <c r="C3" t="s">
        <v>19</v>
      </c>
      <c r="D3" t="s">
        <v>20</v>
      </c>
      <c r="E3" t="s">
        <v>34</v>
      </c>
      <c r="F3" t="s">
        <v>32</v>
      </c>
      <c r="G3" t="s">
        <v>8</v>
      </c>
      <c r="H3" s="8">
        <v>155</v>
      </c>
      <c r="I3" s="9">
        <v>119510.98</v>
      </c>
      <c r="J3" s="9">
        <v>5882.56</v>
      </c>
      <c r="K3" s="9">
        <v>927.54</v>
      </c>
      <c r="L3" s="9">
        <v>112700.88</v>
      </c>
      <c r="M3" s="9">
        <v>115580.87</v>
      </c>
      <c r="N3" s="6" t="str">
        <f>_xlfn.XLOOKUP(tblSales[[#This Row],[ProductID]],tblProducts[ProductID],tblProducts[ProductName],"Not Found")</f>
        <v>GlucoRelief</v>
      </c>
      <c r="O3" s="8">
        <f>YEAR(tblSales[[#This Row],[Month]])</f>
        <v>2024</v>
      </c>
      <c r="P3" s="8">
        <f>MONTH(tblSales[[#This Row],[Month]])</f>
        <v>1</v>
      </c>
      <c r="Q3" s="6">
        <f>IFERROR(tblSales[[#This Row],[NetSalesTRY]]/tblSales[[#This Row],[Units]],0)</f>
        <v>727.10245161290322</v>
      </c>
      <c r="R3" s="17">
        <f>IFERROR(tblSales[[#This Row],[NetSalesTRY]]/tblSales[[#This Row],[TargetTRY]],0)</f>
        <v>0.97508246823198341</v>
      </c>
      <c r="S3" s="6">
        <f>tblSales[[#This Row],[NetSalesTRY]]-tblSales[[#This Row],[TargetTRY]]</f>
        <v>-2879.9899999999907</v>
      </c>
      <c r="T3" s="6">
        <f>MAX(tblSales[[#This Row],[TargetTRY]]-tblSales[[#This Row],[NetSalesTRY]],0)</f>
        <v>2879.9899999999907</v>
      </c>
    </row>
    <row r="4" spans="1:20">
      <c r="A4" t="s">
        <v>392</v>
      </c>
      <c r="B4" s="15">
        <v>45292</v>
      </c>
      <c r="C4" t="s">
        <v>19</v>
      </c>
      <c r="D4" t="s">
        <v>20</v>
      </c>
      <c r="E4" t="s">
        <v>34</v>
      </c>
      <c r="F4" t="s">
        <v>32</v>
      </c>
      <c r="G4" t="s">
        <v>11</v>
      </c>
      <c r="H4" s="8">
        <v>185</v>
      </c>
      <c r="I4" s="9">
        <v>113698.2</v>
      </c>
      <c r="J4" s="9">
        <v>8413.91</v>
      </c>
      <c r="K4" s="9">
        <v>710.15</v>
      </c>
      <c r="L4" s="9">
        <v>104574.14</v>
      </c>
      <c r="M4" s="9">
        <v>112871.03</v>
      </c>
      <c r="N4" s="6" t="str">
        <f>_xlfn.XLOOKUP(tblSales[[#This Row],[ProductID]],tblProducts[ProductID],tblProducts[ProductName],"Not Found")</f>
        <v>RespiraX</v>
      </c>
      <c r="O4" s="8">
        <f>YEAR(tblSales[[#This Row],[Month]])</f>
        <v>2024</v>
      </c>
      <c r="P4" s="8">
        <f>MONTH(tblSales[[#This Row],[Month]])</f>
        <v>1</v>
      </c>
      <c r="Q4" s="6">
        <f>IFERROR(tblSales[[#This Row],[NetSalesTRY]]/tblSales[[#This Row],[Units]],0)</f>
        <v>565.26562162162156</v>
      </c>
      <c r="R4" s="17">
        <f>IFERROR(tblSales[[#This Row],[NetSalesTRY]]/tblSales[[#This Row],[TargetTRY]],0)</f>
        <v>0.92649229833377089</v>
      </c>
      <c r="S4" s="6">
        <f>tblSales[[#This Row],[NetSalesTRY]]-tblSales[[#This Row],[TargetTRY]]</f>
        <v>-8296.89</v>
      </c>
      <c r="T4" s="6">
        <f>MAX(tblSales[[#This Row],[TargetTRY]]-tblSales[[#This Row],[NetSalesTRY]],0)</f>
        <v>8296.89</v>
      </c>
    </row>
    <row r="5" spans="1:20">
      <c r="A5" t="s">
        <v>393</v>
      </c>
      <c r="B5" s="15">
        <v>45292</v>
      </c>
      <c r="C5" t="s">
        <v>19</v>
      </c>
      <c r="D5" t="s">
        <v>20</v>
      </c>
      <c r="E5" t="s">
        <v>34</v>
      </c>
      <c r="F5" t="s">
        <v>32</v>
      </c>
      <c r="G5" t="s">
        <v>14</v>
      </c>
      <c r="H5" s="8">
        <v>102</v>
      </c>
      <c r="I5" s="9">
        <v>111736.02</v>
      </c>
      <c r="J5" s="9">
        <v>5008.1499999999996</v>
      </c>
      <c r="K5" s="9">
        <v>536.73</v>
      </c>
      <c r="L5" s="9">
        <v>106191.14</v>
      </c>
      <c r="M5" s="9">
        <v>104910.25</v>
      </c>
      <c r="N5" s="6" t="str">
        <f>_xlfn.XLOOKUP(tblSales[[#This Row],[ProductID]],tblProducts[ProductID],tblProducts[ProductName],"Not Found")</f>
        <v>NeuroCalm</v>
      </c>
      <c r="O5" s="8">
        <f>YEAR(tblSales[[#This Row],[Month]])</f>
        <v>2024</v>
      </c>
      <c r="P5" s="8">
        <f>MONTH(tblSales[[#This Row],[Month]])</f>
        <v>1</v>
      </c>
      <c r="Q5" s="6">
        <f>IFERROR(tblSales[[#This Row],[NetSalesTRY]]/tblSales[[#This Row],[Units]],0)</f>
        <v>1041.0896078431372</v>
      </c>
      <c r="R5" s="17">
        <f>IFERROR(tblSales[[#This Row],[NetSalesTRY]]/tblSales[[#This Row],[TargetTRY]],0)</f>
        <v>1.0122093885011236</v>
      </c>
      <c r="S5" s="6">
        <f>tblSales[[#This Row],[NetSalesTRY]]-tblSales[[#This Row],[TargetTRY]]</f>
        <v>1280.8899999999994</v>
      </c>
      <c r="T5" s="6">
        <f>MAX(tblSales[[#This Row],[TargetTRY]]-tblSales[[#This Row],[NetSalesTRY]],0)</f>
        <v>0</v>
      </c>
    </row>
    <row r="6" spans="1:20">
      <c r="A6" t="s">
        <v>394</v>
      </c>
      <c r="B6" s="15">
        <v>45292</v>
      </c>
      <c r="C6" t="s">
        <v>19</v>
      </c>
      <c r="D6" t="s">
        <v>20</v>
      </c>
      <c r="E6" t="s">
        <v>37</v>
      </c>
      <c r="F6" t="s">
        <v>35</v>
      </c>
      <c r="G6" t="s">
        <v>5</v>
      </c>
      <c r="H6" s="8">
        <v>140</v>
      </c>
      <c r="I6" s="9">
        <v>138288.82</v>
      </c>
      <c r="J6" s="9">
        <v>10193.68</v>
      </c>
      <c r="K6" s="9">
        <v>609.6</v>
      </c>
      <c r="L6" s="9">
        <v>127485.55</v>
      </c>
      <c r="M6" s="9">
        <v>125038.9</v>
      </c>
      <c r="N6" s="6" t="str">
        <f>_xlfn.XLOOKUP(tblSales[[#This Row],[ProductID]],tblProducts[ProductID],tblProducts[ProductName],"Not Found")</f>
        <v>Cardiovan</v>
      </c>
      <c r="O6" s="8">
        <f>YEAR(tblSales[[#This Row],[Month]])</f>
        <v>2024</v>
      </c>
      <c r="P6" s="8">
        <f>MONTH(tblSales[[#This Row],[Month]])</f>
        <v>1</v>
      </c>
      <c r="Q6" s="6">
        <f>IFERROR(tblSales[[#This Row],[NetSalesTRY]]/tblSales[[#This Row],[Units]],0)</f>
        <v>910.61107142857145</v>
      </c>
      <c r="R6" s="17">
        <f>IFERROR(tblSales[[#This Row],[NetSalesTRY]]/tblSales[[#This Row],[TargetTRY]],0)</f>
        <v>1.0195671107151456</v>
      </c>
      <c r="S6" s="6">
        <f>tblSales[[#This Row],[NetSalesTRY]]-tblSales[[#This Row],[TargetTRY]]</f>
        <v>2446.6500000000087</v>
      </c>
      <c r="T6" s="6">
        <f>MAX(tblSales[[#This Row],[TargetTRY]]-tblSales[[#This Row],[NetSalesTRY]],0)</f>
        <v>0</v>
      </c>
    </row>
    <row r="7" spans="1:20">
      <c r="A7" t="s">
        <v>395</v>
      </c>
      <c r="B7" s="15">
        <v>45292</v>
      </c>
      <c r="C7" t="s">
        <v>19</v>
      </c>
      <c r="D7" t="s">
        <v>20</v>
      </c>
      <c r="E7" t="s">
        <v>37</v>
      </c>
      <c r="F7" t="s">
        <v>35</v>
      </c>
      <c r="G7" t="s">
        <v>8</v>
      </c>
      <c r="H7" s="8">
        <v>161</v>
      </c>
      <c r="I7" s="9">
        <v>123883.59</v>
      </c>
      <c r="J7" s="9">
        <v>5820.1</v>
      </c>
      <c r="K7" s="9">
        <v>1656.55</v>
      </c>
      <c r="L7" s="9">
        <v>116406.94</v>
      </c>
      <c r="M7" s="9">
        <v>114943.69</v>
      </c>
      <c r="N7" s="6" t="str">
        <f>_xlfn.XLOOKUP(tblSales[[#This Row],[ProductID]],tblProducts[ProductID],tblProducts[ProductName],"Not Found")</f>
        <v>GlucoRelief</v>
      </c>
      <c r="O7" s="8">
        <f>YEAR(tblSales[[#This Row],[Month]])</f>
        <v>2024</v>
      </c>
      <c r="P7" s="8">
        <f>MONTH(tblSales[[#This Row],[Month]])</f>
        <v>1</v>
      </c>
      <c r="Q7" s="6">
        <f>IFERROR(tblSales[[#This Row],[NetSalesTRY]]/tblSales[[#This Row],[Units]],0)</f>
        <v>723.02447204968951</v>
      </c>
      <c r="R7" s="17">
        <f>IFERROR(tblSales[[#This Row],[NetSalesTRY]]/tblSales[[#This Row],[TargetTRY]],0)</f>
        <v>1.0127301463873311</v>
      </c>
      <c r="S7" s="6">
        <f>tblSales[[#This Row],[NetSalesTRY]]-tblSales[[#This Row],[TargetTRY]]</f>
        <v>1463.25</v>
      </c>
      <c r="T7" s="6">
        <f>MAX(tblSales[[#This Row],[TargetTRY]]-tblSales[[#This Row],[NetSalesTRY]],0)</f>
        <v>0</v>
      </c>
    </row>
    <row r="8" spans="1:20">
      <c r="A8" t="s">
        <v>396</v>
      </c>
      <c r="B8" s="15">
        <v>45292</v>
      </c>
      <c r="C8" t="s">
        <v>19</v>
      </c>
      <c r="D8" t="s">
        <v>20</v>
      </c>
      <c r="E8" t="s">
        <v>37</v>
      </c>
      <c r="F8" t="s">
        <v>35</v>
      </c>
      <c r="G8" t="s">
        <v>11</v>
      </c>
      <c r="H8" s="8">
        <v>187</v>
      </c>
      <c r="I8" s="9">
        <v>114288.24</v>
      </c>
      <c r="J8" s="9">
        <v>4874.68</v>
      </c>
      <c r="K8" s="9">
        <v>790.97</v>
      </c>
      <c r="L8" s="9">
        <v>108622.59</v>
      </c>
      <c r="M8" s="9">
        <v>114956.91</v>
      </c>
      <c r="N8" s="6" t="str">
        <f>_xlfn.XLOOKUP(tblSales[[#This Row],[ProductID]],tblProducts[ProductID],tblProducts[ProductName],"Not Found")</f>
        <v>RespiraX</v>
      </c>
      <c r="O8" s="8">
        <f>YEAR(tblSales[[#This Row],[Month]])</f>
        <v>2024</v>
      </c>
      <c r="P8" s="8">
        <f>MONTH(tblSales[[#This Row],[Month]])</f>
        <v>1</v>
      </c>
      <c r="Q8" s="6">
        <f>IFERROR(tblSales[[#This Row],[NetSalesTRY]]/tblSales[[#This Row],[Units]],0)</f>
        <v>580.86946524064172</v>
      </c>
      <c r="R8" s="17">
        <f>IFERROR(tblSales[[#This Row],[NetSalesTRY]]/tblSales[[#This Row],[TargetTRY]],0)</f>
        <v>0.94489831015812786</v>
      </c>
      <c r="S8" s="6">
        <f>tblSales[[#This Row],[NetSalesTRY]]-tblSales[[#This Row],[TargetTRY]]</f>
        <v>-6334.320000000007</v>
      </c>
      <c r="T8" s="6">
        <f>MAX(tblSales[[#This Row],[TargetTRY]]-tblSales[[#This Row],[NetSalesTRY]],0)</f>
        <v>6334.320000000007</v>
      </c>
    </row>
    <row r="9" spans="1:20">
      <c r="A9" t="s">
        <v>397</v>
      </c>
      <c r="B9" s="15">
        <v>45292</v>
      </c>
      <c r="C9" t="s">
        <v>19</v>
      </c>
      <c r="D9" t="s">
        <v>20</v>
      </c>
      <c r="E9" t="s">
        <v>37</v>
      </c>
      <c r="F9" t="s">
        <v>35</v>
      </c>
      <c r="G9" t="s">
        <v>14</v>
      </c>
      <c r="H9" s="8">
        <v>104</v>
      </c>
      <c r="I9" s="9">
        <v>113587.74</v>
      </c>
      <c r="J9" s="9">
        <v>4717.3900000000003</v>
      </c>
      <c r="K9" s="9">
        <v>1004.18</v>
      </c>
      <c r="L9" s="9">
        <v>107866.18</v>
      </c>
      <c r="M9" s="9">
        <v>106772.29</v>
      </c>
      <c r="N9" s="6" t="str">
        <f>_xlfn.XLOOKUP(tblSales[[#This Row],[ProductID]],tblProducts[ProductID],tblProducts[ProductName],"Not Found")</f>
        <v>NeuroCalm</v>
      </c>
      <c r="O9" s="8">
        <f>YEAR(tblSales[[#This Row],[Month]])</f>
        <v>2024</v>
      </c>
      <c r="P9" s="8">
        <f>MONTH(tblSales[[#This Row],[Month]])</f>
        <v>1</v>
      </c>
      <c r="Q9" s="6">
        <f>IFERROR(tblSales[[#This Row],[NetSalesTRY]]/tblSales[[#This Row],[Units]],0)</f>
        <v>1037.1748076923077</v>
      </c>
      <c r="R9" s="17">
        <f>IFERROR(tblSales[[#This Row],[NetSalesTRY]]/tblSales[[#This Row],[TargetTRY]],0)</f>
        <v>1.0102450738857431</v>
      </c>
      <c r="S9" s="6">
        <f>tblSales[[#This Row],[NetSalesTRY]]-tblSales[[#This Row],[TargetTRY]]</f>
        <v>1093.8899999999994</v>
      </c>
      <c r="T9" s="6">
        <f>MAX(tblSales[[#This Row],[TargetTRY]]-tblSales[[#This Row],[NetSalesTRY]],0)</f>
        <v>0</v>
      </c>
    </row>
    <row r="10" spans="1:20">
      <c r="A10" t="s">
        <v>398</v>
      </c>
      <c r="B10" s="15">
        <v>45292</v>
      </c>
      <c r="C10" t="s">
        <v>19</v>
      </c>
      <c r="D10" t="s">
        <v>20</v>
      </c>
      <c r="E10" t="s">
        <v>40</v>
      </c>
      <c r="F10" t="s">
        <v>38</v>
      </c>
      <c r="G10" t="s">
        <v>5</v>
      </c>
      <c r="H10" s="8">
        <v>148</v>
      </c>
      <c r="I10" s="9">
        <v>143636.18</v>
      </c>
      <c r="J10" s="9">
        <v>8973.76</v>
      </c>
      <c r="K10" s="9">
        <v>1478.47</v>
      </c>
      <c r="L10" s="9">
        <v>133183.96</v>
      </c>
      <c r="M10" s="9">
        <v>135751.06</v>
      </c>
      <c r="N10" s="6" t="str">
        <f>_xlfn.XLOOKUP(tblSales[[#This Row],[ProductID]],tblProducts[ProductID],tblProducts[ProductName],"Not Found")</f>
        <v>Cardiovan</v>
      </c>
      <c r="O10" s="8">
        <f>YEAR(tblSales[[#This Row],[Month]])</f>
        <v>2024</v>
      </c>
      <c r="P10" s="8">
        <f>MONTH(tblSales[[#This Row],[Month]])</f>
        <v>1</v>
      </c>
      <c r="Q10" s="6">
        <f>IFERROR(tblSales[[#This Row],[NetSalesTRY]]/tblSales[[#This Row],[Units]],0)</f>
        <v>899.89162162162154</v>
      </c>
      <c r="R10" s="17">
        <f>IFERROR(tblSales[[#This Row],[NetSalesTRY]]/tblSales[[#This Row],[TargetTRY]],0)</f>
        <v>0.98108965042335572</v>
      </c>
      <c r="S10" s="6">
        <f>tblSales[[#This Row],[NetSalesTRY]]-tblSales[[#This Row],[TargetTRY]]</f>
        <v>-2567.1000000000058</v>
      </c>
      <c r="T10" s="6">
        <f>MAX(tblSales[[#This Row],[TargetTRY]]-tblSales[[#This Row],[NetSalesTRY]],0)</f>
        <v>2567.1000000000058</v>
      </c>
    </row>
    <row r="11" spans="1:20">
      <c r="A11" t="s">
        <v>399</v>
      </c>
      <c r="B11" s="15">
        <v>45292</v>
      </c>
      <c r="C11" t="s">
        <v>19</v>
      </c>
      <c r="D11" t="s">
        <v>20</v>
      </c>
      <c r="E11" t="s">
        <v>40</v>
      </c>
      <c r="F11" t="s">
        <v>38</v>
      </c>
      <c r="G11" t="s">
        <v>8</v>
      </c>
      <c r="H11" s="8">
        <v>183</v>
      </c>
      <c r="I11" s="9">
        <v>139703.35</v>
      </c>
      <c r="J11" s="9">
        <v>5582.63</v>
      </c>
      <c r="K11" s="9">
        <v>1338.4</v>
      </c>
      <c r="L11" s="9">
        <v>132782.32</v>
      </c>
      <c r="M11" s="9">
        <v>128262.58</v>
      </c>
      <c r="N11" s="6" t="str">
        <f>_xlfn.XLOOKUP(tblSales[[#This Row],[ProductID]],tblProducts[ProductID],tblProducts[ProductName],"Not Found")</f>
        <v>GlucoRelief</v>
      </c>
      <c r="O11" s="8">
        <f>YEAR(tblSales[[#This Row],[Month]])</f>
        <v>2024</v>
      </c>
      <c r="P11" s="8">
        <f>MONTH(tblSales[[#This Row],[Month]])</f>
        <v>1</v>
      </c>
      <c r="Q11" s="6">
        <f>IFERROR(tblSales[[#This Row],[NetSalesTRY]]/tblSales[[#This Row],[Units]],0)</f>
        <v>725.58644808743168</v>
      </c>
      <c r="R11" s="17">
        <f>IFERROR(tblSales[[#This Row],[NetSalesTRY]]/tblSales[[#This Row],[TargetTRY]],0)</f>
        <v>1.035238180925411</v>
      </c>
      <c r="S11" s="6">
        <f>tblSales[[#This Row],[NetSalesTRY]]-tblSales[[#This Row],[TargetTRY]]</f>
        <v>4519.7400000000052</v>
      </c>
      <c r="T11" s="6">
        <f>MAX(tblSales[[#This Row],[TargetTRY]]-tblSales[[#This Row],[NetSalesTRY]],0)</f>
        <v>0</v>
      </c>
    </row>
    <row r="12" spans="1:20">
      <c r="A12" t="s">
        <v>400</v>
      </c>
      <c r="B12" s="15">
        <v>45292</v>
      </c>
      <c r="C12" t="s">
        <v>19</v>
      </c>
      <c r="D12" t="s">
        <v>20</v>
      </c>
      <c r="E12" t="s">
        <v>40</v>
      </c>
      <c r="F12" t="s">
        <v>38</v>
      </c>
      <c r="G12" t="s">
        <v>11</v>
      </c>
      <c r="H12" s="8">
        <v>217</v>
      </c>
      <c r="I12" s="9">
        <v>135587.93</v>
      </c>
      <c r="J12" s="9">
        <v>7474.07</v>
      </c>
      <c r="K12" s="9">
        <v>882.59</v>
      </c>
      <c r="L12" s="9">
        <v>127231.27</v>
      </c>
      <c r="M12" s="9">
        <v>125956.12</v>
      </c>
      <c r="N12" s="6" t="str">
        <f>_xlfn.XLOOKUP(tblSales[[#This Row],[ProductID]],tblProducts[ProductID],tblProducts[ProductName],"Not Found")</f>
        <v>RespiraX</v>
      </c>
      <c r="O12" s="8">
        <f>YEAR(tblSales[[#This Row],[Month]])</f>
        <v>2024</v>
      </c>
      <c r="P12" s="8">
        <f>MONTH(tblSales[[#This Row],[Month]])</f>
        <v>1</v>
      </c>
      <c r="Q12" s="6">
        <f>IFERROR(tblSales[[#This Row],[NetSalesTRY]]/tblSales[[#This Row],[Units]],0)</f>
        <v>586.31921658986175</v>
      </c>
      <c r="R12" s="17">
        <f>IFERROR(tblSales[[#This Row],[NetSalesTRY]]/tblSales[[#This Row],[TargetTRY]],0)</f>
        <v>1.0101237637361329</v>
      </c>
      <c r="S12" s="6">
        <f>tblSales[[#This Row],[NetSalesTRY]]-tblSales[[#This Row],[TargetTRY]]</f>
        <v>1275.1500000000087</v>
      </c>
      <c r="T12" s="6">
        <f>MAX(tblSales[[#This Row],[TargetTRY]]-tblSales[[#This Row],[NetSalesTRY]],0)</f>
        <v>0</v>
      </c>
    </row>
    <row r="13" spans="1:20">
      <c r="A13" t="s">
        <v>401</v>
      </c>
      <c r="B13" s="15">
        <v>45292</v>
      </c>
      <c r="C13" t="s">
        <v>19</v>
      </c>
      <c r="D13" t="s">
        <v>20</v>
      </c>
      <c r="E13" t="s">
        <v>40</v>
      </c>
      <c r="F13" t="s">
        <v>38</v>
      </c>
      <c r="G13" t="s">
        <v>14</v>
      </c>
      <c r="H13" s="8">
        <v>112</v>
      </c>
      <c r="I13" s="9">
        <v>121737.39</v>
      </c>
      <c r="J13" s="9">
        <v>5741.25</v>
      </c>
      <c r="K13" s="9">
        <v>918.36</v>
      </c>
      <c r="L13" s="9">
        <v>115077.78</v>
      </c>
      <c r="M13" s="9">
        <v>116455.01</v>
      </c>
      <c r="N13" s="6" t="str">
        <f>_xlfn.XLOOKUP(tblSales[[#This Row],[ProductID]],tblProducts[ProductID],tblProducts[ProductName],"Not Found")</f>
        <v>NeuroCalm</v>
      </c>
      <c r="O13" s="8">
        <f>YEAR(tblSales[[#This Row],[Month]])</f>
        <v>2024</v>
      </c>
      <c r="P13" s="8">
        <f>MONTH(tblSales[[#This Row],[Month]])</f>
        <v>1</v>
      </c>
      <c r="Q13" s="6">
        <f>IFERROR(tblSales[[#This Row],[NetSalesTRY]]/tblSales[[#This Row],[Units]],0)</f>
        <v>1027.4801785714285</v>
      </c>
      <c r="R13" s="17">
        <f>IFERROR(tblSales[[#This Row],[NetSalesTRY]]/tblSales[[#This Row],[TargetTRY]],0)</f>
        <v>0.98817371618447336</v>
      </c>
      <c r="S13" s="6">
        <f>tblSales[[#This Row],[NetSalesTRY]]-tblSales[[#This Row],[TargetTRY]]</f>
        <v>-1377.2299999999959</v>
      </c>
      <c r="T13" s="6">
        <f>MAX(tblSales[[#This Row],[TargetTRY]]-tblSales[[#This Row],[NetSalesTRY]],0)</f>
        <v>1377.2299999999959</v>
      </c>
    </row>
    <row r="14" spans="1:20">
      <c r="A14" t="s">
        <v>402</v>
      </c>
      <c r="B14" s="15">
        <v>45292</v>
      </c>
      <c r="C14" t="s">
        <v>21</v>
      </c>
      <c r="D14" t="s">
        <v>22</v>
      </c>
      <c r="E14" t="s">
        <v>43</v>
      </c>
      <c r="F14" t="s">
        <v>41</v>
      </c>
      <c r="G14" t="s">
        <v>5</v>
      </c>
      <c r="H14" s="8">
        <v>108</v>
      </c>
      <c r="I14" s="9">
        <v>106368.21</v>
      </c>
      <c r="J14" s="9">
        <v>3839.27</v>
      </c>
      <c r="K14" s="9">
        <v>1149.1300000000001</v>
      </c>
      <c r="L14" s="9">
        <v>101379.81</v>
      </c>
      <c r="M14" s="9">
        <v>100081</v>
      </c>
      <c r="N14" s="6" t="str">
        <f>_xlfn.XLOOKUP(tblSales[[#This Row],[ProductID]],tblProducts[ProductID],tblProducts[ProductName],"Not Found")</f>
        <v>Cardiovan</v>
      </c>
      <c r="O14" s="8">
        <f>YEAR(tblSales[[#This Row],[Month]])</f>
        <v>2024</v>
      </c>
      <c r="P14" s="8">
        <f>MONTH(tblSales[[#This Row],[Month]])</f>
        <v>1</v>
      </c>
      <c r="Q14" s="6">
        <f>IFERROR(tblSales[[#This Row],[NetSalesTRY]]/tblSales[[#This Row],[Units]],0)</f>
        <v>938.70194444444439</v>
      </c>
      <c r="R14" s="17">
        <f>IFERROR(tblSales[[#This Row],[NetSalesTRY]]/tblSales[[#This Row],[TargetTRY]],0)</f>
        <v>1.0129775881535956</v>
      </c>
      <c r="S14" s="6">
        <f>tblSales[[#This Row],[NetSalesTRY]]-tblSales[[#This Row],[TargetTRY]]</f>
        <v>1298.8099999999977</v>
      </c>
      <c r="T14" s="6">
        <f>MAX(tblSales[[#This Row],[TargetTRY]]-tblSales[[#This Row],[NetSalesTRY]],0)</f>
        <v>0</v>
      </c>
    </row>
    <row r="15" spans="1:20">
      <c r="A15" t="s">
        <v>403</v>
      </c>
      <c r="B15" s="15">
        <v>45292</v>
      </c>
      <c r="C15" t="s">
        <v>21</v>
      </c>
      <c r="D15" t="s">
        <v>22</v>
      </c>
      <c r="E15" t="s">
        <v>43</v>
      </c>
      <c r="F15" t="s">
        <v>41</v>
      </c>
      <c r="G15" t="s">
        <v>8</v>
      </c>
      <c r="H15" s="8">
        <v>132</v>
      </c>
      <c r="I15" s="9">
        <v>100311.16</v>
      </c>
      <c r="J15" s="9">
        <v>4903.32</v>
      </c>
      <c r="K15" s="9">
        <v>1161.06</v>
      </c>
      <c r="L15" s="9">
        <v>94246.77</v>
      </c>
      <c r="M15" s="9">
        <v>94025.76</v>
      </c>
      <c r="N15" s="6" t="str">
        <f>_xlfn.XLOOKUP(tblSales[[#This Row],[ProductID]],tblProducts[ProductID],tblProducts[ProductName],"Not Found")</f>
        <v>GlucoRelief</v>
      </c>
      <c r="O15" s="8">
        <f>YEAR(tblSales[[#This Row],[Month]])</f>
        <v>2024</v>
      </c>
      <c r="P15" s="8">
        <f>MONTH(tblSales[[#This Row],[Month]])</f>
        <v>1</v>
      </c>
      <c r="Q15" s="6">
        <f>IFERROR(tblSales[[#This Row],[NetSalesTRY]]/tblSales[[#This Row],[Units]],0)</f>
        <v>713.99068181818188</v>
      </c>
      <c r="R15" s="17">
        <f>IFERROR(tblSales[[#This Row],[NetSalesTRY]]/tblSales[[#This Row],[TargetTRY]],0)</f>
        <v>1.002350526068601</v>
      </c>
      <c r="S15" s="6">
        <f>tblSales[[#This Row],[NetSalesTRY]]-tblSales[[#This Row],[TargetTRY]]</f>
        <v>221.01000000000931</v>
      </c>
      <c r="T15" s="6">
        <f>MAX(tblSales[[#This Row],[TargetTRY]]-tblSales[[#This Row],[NetSalesTRY]],0)</f>
        <v>0</v>
      </c>
    </row>
    <row r="16" spans="1:20">
      <c r="A16" t="s">
        <v>404</v>
      </c>
      <c r="B16" s="15">
        <v>45292</v>
      </c>
      <c r="C16" t="s">
        <v>21</v>
      </c>
      <c r="D16" t="s">
        <v>22</v>
      </c>
      <c r="E16" t="s">
        <v>43</v>
      </c>
      <c r="F16" t="s">
        <v>41</v>
      </c>
      <c r="G16" t="s">
        <v>11</v>
      </c>
      <c r="H16" s="8">
        <v>157</v>
      </c>
      <c r="I16" s="9">
        <v>96157.119999999995</v>
      </c>
      <c r="J16" s="9">
        <v>7097.98</v>
      </c>
      <c r="K16" s="9">
        <v>1059.24</v>
      </c>
      <c r="L16" s="9">
        <v>87999.9</v>
      </c>
      <c r="M16" s="9">
        <v>90455.97</v>
      </c>
      <c r="N16" s="6" t="str">
        <f>_xlfn.XLOOKUP(tblSales[[#This Row],[ProductID]],tblProducts[ProductID],tblProducts[ProductName],"Not Found")</f>
        <v>RespiraX</v>
      </c>
      <c r="O16" s="8">
        <f>YEAR(tblSales[[#This Row],[Month]])</f>
        <v>2024</v>
      </c>
      <c r="P16" s="8">
        <f>MONTH(tblSales[[#This Row],[Month]])</f>
        <v>1</v>
      </c>
      <c r="Q16" s="6">
        <f>IFERROR(tblSales[[#This Row],[NetSalesTRY]]/tblSales[[#This Row],[Units]],0)</f>
        <v>560.50891719745221</v>
      </c>
      <c r="R16" s="17">
        <f>IFERROR(tblSales[[#This Row],[NetSalesTRY]]/tblSales[[#This Row],[TargetTRY]],0)</f>
        <v>0.97284789494822721</v>
      </c>
      <c r="S16" s="6">
        <f>tblSales[[#This Row],[NetSalesTRY]]-tblSales[[#This Row],[TargetTRY]]</f>
        <v>-2456.070000000007</v>
      </c>
      <c r="T16" s="6">
        <f>MAX(tblSales[[#This Row],[TargetTRY]]-tblSales[[#This Row],[NetSalesTRY]],0)</f>
        <v>2456.070000000007</v>
      </c>
    </row>
    <row r="17" spans="1:20">
      <c r="A17" t="s">
        <v>405</v>
      </c>
      <c r="B17" s="15">
        <v>45292</v>
      </c>
      <c r="C17" t="s">
        <v>21</v>
      </c>
      <c r="D17" t="s">
        <v>22</v>
      </c>
      <c r="E17" t="s">
        <v>43</v>
      </c>
      <c r="F17" t="s">
        <v>41</v>
      </c>
      <c r="G17" t="s">
        <v>14</v>
      </c>
      <c r="H17" s="8">
        <v>78</v>
      </c>
      <c r="I17" s="9">
        <v>86208.41</v>
      </c>
      <c r="J17" s="9">
        <v>3846.54</v>
      </c>
      <c r="K17" s="9">
        <v>1086.9000000000001</v>
      </c>
      <c r="L17" s="9">
        <v>81274.98</v>
      </c>
      <c r="M17" s="9">
        <v>84006.82</v>
      </c>
      <c r="N17" s="6" t="str">
        <f>_xlfn.XLOOKUP(tblSales[[#This Row],[ProductID]],tblProducts[ProductID],tblProducts[ProductName],"Not Found")</f>
        <v>NeuroCalm</v>
      </c>
      <c r="O17" s="8">
        <f>YEAR(tblSales[[#This Row],[Month]])</f>
        <v>2024</v>
      </c>
      <c r="P17" s="8">
        <f>MONTH(tblSales[[#This Row],[Month]])</f>
        <v>1</v>
      </c>
      <c r="Q17" s="6">
        <f>IFERROR(tblSales[[#This Row],[NetSalesTRY]]/tblSales[[#This Row],[Units]],0)</f>
        <v>1041.9869230769229</v>
      </c>
      <c r="R17" s="17">
        <f>IFERROR(tblSales[[#This Row],[NetSalesTRY]]/tblSales[[#This Row],[TargetTRY]],0)</f>
        <v>0.96748073549266578</v>
      </c>
      <c r="S17" s="6">
        <f>tblSales[[#This Row],[NetSalesTRY]]-tblSales[[#This Row],[TargetTRY]]</f>
        <v>-2731.8400000000111</v>
      </c>
      <c r="T17" s="6">
        <f>MAX(tblSales[[#This Row],[TargetTRY]]-tblSales[[#This Row],[NetSalesTRY]],0)</f>
        <v>2731.8400000000111</v>
      </c>
    </row>
    <row r="18" spans="1:20">
      <c r="A18" t="s">
        <v>406</v>
      </c>
      <c r="B18" s="15">
        <v>45292</v>
      </c>
      <c r="C18" t="s">
        <v>21</v>
      </c>
      <c r="D18" t="s">
        <v>22</v>
      </c>
      <c r="E18" t="s">
        <v>46</v>
      </c>
      <c r="F18" t="s">
        <v>44</v>
      </c>
      <c r="G18" t="s">
        <v>5</v>
      </c>
      <c r="H18" s="8">
        <v>97</v>
      </c>
      <c r="I18" s="9">
        <v>95318.63</v>
      </c>
      <c r="J18" s="9">
        <v>5354.09</v>
      </c>
      <c r="K18" s="9">
        <v>1301.8399999999999</v>
      </c>
      <c r="L18" s="9">
        <v>88662.7</v>
      </c>
      <c r="M18" s="9">
        <v>86394.69</v>
      </c>
      <c r="N18" s="6" t="str">
        <f>_xlfn.XLOOKUP(tblSales[[#This Row],[ProductID]],tblProducts[ProductID],tblProducts[ProductName],"Not Found")</f>
        <v>Cardiovan</v>
      </c>
      <c r="O18" s="8">
        <f>YEAR(tblSales[[#This Row],[Month]])</f>
        <v>2024</v>
      </c>
      <c r="P18" s="8">
        <f>MONTH(tblSales[[#This Row],[Month]])</f>
        <v>1</v>
      </c>
      <c r="Q18" s="6">
        <f>IFERROR(tblSales[[#This Row],[NetSalesTRY]]/tblSales[[#This Row],[Units]],0)</f>
        <v>914.04845360824743</v>
      </c>
      <c r="R18" s="17">
        <f>IFERROR(tblSales[[#This Row],[NetSalesTRY]]/tblSales[[#This Row],[TargetTRY]],0)</f>
        <v>1.02625172912826</v>
      </c>
      <c r="S18" s="6">
        <f>tblSales[[#This Row],[NetSalesTRY]]-tblSales[[#This Row],[TargetTRY]]</f>
        <v>2268.0099999999948</v>
      </c>
      <c r="T18" s="6">
        <f>MAX(tblSales[[#This Row],[TargetTRY]]-tblSales[[#This Row],[NetSalesTRY]],0)</f>
        <v>0</v>
      </c>
    </row>
    <row r="19" spans="1:20">
      <c r="A19" t="s">
        <v>407</v>
      </c>
      <c r="B19" s="15">
        <v>45292</v>
      </c>
      <c r="C19" t="s">
        <v>21</v>
      </c>
      <c r="D19" t="s">
        <v>22</v>
      </c>
      <c r="E19" t="s">
        <v>46</v>
      </c>
      <c r="F19" t="s">
        <v>44</v>
      </c>
      <c r="G19" t="s">
        <v>8</v>
      </c>
      <c r="H19" s="8">
        <v>113</v>
      </c>
      <c r="I19" s="9">
        <v>85774.55</v>
      </c>
      <c r="J19" s="9">
        <v>3585.71</v>
      </c>
      <c r="K19" s="9">
        <v>392.68</v>
      </c>
      <c r="L19" s="9">
        <v>81796.160000000003</v>
      </c>
      <c r="M19" s="9">
        <v>81008.149999999994</v>
      </c>
      <c r="N19" s="6" t="str">
        <f>_xlfn.XLOOKUP(tblSales[[#This Row],[ProductID]],tblProducts[ProductID],tblProducts[ProductName],"Not Found")</f>
        <v>GlucoRelief</v>
      </c>
      <c r="O19" s="8">
        <f>YEAR(tblSales[[#This Row],[Month]])</f>
        <v>2024</v>
      </c>
      <c r="P19" s="8">
        <f>MONTH(tblSales[[#This Row],[Month]])</f>
        <v>1</v>
      </c>
      <c r="Q19" s="6">
        <f>IFERROR(tblSales[[#This Row],[NetSalesTRY]]/tblSales[[#This Row],[Units]],0)</f>
        <v>723.85982300884962</v>
      </c>
      <c r="R19" s="17">
        <f>IFERROR(tblSales[[#This Row],[NetSalesTRY]]/tblSales[[#This Row],[TargetTRY]],0)</f>
        <v>1.0097275397598884</v>
      </c>
      <c r="S19" s="6">
        <f>tblSales[[#This Row],[NetSalesTRY]]-tblSales[[#This Row],[TargetTRY]]</f>
        <v>788.01000000000931</v>
      </c>
      <c r="T19" s="6">
        <f>MAX(tblSales[[#This Row],[TargetTRY]]-tblSales[[#This Row],[NetSalesTRY]],0)</f>
        <v>0</v>
      </c>
    </row>
    <row r="20" spans="1:20">
      <c r="A20" t="s">
        <v>408</v>
      </c>
      <c r="B20" s="15">
        <v>45292</v>
      </c>
      <c r="C20" t="s">
        <v>21</v>
      </c>
      <c r="D20" t="s">
        <v>22</v>
      </c>
      <c r="E20" t="s">
        <v>46</v>
      </c>
      <c r="F20" t="s">
        <v>44</v>
      </c>
      <c r="G20" t="s">
        <v>11</v>
      </c>
      <c r="H20" s="8">
        <v>130</v>
      </c>
      <c r="I20" s="9">
        <v>81366.33</v>
      </c>
      <c r="J20" s="9">
        <v>4620.32</v>
      </c>
      <c r="K20" s="9">
        <v>462.77</v>
      </c>
      <c r="L20" s="9">
        <v>76283.25</v>
      </c>
      <c r="M20" s="9">
        <v>81185.94</v>
      </c>
      <c r="N20" s="6" t="str">
        <f>_xlfn.XLOOKUP(tblSales[[#This Row],[ProductID]],tblProducts[ProductID],tblProducts[ProductName],"Not Found")</f>
        <v>RespiraX</v>
      </c>
      <c r="O20" s="8">
        <f>YEAR(tblSales[[#This Row],[Month]])</f>
        <v>2024</v>
      </c>
      <c r="P20" s="8">
        <f>MONTH(tblSales[[#This Row],[Month]])</f>
        <v>1</v>
      </c>
      <c r="Q20" s="6">
        <f>IFERROR(tblSales[[#This Row],[NetSalesTRY]]/tblSales[[#This Row],[Units]],0)</f>
        <v>586.79423076923081</v>
      </c>
      <c r="R20" s="17">
        <f>IFERROR(tblSales[[#This Row],[NetSalesTRY]]/tblSales[[#This Row],[TargetTRY]],0)</f>
        <v>0.93961158791780941</v>
      </c>
      <c r="S20" s="6">
        <f>tblSales[[#This Row],[NetSalesTRY]]-tblSales[[#This Row],[TargetTRY]]</f>
        <v>-4902.6900000000023</v>
      </c>
      <c r="T20" s="6">
        <f>MAX(tblSales[[#This Row],[TargetTRY]]-tblSales[[#This Row],[NetSalesTRY]],0)</f>
        <v>4902.6900000000023</v>
      </c>
    </row>
    <row r="21" spans="1:20">
      <c r="A21" t="s">
        <v>409</v>
      </c>
      <c r="B21" s="15">
        <v>45292</v>
      </c>
      <c r="C21" t="s">
        <v>21</v>
      </c>
      <c r="D21" t="s">
        <v>22</v>
      </c>
      <c r="E21" t="s">
        <v>46</v>
      </c>
      <c r="F21" t="s">
        <v>44</v>
      </c>
      <c r="G21" t="s">
        <v>14</v>
      </c>
      <c r="H21" s="8">
        <v>77</v>
      </c>
      <c r="I21" s="9">
        <v>85217.07</v>
      </c>
      <c r="J21" s="9">
        <v>4715.17</v>
      </c>
      <c r="K21" s="9">
        <v>789.39</v>
      </c>
      <c r="L21" s="9">
        <v>79712.5</v>
      </c>
      <c r="M21" s="9">
        <v>74610.880000000005</v>
      </c>
      <c r="N21" s="6" t="str">
        <f>_xlfn.XLOOKUP(tblSales[[#This Row],[ProductID]],tblProducts[ProductID],tblProducts[ProductName],"Not Found")</f>
        <v>NeuroCalm</v>
      </c>
      <c r="O21" s="8">
        <f>YEAR(tblSales[[#This Row],[Month]])</f>
        <v>2024</v>
      </c>
      <c r="P21" s="8">
        <f>MONTH(tblSales[[#This Row],[Month]])</f>
        <v>1</v>
      </c>
      <c r="Q21" s="6">
        <f>IFERROR(tblSales[[#This Row],[NetSalesTRY]]/tblSales[[#This Row],[Units]],0)</f>
        <v>1035.2272727272727</v>
      </c>
      <c r="R21" s="17">
        <f>IFERROR(tblSales[[#This Row],[NetSalesTRY]]/tblSales[[#This Row],[TargetTRY]],0)</f>
        <v>1.0683763547622009</v>
      </c>
      <c r="S21" s="6">
        <f>tblSales[[#This Row],[NetSalesTRY]]-tblSales[[#This Row],[TargetTRY]]</f>
        <v>5101.6199999999953</v>
      </c>
      <c r="T21" s="6">
        <f>MAX(tblSales[[#This Row],[TargetTRY]]-tblSales[[#This Row],[NetSalesTRY]],0)</f>
        <v>0</v>
      </c>
    </row>
    <row r="22" spans="1:20">
      <c r="A22" t="s">
        <v>410</v>
      </c>
      <c r="B22" s="15">
        <v>45292</v>
      </c>
      <c r="C22" t="s">
        <v>21</v>
      </c>
      <c r="D22" t="s">
        <v>22</v>
      </c>
      <c r="E22" t="s">
        <v>49</v>
      </c>
      <c r="F22" t="s">
        <v>47</v>
      </c>
      <c r="G22" t="s">
        <v>5</v>
      </c>
      <c r="H22" s="8">
        <v>103</v>
      </c>
      <c r="I22" s="9">
        <v>99712.1</v>
      </c>
      <c r="J22" s="9">
        <v>5445.41</v>
      </c>
      <c r="K22" s="9">
        <v>1078.31</v>
      </c>
      <c r="L22" s="9">
        <v>93188.38</v>
      </c>
      <c r="M22" s="9">
        <v>99601.45</v>
      </c>
      <c r="N22" s="6" t="str">
        <f>_xlfn.XLOOKUP(tblSales[[#This Row],[ProductID]],tblProducts[ProductID],tblProducts[ProductName],"Not Found")</f>
        <v>Cardiovan</v>
      </c>
      <c r="O22" s="8">
        <f>YEAR(tblSales[[#This Row],[Month]])</f>
        <v>2024</v>
      </c>
      <c r="P22" s="8">
        <f>MONTH(tblSales[[#This Row],[Month]])</f>
        <v>1</v>
      </c>
      <c r="Q22" s="6">
        <f>IFERROR(tblSales[[#This Row],[NetSalesTRY]]/tblSales[[#This Row],[Units]],0)</f>
        <v>904.74155339805827</v>
      </c>
      <c r="R22" s="17">
        <f>IFERROR(tblSales[[#This Row],[NetSalesTRY]]/tblSales[[#This Row],[TargetTRY]],0)</f>
        <v>0.93561268435349088</v>
      </c>
      <c r="S22" s="6">
        <f>tblSales[[#This Row],[NetSalesTRY]]-tblSales[[#This Row],[TargetTRY]]</f>
        <v>-6413.0699999999924</v>
      </c>
      <c r="T22" s="6">
        <f>MAX(tblSales[[#This Row],[TargetTRY]]-tblSales[[#This Row],[NetSalesTRY]],0)</f>
        <v>6413.0699999999924</v>
      </c>
    </row>
    <row r="23" spans="1:20">
      <c r="A23" t="s">
        <v>411</v>
      </c>
      <c r="B23" s="15">
        <v>45292</v>
      </c>
      <c r="C23" t="s">
        <v>21</v>
      </c>
      <c r="D23" t="s">
        <v>22</v>
      </c>
      <c r="E23" t="s">
        <v>49</v>
      </c>
      <c r="F23" t="s">
        <v>47</v>
      </c>
      <c r="G23" t="s">
        <v>8</v>
      </c>
      <c r="H23" s="8">
        <v>128</v>
      </c>
      <c r="I23" s="9">
        <v>96214.07</v>
      </c>
      <c r="J23" s="9">
        <v>3768.34</v>
      </c>
      <c r="K23" s="9">
        <v>463.19</v>
      </c>
      <c r="L23" s="9">
        <v>91982.53</v>
      </c>
      <c r="M23" s="9">
        <v>92834.55</v>
      </c>
      <c r="N23" s="6" t="str">
        <f>_xlfn.XLOOKUP(tblSales[[#This Row],[ProductID]],tblProducts[ProductID],tblProducts[ProductName],"Not Found")</f>
        <v>GlucoRelief</v>
      </c>
      <c r="O23" s="8">
        <f>YEAR(tblSales[[#This Row],[Month]])</f>
        <v>2024</v>
      </c>
      <c r="P23" s="8">
        <f>MONTH(tblSales[[#This Row],[Month]])</f>
        <v>1</v>
      </c>
      <c r="Q23" s="6">
        <f>IFERROR(tblSales[[#This Row],[NetSalesTRY]]/tblSales[[#This Row],[Units]],0)</f>
        <v>718.61351562499999</v>
      </c>
      <c r="R23" s="17">
        <f>IFERROR(tblSales[[#This Row],[NetSalesTRY]]/tblSales[[#This Row],[TargetTRY]],0)</f>
        <v>0.99082216696262326</v>
      </c>
      <c r="S23" s="6">
        <f>tblSales[[#This Row],[NetSalesTRY]]-tblSales[[#This Row],[TargetTRY]]</f>
        <v>-852.02000000000407</v>
      </c>
      <c r="T23" s="6">
        <f>MAX(tblSales[[#This Row],[TargetTRY]]-tblSales[[#This Row],[NetSalesTRY]],0)</f>
        <v>852.02000000000407</v>
      </c>
    </row>
    <row r="24" spans="1:20">
      <c r="A24" t="s">
        <v>412</v>
      </c>
      <c r="B24" s="15">
        <v>45292</v>
      </c>
      <c r="C24" t="s">
        <v>21</v>
      </c>
      <c r="D24" t="s">
        <v>22</v>
      </c>
      <c r="E24" t="s">
        <v>49</v>
      </c>
      <c r="F24" t="s">
        <v>47</v>
      </c>
      <c r="G24" t="s">
        <v>11</v>
      </c>
      <c r="H24" s="8">
        <v>160</v>
      </c>
      <c r="I24" s="9">
        <v>97984.65</v>
      </c>
      <c r="J24" s="9">
        <v>4660.71</v>
      </c>
      <c r="K24" s="9">
        <v>870.85</v>
      </c>
      <c r="L24" s="9">
        <v>92453.09</v>
      </c>
      <c r="M24" s="9">
        <v>91977.39</v>
      </c>
      <c r="N24" s="6" t="str">
        <f>_xlfn.XLOOKUP(tblSales[[#This Row],[ProductID]],tblProducts[ProductID],tblProducts[ProductName],"Not Found")</f>
        <v>RespiraX</v>
      </c>
      <c r="O24" s="8">
        <f>YEAR(tblSales[[#This Row],[Month]])</f>
        <v>2024</v>
      </c>
      <c r="P24" s="8">
        <f>MONTH(tblSales[[#This Row],[Month]])</f>
        <v>1</v>
      </c>
      <c r="Q24" s="6">
        <f>IFERROR(tblSales[[#This Row],[NetSalesTRY]]/tblSales[[#This Row],[Units]],0)</f>
        <v>577.83181249999996</v>
      </c>
      <c r="R24" s="17">
        <f>IFERROR(tblSales[[#This Row],[NetSalesTRY]]/tblSales[[#This Row],[TargetTRY]],0)</f>
        <v>1.0051719232302634</v>
      </c>
      <c r="S24" s="6">
        <f>tblSales[[#This Row],[NetSalesTRY]]-tblSales[[#This Row],[TargetTRY]]</f>
        <v>475.69999999999709</v>
      </c>
      <c r="T24" s="6">
        <f>MAX(tblSales[[#This Row],[TargetTRY]]-tblSales[[#This Row],[NetSalesTRY]],0)</f>
        <v>0</v>
      </c>
    </row>
    <row r="25" spans="1:20">
      <c r="A25" t="s">
        <v>413</v>
      </c>
      <c r="B25" s="15">
        <v>45292</v>
      </c>
      <c r="C25" t="s">
        <v>21</v>
      </c>
      <c r="D25" t="s">
        <v>22</v>
      </c>
      <c r="E25" t="s">
        <v>49</v>
      </c>
      <c r="F25" t="s">
        <v>47</v>
      </c>
      <c r="G25" t="s">
        <v>14</v>
      </c>
      <c r="H25" s="8">
        <v>86</v>
      </c>
      <c r="I25" s="9">
        <v>93822.93</v>
      </c>
      <c r="J25" s="9">
        <v>3938.94</v>
      </c>
      <c r="K25" s="9">
        <v>1055.9100000000001</v>
      </c>
      <c r="L25" s="9">
        <v>88828.08</v>
      </c>
      <c r="M25" s="9">
        <v>85893.88</v>
      </c>
      <c r="N25" s="6" t="str">
        <f>_xlfn.XLOOKUP(tblSales[[#This Row],[ProductID]],tblProducts[ProductID],tblProducts[ProductName],"Not Found")</f>
        <v>NeuroCalm</v>
      </c>
      <c r="O25" s="8">
        <f>YEAR(tblSales[[#This Row],[Month]])</f>
        <v>2024</v>
      </c>
      <c r="P25" s="8">
        <f>MONTH(tblSales[[#This Row],[Month]])</f>
        <v>1</v>
      </c>
      <c r="Q25" s="6">
        <f>IFERROR(tblSales[[#This Row],[NetSalesTRY]]/tblSales[[#This Row],[Units]],0)</f>
        <v>1032.8846511627908</v>
      </c>
      <c r="R25" s="17">
        <f>IFERROR(tblSales[[#This Row],[NetSalesTRY]]/tblSales[[#This Row],[TargetTRY]],0)</f>
        <v>1.0341607574369676</v>
      </c>
      <c r="S25" s="6">
        <f>tblSales[[#This Row],[NetSalesTRY]]-tblSales[[#This Row],[TargetTRY]]</f>
        <v>2934.1999999999971</v>
      </c>
      <c r="T25" s="6">
        <f>MAX(tblSales[[#This Row],[TargetTRY]]-tblSales[[#This Row],[NetSalesTRY]],0)</f>
        <v>0</v>
      </c>
    </row>
    <row r="26" spans="1:20">
      <c r="A26" t="s">
        <v>414</v>
      </c>
      <c r="B26" s="15">
        <v>45292</v>
      </c>
      <c r="C26" t="s">
        <v>23</v>
      </c>
      <c r="D26" t="s">
        <v>24</v>
      </c>
      <c r="E26" t="s">
        <v>52</v>
      </c>
      <c r="F26" t="s">
        <v>50</v>
      </c>
      <c r="G26" t="s">
        <v>5</v>
      </c>
      <c r="H26" s="8">
        <v>105</v>
      </c>
      <c r="I26" s="9">
        <v>102040.76</v>
      </c>
      <c r="J26" s="9">
        <v>4363.17</v>
      </c>
      <c r="K26" s="9">
        <v>1347.54</v>
      </c>
      <c r="L26" s="9">
        <v>96330.04</v>
      </c>
      <c r="M26" s="9">
        <v>98463.63</v>
      </c>
      <c r="N26" s="6" t="str">
        <f>_xlfn.XLOOKUP(tblSales[[#This Row],[ProductID]],tblProducts[ProductID],tblProducts[ProductName],"Not Found")</f>
        <v>Cardiovan</v>
      </c>
      <c r="O26" s="8">
        <f>YEAR(tblSales[[#This Row],[Month]])</f>
        <v>2024</v>
      </c>
      <c r="P26" s="8">
        <f>MONTH(tblSales[[#This Row],[Month]])</f>
        <v>1</v>
      </c>
      <c r="Q26" s="6">
        <f>IFERROR(tblSales[[#This Row],[NetSalesTRY]]/tblSales[[#This Row],[Units]],0)</f>
        <v>917.4289523809523</v>
      </c>
      <c r="R26" s="17">
        <f>IFERROR(tblSales[[#This Row],[NetSalesTRY]]/tblSales[[#This Row],[TargetTRY]],0)</f>
        <v>0.97833118685549159</v>
      </c>
      <c r="S26" s="6">
        <f>tblSales[[#This Row],[NetSalesTRY]]-tblSales[[#This Row],[TargetTRY]]</f>
        <v>-2133.5900000000111</v>
      </c>
      <c r="T26" s="6">
        <f>MAX(tblSales[[#This Row],[TargetTRY]]-tblSales[[#This Row],[NetSalesTRY]],0)</f>
        <v>2133.5900000000111</v>
      </c>
    </row>
    <row r="27" spans="1:20">
      <c r="A27" t="s">
        <v>415</v>
      </c>
      <c r="B27" s="15">
        <v>45292</v>
      </c>
      <c r="C27" t="s">
        <v>23</v>
      </c>
      <c r="D27" t="s">
        <v>24</v>
      </c>
      <c r="E27" t="s">
        <v>52</v>
      </c>
      <c r="F27" t="s">
        <v>50</v>
      </c>
      <c r="G27" t="s">
        <v>8</v>
      </c>
      <c r="H27" s="8">
        <v>135</v>
      </c>
      <c r="I27" s="9">
        <v>103484.39</v>
      </c>
      <c r="J27" s="9">
        <v>4041.79</v>
      </c>
      <c r="K27" s="9">
        <v>984.94</v>
      </c>
      <c r="L27" s="9">
        <v>98457.65</v>
      </c>
      <c r="M27" s="9">
        <v>93395.13</v>
      </c>
      <c r="N27" s="6" t="str">
        <f>_xlfn.XLOOKUP(tblSales[[#This Row],[ProductID]],tblProducts[ProductID],tblProducts[ProductName],"Not Found")</f>
        <v>GlucoRelief</v>
      </c>
      <c r="O27" s="8">
        <f>YEAR(tblSales[[#This Row],[Month]])</f>
        <v>2024</v>
      </c>
      <c r="P27" s="8">
        <f>MONTH(tblSales[[#This Row],[Month]])</f>
        <v>1</v>
      </c>
      <c r="Q27" s="6">
        <f>IFERROR(tblSales[[#This Row],[NetSalesTRY]]/tblSales[[#This Row],[Units]],0)</f>
        <v>729.31592592592585</v>
      </c>
      <c r="R27" s="17">
        <f>IFERROR(tblSales[[#This Row],[NetSalesTRY]]/tblSales[[#This Row],[TargetTRY]],0)</f>
        <v>1.0542053959344559</v>
      </c>
      <c r="S27" s="6">
        <f>tblSales[[#This Row],[NetSalesTRY]]-tblSales[[#This Row],[TargetTRY]]</f>
        <v>5062.5199999999895</v>
      </c>
      <c r="T27" s="6">
        <f>MAX(tblSales[[#This Row],[TargetTRY]]-tblSales[[#This Row],[NetSalesTRY]],0)</f>
        <v>0</v>
      </c>
    </row>
    <row r="28" spans="1:20">
      <c r="A28" t="s">
        <v>416</v>
      </c>
      <c r="B28" s="15">
        <v>45292</v>
      </c>
      <c r="C28" t="s">
        <v>23</v>
      </c>
      <c r="D28" t="s">
        <v>24</v>
      </c>
      <c r="E28" t="s">
        <v>52</v>
      </c>
      <c r="F28" t="s">
        <v>50</v>
      </c>
      <c r="G28" t="s">
        <v>11</v>
      </c>
      <c r="H28" s="8">
        <v>164</v>
      </c>
      <c r="I28" s="9">
        <v>101029.71</v>
      </c>
      <c r="J28" s="9">
        <v>5385.26</v>
      </c>
      <c r="K28" s="9">
        <v>932.59</v>
      </c>
      <c r="L28" s="9">
        <v>94711.86</v>
      </c>
      <c r="M28" s="9">
        <v>90207.56</v>
      </c>
      <c r="N28" s="6" t="str">
        <f>_xlfn.XLOOKUP(tblSales[[#This Row],[ProductID]],tblProducts[ProductID],tblProducts[ProductName],"Not Found")</f>
        <v>RespiraX</v>
      </c>
      <c r="O28" s="8">
        <f>YEAR(tblSales[[#This Row],[Month]])</f>
        <v>2024</v>
      </c>
      <c r="P28" s="8">
        <f>MONTH(tblSales[[#This Row],[Month]])</f>
        <v>1</v>
      </c>
      <c r="Q28" s="6">
        <f>IFERROR(tblSales[[#This Row],[NetSalesTRY]]/tblSales[[#This Row],[Units]],0)</f>
        <v>577.51134146341462</v>
      </c>
      <c r="R28" s="17">
        <f>IFERROR(tblSales[[#This Row],[NetSalesTRY]]/tblSales[[#This Row],[TargetTRY]],0)</f>
        <v>1.0499326220551803</v>
      </c>
      <c r="S28" s="6">
        <f>tblSales[[#This Row],[NetSalesTRY]]-tblSales[[#This Row],[TargetTRY]]</f>
        <v>4504.3000000000029</v>
      </c>
      <c r="T28" s="6">
        <f>MAX(tblSales[[#This Row],[TargetTRY]]-tblSales[[#This Row],[NetSalesTRY]],0)</f>
        <v>0</v>
      </c>
    </row>
    <row r="29" spans="1:20">
      <c r="A29" t="s">
        <v>417</v>
      </c>
      <c r="B29" s="15">
        <v>45292</v>
      </c>
      <c r="C29" t="s">
        <v>23</v>
      </c>
      <c r="D29" t="s">
        <v>24</v>
      </c>
      <c r="E29" t="s">
        <v>52</v>
      </c>
      <c r="F29" t="s">
        <v>50</v>
      </c>
      <c r="G29" t="s">
        <v>14</v>
      </c>
      <c r="H29" s="8">
        <v>80</v>
      </c>
      <c r="I29" s="9">
        <v>88650.55</v>
      </c>
      <c r="J29" s="9">
        <v>5907.89</v>
      </c>
      <c r="K29" s="9">
        <v>1056.71</v>
      </c>
      <c r="L29" s="9">
        <v>81685.95</v>
      </c>
      <c r="M29" s="9">
        <v>83830.87</v>
      </c>
      <c r="N29" s="6" t="str">
        <f>_xlfn.XLOOKUP(tblSales[[#This Row],[ProductID]],tblProducts[ProductID],tblProducts[ProductName],"Not Found")</f>
        <v>NeuroCalm</v>
      </c>
      <c r="O29" s="8">
        <f>YEAR(tblSales[[#This Row],[Month]])</f>
        <v>2024</v>
      </c>
      <c r="P29" s="8">
        <f>MONTH(tblSales[[#This Row],[Month]])</f>
        <v>1</v>
      </c>
      <c r="Q29" s="6">
        <f>IFERROR(tblSales[[#This Row],[NetSalesTRY]]/tblSales[[#This Row],[Units]],0)</f>
        <v>1021.0743749999999</v>
      </c>
      <c r="R29" s="17">
        <f>IFERROR(tblSales[[#This Row],[NetSalesTRY]]/tblSales[[#This Row],[TargetTRY]],0)</f>
        <v>0.97441372134155357</v>
      </c>
      <c r="S29" s="6">
        <f>tblSales[[#This Row],[NetSalesTRY]]-tblSales[[#This Row],[TargetTRY]]</f>
        <v>-2144.9199999999983</v>
      </c>
      <c r="T29" s="6">
        <f>MAX(tblSales[[#This Row],[TargetTRY]]-tblSales[[#This Row],[NetSalesTRY]],0)</f>
        <v>2144.9199999999983</v>
      </c>
    </row>
    <row r="30" spans="1:20">
      <c r="A30" t="s">
        <v>418</v>
      </c>
      <c r="B30" s="15">
        <v>45292</v>
      </c>
      <c r="C30" t="s">
        <v>23</v>
      </c>
      <c r="D30" t="s">
        <v>24</v>
      </c>
      <c r="E30" t="s">
        <v>55</v>
      </c>
      <c r="F30" t="s">
        <v>53</v>
      </c>
      <c r="G30" t="s">
        <v>5</v>
      </c>
      <c r="H30" s="8">
        <v>113</v>
      </c>
      <c r="I30" s="9">
        <v>109321.38</v>
      </c>
      <c r="J30" s="9">
        <v>6329.85</v>
      </c>
      <c r="K30" s="9">
        <v>954.53</v>
      </c>
      <c r="L30" s="9">
        <v>102037</v>
      </c>
      <c r="M30" s="9">
        <v>99753.62</v>
      </c>
      <c r="N30" s="6" t="str">
        <f>_xlfn.XLOOKUP(tblSales[[#This Row],[ProductID]],tblProducts[ProductID],tblProducts[ProductName],"Not Found")</f>
        <v>Cardiovan</v>
      </c>
      <c r="O30" s="8">
        <f>YEAR(tblSales[[#This Row],[Month]])</f>
        <v>2024</v>
      </c>
      <c r="P30" s="8">
        <f>MONTH(tblSales[[#This Row],[Month]])</f>
        <v>1</v>
      </c>
      <c r="Q30" s="6">
        <f>IFERROR(tblSales[[#This Row],[NetSalesTRY]]/tblSales[[#This Row],[Units]],0)</f>
        <v>902.98230088495575</v>
      </c>
      <c r="R30" s="17">
        <f>IFERROR(tblSales[[#This Row],[NetSalesTRY]]/tblSales[[#This Row],[TargetTRY]],0)</f>
        <v>1.022890196867041</v>
      </c>
      <c r="S30" s="6">
        <f>tblSales[[#This Row],[NetSalesTRY]]-tblSales[[#This Row],[TargetTRY]]</f>
        <v>2283.3800000000047</v>
      </c>
      <c r="T30" s="6">
        <f>MAX(tblSales[[#This Row],[TargetTRY]]-tblSales[[#This Row],[NetSalesTRY]],0)</f>
        <v>0</v>
      </c>
    </row>
    <row r="31" spans="1:20">
      <c r="A31" t="s">
        <v>419</v>
      </c>
      <c r="B31" s="15">
        <v>45292</v>
      </c>
      <c r="C31" t="s">
        <v>23</v>
      </c>
      <c r="D31" t="s">
        <v>24</v>
      </c>
      <c r="E31" t="s">
        <v>55</v>
      </c>
      <c r="F31" t="s">
        <v>53</v>
      </c>
      <c r="G31" t="s">
        <v>8</v>
      </c>
      <c r="H31" s="8">
        <v>136</v>
      </c>
      <c r="I31" s="9">
        <v>103996.12</v>
      </c>
      <c r="J31" s="9">
        <v>7516.26</v>
      </c>
      <c r="K31" s="9">
        <v>1071.47</v>
      </c>
      <c r="L31" s="9">
        <v>95408.39</v>
      </c>
      <c r="M31" s="9">
        <v>92733.15</v>
      </c>
      <c r="N31" s="6" t="str">
        <f>_xlfn.XLOOKUP(tblSales[[#This Row],[ProductID]],tblProducts[ProductID],tblProducts[ProductName],"Not Found")</f>
        <v>GlucoRelief</v>
      </c>
      <c r="O31" s="8">
        <f>YEAR(tblSales[[#This Row],[Month]])</f>
        <v>2024</v>
      </c>
      <c r="P31" s="8">
        <f>MONTH(tblSales[[#This Row],[Month]])</f>
        <v>1</v>
      </c>
      <c r="Q31" s="6">
        <f>IFERROR(tblSales[[#This Row],[NetSalesTRY]]/tblSales[[#This Row],[Units]],0)</f>
        <v>701.53227941176465</v>
      </c>
      <c r="R31" s="17">
        <f>IFERROR(tblSales[[#This Row],[NetSalesTRY]]/tblSales[[#This Row],[TargetTRY]],0)</f>
        <v>1.0288487989462236</v>
      </c>
      <c r="S31" s="6">
        <f>tblSales[[#This Row],[NetSalesTRY]]-tblSales[[#This Row],[TargetTRY]]</f>
        <v>2675.2400000000052</v>
      </c>
      <c r="T31" s="6">
        <f>MAX(tblSales[[#This Row],[TargetTRY]]-tblSales[[#This Row],[NetSalesTRY]],0)</f>
        <v>0</v>
      </c>
    </row>
    <row r="32" spans="1:20">
      <c r="A32" t="s">
        <v>420</v>
      </c>
      <c r="B32" s="15">
        <v>45292</v>
      </c>
      <c r="C32" t="s">
        <v>23</v>
      </c>
      <c r="D32" t="s">
        <v>24</v>
      </c>
      <c r="E32" t="s">
        <v>55</v>
      </c>
      <c r="F32" t="s">
        <v>53</v>
      </c>
      <c r="G32" t="s">
        <v>11</v>
      </c>
      <c r="H32" s="8">
        <v>161</v>
      </c>
      <c r="I32" s="9">
        <v>99171.87</v>
      </c>
      <c r="J32" s="9">
        <v>6745.67</v>
      </c>
      <c r="K32" s="9">
        <v>962.78</v>
      </c>
      <c r="L32" s="9">
        <v>91463.43</v>
      </c>
      <c r="M32" s="9">
        <v>90487.25</v>
      </c>
      <c r="N32" s="6" t="str">
        <f>_xlfn.XLOOKUP(tblSales[[#This Row],[ProductID]],tblProducts[ProductID],tblProducts[ProductName],"Not Found")</f>
        <v>RespiraX</v>
      </c>
      <c r="O32" s="8">
        <f>YEAR(tblSales[[#This Row],[Month]])</f>
        <v>2024</v>
      </c>
      <c r="P32" s="8">
        <f>MONTH(tblSales[[#This Row],[Month]])</f>
        <v>1</v>
      </c>
      <c r="Q32" s="6">
        <f>IFERROR(tblSales[[#This Row],[NetSalesTRY]]/tblSales[[#This Row],[Units]],0)</f>
        <v>568.09583850931676</v>
      </c>
      <c r="R32" s="17">
        <f>IFERROR(tblSales[[#This Row],[NetSalesTRY]]/tblSales[[#This Row],[TargetTRY]],0)</f>
        <v>1.0107880391988926</v>
      </c>
      <c r="S32" s="6">
        <f>tblSales[[#This Row],[NetSalesTRY]]-tblSales[[#This Row],[TargetTRY]]</f>
        <v>976.17999999999302</v>
      </c>
      <c r="T32" s="6">
        <f>MAX(tblSales[[#This Row],[TargetTRY]]-tblSales[[#This Row],[NetSalesTRY]],0)</f>
        <v>0</v>
      </c>
    </row>
    <row r="33" spans="1:20">
      <c r="A33" t="s">
        <v>421</v>
      </c>
      <c r="B33" s="15">
        <v>45292</v>
      </c>
      <c r="C33" t="s">
        <v>23</v>
      </c>
      <c r="D33" t="s">
        <v>24</v>
      </c>
      <c r="E33" t="s">
        <v>55</v>
      </c>
      <c r="F33" t="s">
        <v>53</v>
      </c>
      <c r="G33" t="s">
        <v>14</v>
      </c>
      <c r="H33" s="8">
        <v>78</v>
      </c>
      <c r="I33" s="9">
        <v>86972.6</v>
      </c>
      <c r="J33" s="9">
        <v>5449.86</v>
      </c>
      <c r="K33" s="9">
        <v>565.41</v>
      </c>
      <c r="L33" s="9">
        <v>80957.33</v>
      </c>
      <c r="M33" s="9">
        <v>86572.94</v>
      </c>
      <c r="N33" s="6" t="str">
        <f>_xlfn.XLOOKUP(tblSales[[#This Row],[ProductID]],tblProducts[ProductID],tblProducts[ProductName],"Not Found")</f>
        <v>NeuroCalm</v>
      </c>
      <c r="O33" s="8">
        <f>YEAR(tblSales[[#This Row],[Month]])</f>
        <v>2024</v>
      </c>
      <c r="P33" s="8">
        <f>MONTH(tblSales[[#This Row],[Month]])</f>
        <v>1</v>
      </c>
      <c r="Q33" s="6">
        <f>IFERROR(tblSales[[#This Row],[NetSalesTRY]]/tblSales[[#This Row],[Units]],0)</f>
        <v>1037.9144871794872</v>
      </c>
      <c r="R33" s="17">
        <f>IFERROR(tblSales[[#This Row],[NetSalesTRY]]/tblSales[[#This Row],[TargetTRY]],0)</f>
        <v>0.9351343502946764</v>
      </c>
      <c r="S33" s="6">
        <f>tblSales[[#This Row],[NetSalesTRY]]-tblSales[[#This Row],[TargetTRY]]</f>
        <v>-5615.6100000000006</v>
      </c>
      <c r="T33" s="6">
        <f>MAX(tblSales[[#This Row],[TargetTRY]]-tblSales[[#This Row],[NetSalesTRY]],0)</f>
        <v>5615.6100000000006</v>
      </c>
    </row>
    <row r="34" spans="1:20">
      <c r="A34" t="s">
        <v>422</v>
      </c>
      <c r="B34" s="15">
        <v>45292</v>
      </c>
      <c r="C34" t="s">
        <v>23</v>
      </c>
      <c r="D34" t="s">
        <v>24</v>
      </c>
      <c r="E34" t="s">
        <v>58</v>
      </c>
      <c r="F34" t="s">
        <v>56</v>
      </c>
      <c r="G34" t="s">
        <v>5</v>
      </c>
      <c r="H34" s="8">
        <v>114</v>
      </c>
      <c r="I34" s="9">
        <v>113131.51</v>
      </c>
      <c r="J34" s="9">
        <v>6493.5</v>
      </c>
      <c r="K34" s="9">
        <v>808.94</v>
      </c>
      <c r="L34" s="9">
        <v>105829.07</v>
      </c>
      <c r="M34" s="9">
        <v>102748.48</v>
      </c>
      <c r="N34" s="6" t="str">
        <f>_xlfn.XLOOKUP(tblSales[[#This Row],[ProductID]],tblProducts[ProductID],tblProducts[ProductName],"Not Found")</f>
        <v>Cardiovan</v>
      </c>
      <c r="O34" s="8">
        <f>YEAR(tblSales[[#This Row],[Month]])</f>
        <v>2024</v>
      </c>
      <c r="P34" s="8">
        <f>MONTH(tblSales[[#This Row],[Month]])</f>
        <v>1</v>
      </c>
      <c r="Q34" s="6">
        <f>IFERROR(tblSales[[#This Row],[NetSalesTRY]]/tblSales[[#This Row],[Units]],0)</f>
        <v>928.3251754385966</v>
      </c>
      <c r="R34" s="17">
        <f>IFERROR(tblSales[[#This Row],[NetSalesTRY]]/tblSales[[#This Row],[TargetTRY]],0)</f>
        <v>1.0299818547194082</v>
      </c>
      <c r="S34" s="6">
        <f>tblSales[[#This Row],[NetSalesTRY]]-tblSales[[#This Row],[TargetTRY]]</f>
        <v>3080.5900000000111</v>
      </c>
      <c r="T34" s="6">
        <f>MAX(tblSales[[#This Row],[TargetTRY]]-tblSales[[#This Row],[NetSalesTRY]],0)</f>
        <v>0</v>
      </c>
    </row>
    <row r="35" spans="1:20">
      <c r="A35" t="s">
        <v>423</v>
      </c>
      <c r="B35" s="15">
        <v>45292</v>
      </c>
      <c r="C35" t="s">
        <v>23</v>
      </c>
      <c r="D35" t="s">
        <v>24</v>
      </c>
      <c r="E35" t="s">
        <v>58</v>
      </c>
      <c r="F35" t="s">
        <v>56</v>
      </c>
      <c r="G35" t="s">
        <v>8</v>
      </c>
      <c r="H35" s="8">
        <v>126</v>
      </c>
      <c r="I35" s="9">
        <v>95185.64</v>
      </c>
      <c r="J35" s="9">
        <v>6842.36</v>
      </c>
      <c r="K35" s="9">
        <v>384.43</v>
      </c>
      <c r="L35" s="9">
        <v>87958.85</v>
      </c>
      <c r="M35" s="9">
        <v>96659.38</v>
      </c>
      <c r="N35" s="6" t="str">
        <f>_xlfn.XLOOKUP(tblSales[[#This Row],[ProductID]],tblProducts[ProductID],tblProducts[ProductName],"Not Found")</f>
        <v>GlucoRelief</v>
      </c>
      <c r="O35" s="8">
        <f>YEAR(tblSales[[#This Row],[Month]])</f>
        <v>2024</v>
      </c>
      <c r="P35" s="8">
        <f>MONTH(tblSales[[#This Row],[Month]])</f>
        <v>1</v>
      </c>
      <c r="Q35" s="6">
        <f>IFERROR(tblSales[[#This Row],[NetSalesTRY]]/tblSales[[#This Row],[Units]],0)</f>
        <v>698.08611111111111</v>
      </c>
      <c r="R35" s="17">
        <f>IFERROR(tblSales[[#This Row],[NetSalesTRY]]/tblSales[[#This Row],[TargetTRY]],0)</f>
        <v>0.90998773217870843</v>
      </c>
      <c r="S35" s="6">
        <f>tblSales[[#This Row],[NetSalesTRY]]-tblSales[[#This Row],[TargetTRY]]</f>
        <v>-8700.5299999999988</v>
      </c>
      <c r="T35" s="6">
        <f>MAX(tblSales[[#This Row],[TargetTRY]]-tblSales[[#This Row],[NetSalesTRY]],0)</f>
        <v>8700.5299999999988</v>
      </c>
    </row>
    <row r="36" spans="1:20">
      <c r="A36" t="s">
        <v>424</v>
      </c>
      <c r="B36" s="15">
        <v>45292</v>
      </c>
      <c r="C36" t="s">
        <v>23</v>
      </c>
      <c r="D36" t="s">
        <v>24</v>
      </c>
      <c r="E36" t="s">
        <v>58</v>
      </c>
      <c r="F36" t="s">
        <v>56</v>
      </c>
      <c r="G36" t="s">
        <v>11</v>
      </c>
      <c r="H36" s="8">
        <v>170</v>
      </c>
      <c r="I36" s="9">
        <v>104669.13</v>
      </c>
      <c r="J36" s="9">
        <v>7817.04</v>
      </c>
      <c r="K36" s="9">
        <v>1224.56</v>
      </c>
      <c r="L36" s="9">
        <v>95627.520000000004</v>
      </c>
      <c r="M36" s="9">
        <v>94093.5</v>
      </c>
      <c r="N36" s="6" t="str">
        <f>_xlfn.XLOOKUP(tblSales[[#This Row],[ProductID]],tblProducts[ProductID],tblProducts[ProductName],"Not Found")</f>
        <v>RespiraX</v>
      </c>
      <c r="O36" s="8">
        <f>YEAR(tblSales[[#This Row],[Month]])</f>
        <v>2024</v>
      </c>
      <c r="P36" s="8">
        <f>MONTH(tblSales[[#This Row],[Month]])</f>
        <v>1</v>
      </c>
      <c r="Q36" s="6">
        <f>IFERROR(tblSales[[#This Row],[NetSalesTRY]]/tblSales[[#This Row],[Units]],0)</f>
        <v>562.51482352941184</v>
      </c>
      <c r="R36" s="17">
        <f>IFERROR(tblSales[[#This Row],[NetSalesTRY]]/tblSales[[#This Row],[TargetTRY]],0)</f>
        <v>1.0163031452757099</v>
      </c>
      <c r="S36" s="6">
        <f>tblSales[[#This Row],[NetSalesTRY]]-tblSales[[#This Row],[TargetTRY]]</f>
        <v>1534.0200000000041</v>
      </c>
      <c r="T36" s="6">
        <f>MAX(tblSales[[#This Row],[TargetTRY]]-tblSales[[#This Row],[NetSalesTRY]],0)</f>
        <v>0</v>
      </c>
    </row>
    <row r="37" spans="1:20">
      <c r="A37" t="s">
        <v>425</v>
      </c>
      <c r="B37" s="15">
        <v>45292</v>
      </c>
      <c r="C37" t="s">
        <v>23</v>
      </c>
      <c r="D37" t="s">
        <v>24</v>
      </c>
      <c r="E37" t="s">
        <v>58</v>
      </c>
      <c r="F37" t="s">
        <v>56</v>
      </c>
      <c r="G37" t="s">
        <v>14</v>
      </c>
      <c r="H37" s="8">
        <v>84</v>
      </c>
      <c r="I37" s="9">
        <v>93102.43</v>
      </c>
      <c r="J37" s="9">
        <v>3839.21</v>
      </c>
      <c r="K37" s="9">
        <v>709.07</v>
      </c>
      <c r="L37" s="9">
        <v>88554.15</v>
      </c>
      <c r="M37" s="9">
        <v>87178.68</v>
      </c>
      <c r="N37" s="6" t="str">
        <f>_xlfn.XLOOKUP(tblSales[[#This Row],[ProductID]],tblProducts[ProductID],tblProducts[ProductName],"Not Found")</f>
        <v>NeuroCalm</v>
      </c>
      <c r="O37" s="8">
        <f>YEAR(tblSales[[#This Row],[Month]])</f>
        <v>2024</v>
      </c>
      <c r="P37" s="8">
        <f>MONTH(tblSales[[#This Row],[Month]])</f>
        <v>1</v>
      </c>
      <c r="Q37" s="6">
        <f>IFERROR(tblSales[[#This Row],[NetSalesTRY]]/tblSales[[#This Row],[Units]],0)</f>
        <v>1054.2160714285715</v>
      </c>
      <c r="R37" s="17">
        <f>IFERROR(tblSales[[#This Row],[NetSalesTRY]]/tblSales[[#This Row],[TargetTRY]],0)</f>
        <v>1.0157775960819779</v>
      </c>
      <c r="S37" s="6">
        <f>tblSales[[#This Row],[NetSalesTRY]]-tblSales[[#This Row],[TargetTRY]]</f>
        <v>1375.4700000000012</v>
      </c>
      <c r="T37" s="6">
        <f>MAX(tblSales[[#This Row],[TargetTRY]]-tblSales[[#This Row],[NetSalesTRY]],0)</f>
        <v>0</v>
      </c>
    </row>
    <row r="38" spans="1:20">
      <c r="A38" t="s">
        <v>426</v>
      </c>
      <c r="B38" s="15">
        <v>45292</v>
      </c>
      <c r="C38" t="s">
        <v>25</v>
      </c>
      <c r="D38" t="s">
        <v>26</v>
      </c>
      <c r="E38" t="s">
        <v>61</v>
      </c>
      <c r="F38" t="s">
        <v>59</v>
      </c>
      <c r="G38" t="s">
        <v>5</v>
      </c>
      <c r="H38" s="8">
        <v>83</v>
      </c>
      <c r="I38" s="9">
        <v>82215.789999999994</v>
      </c>
      <c r="J38" s="9">
        <v>3967.27</v>
      </c>
      <c r="K38" s="9">
        <v>871.39</v>
      </c>
      <c r="L38" s="9">
        <v>77377.13</v>
      </c>
      <c r="M38" s="9">
        <v>79761.37</v>
      </c>
      <c r="N38" s="6" t="str">
        <f>_xlfn.XLOOKUP(tblSales[[#This Row],[ProductID]],tblProducts[ProductID],tblProducts[ProductName],"Not Found")</f>
        <v>Cardiovan</v>
      </c>
      <c r="O38" s="8">
        <f>YEAR(tblSales[[#This Row],[Month]])</f>
        <v>2024</v>
      </c>
      <c r="P38" s="8">
        <f>MONTH(tblSales[[#This Row],[Month]])</f>
        <v>1</v>
      </c>
      <c r="Q38" s="6">
        <f>IFERROR(tblSales[[#This Row],[NetSalesTRY]]/tblSales[[#This Row],[Units]],0)</f>
        <v>932.25457831325309</v>
      </c>
      <c r="R38" s="17">
        <f>IFERROR(tblSales[[#This Row],[NetSalesTRY]]/tblSales[[#This Row],[TargetTRY]],0)</f>
        <v>0.97010783540954737</v>
      </c>
      <c r="S38" s="6">
        <f>tblSales[[#This Row],[NetSalesTRY]]-tblSales[[#This Row],[TargetTRY]]</f>
        <v>-2384.2399999999907</v>
      </c>
      <c r="T38" s="6">
        <f>MAX(tblSales[[#This Row],[TargetTRY]]-tblSales[[#This Row],[NetSalesTRY]],0)</f>
        <v>2384.2399999999907</v>
      </c>
    </row>
    <row r="39" spans="1:20">
      <c r="A39" t="s">
        <v>427</v>
      </c>
      <c r="B39" s="15">
        <v>45292</v>
      </c>
      <c r="C39" t="s">
        <v>25</v>
      </c>
      <c r="D39" t="s">
        <v>26</v>
      </c>
      <c r="E39" t="s">
        <v>61</v>
      </c>
      <c r="F39" t="s">
        <v>59</v>
      </c>
      <c r="G39" t="s">
        <v>8</v>
      </c>
      <c r="H39" s="8">
        <v>100</v>
      </c>
      <c r="I39" s="9">
        <v>76000.84</v>
      </c>
      <c r="J39" s="9">
        <v>4529.4399999999996</v>
      </c>
      <c r="K39" s="9">
        <v>1024.1600000000001</v>
      </c>
      <c r="L39" s="9">
        <v>70447.240000000005</v>
      </c>
      <c r="M39" s="9">
        <v>74435.490000000005</v>
      </c>
      <c r="N39" s="6" t="str">
        <f>_xlfn.XLOOKUP(tblSales[[#This Row],[ProductID]],tblProducts[ProductID],tblProducts[ProductName],"Not Found")</f>
        <v>GlucoRelief</v>
      </c>
      <c r="O39" s="8">
        <f>YEAR(tblSales[[#This Row],[Month]])</f>
        <v>2024</v>
      </c>
      <c r="P39" s="8">
        <f>MONTH(tblSales[[#This Row],[Month]])</f>
        <v>1</v>
      </c>
      <c r="Q39" s="6">
        <f>IFERROR(tblSales[[#This Row],[NetSalesTRY]]/tblSales[[#This Row],[Units]],0)</f>
        <v>704.47240000000011</v>
      </c>
      <c r="R39" s="17">
        <f>IFERROR(tblSales[[#This Row],[NetSalesTRY]]/tblSales[[#This Row],[TargetTRY]],0)</f>
        <v>0.94642004774872845</v>
      </c>
      <c r="S39" s="6">
        <f>tblSales[[#This Row],[NetSalesTRY]]-tblSales[[#This Row],[TargetTRY]]</f>
        <v>-3988.25</v>
      </c>
      <c r="T39" s="6">
        <f>MAX(tblSales[[#This Row],[TargetTRY]]-tblSales[[#This Row],[NetSalesTRY]],0)</f>
        <v>3988.25</v>
      </c>
    </row>
    <row r="40" spans="1:20">
      <c r="A40" t="s">
        <v>428</v>
      </c>
      <c r="B40" s="15">
        <v>45292</v>
      </c>
      <c r="C40" t="s">
        <v>25</v>
      </c>
      <c r="D40" t="s">
        <v>26</v>
      </c>
      <c r="E40" t="s">
        <v>61</v>
      </c>
      <c r="F40" t="s">
        <v>59</v>
      </c>
      <c r="G40" t="s">
        <v>11</v>
      </c>
      <c r="H40" s="8">
        <v>132</v>
      </c>
      <c r="I40" s="9">
        <v>81399.37</v>
      </c>
      <c r="J40" s="9">
        <v>5142.18</v>
      </c>
      <c r="K40" s="9">
        <v>1030.19</v>
      </c>
      <c r="L40" s="9">
        <v>75227</v>
      </c>
      <c r="M40" s="9">
        <v>72802.600000000006</v>
      </c>
      <c r="N40" s="6" t="str">
        <f>_xlfn.XLOOKUP(tblSales[[#This Row],[ProductID]],tblProducts[ProductID],tblProducts[ProductName],"Not Found")</f>
        <v>RespiraX</v>
      </c>
      <c r="O40" s="8">
        <f>YEAR(tblSales[[#This Row],[Month]])</f>
        <v>2024</v>
      </c>
      <c r="P40" s="8">
        <f>MONTH(tblSales[[#This Row],[Month]])</f>
        <v>1</v>
      </c>
      <c r="Q40" s="6">
        <f>IFERROR(tblSales[[#This Row],[NetSalesTRY]]/tblSales[[#This Row],[Units]],0)</f>
        <v>569.90151515151513</v>
      </c>
      <c r="R40" s="17">
        <f>IFERROR(tblSales[[#This Row],[NetSalesTRY]]/tblSales[[#This Row],[TargetTRY]],0)</f>
        <v>1.0333010084804664</v>
      </c>
      <c r="S40" s="6">
        <f>tblSales[[#This Row],[NetSalesTRY]]-tblSales[[#This Row],[TargetTRY]]</f>
        <v>2424.3999999999942</v>
      </c>
      <c r="T40" s="6">
        <f>MAX(tblSales[[#This Row],[TargetTRY]]-tblSales[[#This Row],[NetSalesTRY]],0)</f>
        <v>0</v>
      </c>
    </row>
    <row r="41" spans="1:20">
      <c r="A41" t="s">
        <v>429</v>
      </c>
      <c r="B41" s="15">
        <v>45292</v>
      </c>
      <c r="C41" t="s">
        <v>25</v>
      </c>
      <c r="D41" t="s">
        <v>26</v>
      </c>
      <c r="E41" t="s">
        <v>61</v>
      </c>
      <c r="F41" t="s">
        <v>59</v>
      </c>
      <c r="G41" t="s">
        <v>14</v>
      </c>
      <c r="H41" s="8">
        <v>67</v>
      </c>
      <c r="I41" s="9">
        <v>73528.509999999995</v>
      </c>
      <c r="J41" s="9">
        <v>5395.19</v>
      </c>
      <c r="K41" s="9">
        <v>528.92999999999995</v>
      </c>
      <c r="L41" s="9">
        <v>67604.399999999994</v>
      </c>
      <c r="M41" s="9">
        <v>68186.39</v>
      </c>
      <c r="N41" s="6" t="str">
        <f>_xlfn.XLOOKUP(tblSales[[#This Row],[ProductID]],tblProducts[ProductID],tblProducts[ProductName],"Not Found")</f>
        <v>NeuroCalm</v>
      </c>
      <c r="O41" s="8">
        <f>YEAR(tblSales[[#This Row],[Month]])</f>
        <v>2024</v>
      </c>
      <c r="P41" s="8">
        <f>MONTH(tblSales[[#This Row],[Month]])</f>
        <v>1</v>
      </c>
      <c r="Q41" s="6">
        <f>IFERROR(tblSales[[#This Row],[NetSalesTRY]]/tblSales[[#This Row],[Units]],0)</f>
        <v>1009.0208955223879</v>
      </c>
      <c r="R41" s="17">
        <f>IFERROR(tblSales[[#This Row],[NetSalesTRY]]/tblSales[[#This Row],[TargetTRY]],0)</f>
        <v>0.99146471898570954</v>
      </c>
      <c r="S41" s="6">
        <f>tblSales[[#This Row],[NetSalesTRY]]-tblSales[[#This Row],[TargetTRY]]</f>
        <v>-581.99000000000524</v>
      </c>
      <c r="T41" s="6">
        <f>MAX(tblSales[[#This Row],[TargetTRY]]-tblSales[[#This Row],[NetSalesTRY]],0)</f>
        <v>581.99000000000524</v>
      </c>
    </row>
    <row r="42" spans="1:20">
      <c r="A42" t="s">
        <v>430</v>
      </c>
      <c r="B42" s="15">
        <v>45292</v>
      </c>
      <c r="C42" t="s">
        <v>25</v>
      </c>
      <c r="D42" t="s">
        <v>26</v>
      </c>
      <c r="E42" t="s">
        <v>64</v>
      </c>
      <c r="F42" t="s">
        <v>62</v>
      </c>
      <c r="G42" t="s">
        <v>5</v>
      </c>
      <c r="H42" s="8">
        <v>88</v>
      </c>
      <c r="I42" s="9">
        <v>85754.82</v>
      </c>
      <c r="J42" s="9">
        <v>3800.43</v>
      </c>
      <c r="K42" s="9">
        <v>836.65</v>
      </c>
      <c r="L42" s="9">
        <v>81117.740000000005</v>
      </c>
      <c r="M42" s="9">
        <v>79468.12</v>
      </c>
      <c r="N42" s="6" t="str">
        <f>_xlfn.XLOOKUP(tblSales[[#This Row],[ProductID]],tblProducts[ProductID],tblProducts[ProductName],"Not Found")</f>
        <v>Cardiovan</v>
      </c>
      <c r="O42" s="8">
        <f>YEAR(tblSales[[#This Row],[Month]])</f>
        <v>2024</v>
      </c>
      <c r="P42" s="8">
        <f>MONTH(tblSales[[#This Row],[Month]])</f>
        <v>1</v>
      </c>
      <c r="Q42" s="6">
        <f>IFERROR(tblSales[[#This Row],[NetSalesTRY]]/tblSales[[#This Row],[Units]],0)</f>
        <v>921.79250000000002</v>
      </c>
      <c r="R42" s="17">
        <f>IFERROR(tblSales[[#This Row],[NetSalesTRY]]/tblSales[[#This Row],[TargetTRY]],0)</f>
        <v>1.0207582613002548</v>
      </c>
      <c r="S42" s="6">
        <f>tblSales[[#This Row],[NetSalesTRY]]-tblSales[[#This Row],[TargetTRY]]</f>
        <v>1649.6200000000099</v>
      </c>
      <c r="T42" s="6">
        <f>MAX(tblSales[[#This Row],[TargetTRY]]-tblSales[[#This Row],[NetSalesTRY]],0)</f>
        <v>0</v>
      </c>
    </row>
    <row r="43" spans="1:20">
      <c r="A43" t="s">
        <v>431</v>
      </c>
      <c r="B43" s="15">
        <v>45292</v>
      </c>
      <c r="C43" t="s">
        <v>25</v>
      </c>
      <c r="D43" t="s">
        <v>26</v>
      </c>
      <c r="E43" t="s">
        <v>64</v>
      </c>
      <c r="F43" t="s">
        <v>62</v>
      </c>
      <c r="G43" t="s">
        <v>8</v>
      </c>
      <c r="H43" s="8">
        <v>101</v>
      </c>
      <c r="I43" s="9">
        <v>76322.89</v>
      </c>
      <c r="J43" s="9">
        <v>3155.23</v>
      </c>
      <c r="K43" s="9">
        <v>911</v>
      </c>
      <c r="L43" s="9">
        <v>72256.66</v>
      </c>
      <c r="M43" s="9">
        <v>75080.679999999993</v>
      </c>
      <c r="N43" s="6" t="str">
        <f>_xlfn.XLOOKUP(tblSales[[#This Row],[ProductID]],tblProducts[ProductID],tblProducts[ProductName],"Not Found")</f>
        <v>GlucoRelief</v>
      </c>
      <c r="O43" s="8">
        <f>YEAR(tblSales[[#This Row],[Month]])</f>
        <v>2024</v>
      </c>
      <c r="P43" s="8">
        <f>MONTH(tblSales[[#This Row],[Month]])</f>
        <v>1</v>
      </c>
      <c r="Q43" s="6">
        <f>IFERROR(tblSales[[#This Row],[NetSalesTRY]]/tblSales[[#This Row],[Units]],0)</f>
        <v>715.41247524752475</v>
      </c>
      <c r="R43" s="17">
        <f>IFERROR(tblSales[[#This Row],[NetSalesTRY]]/tblSales[[#This Row],[TargetTRY]],0)</f>
        <v>0.96238686170663357</v>
      </c>
      <c r="S43" s="6">
        <f>tblSales[[#This Row],[NetSalesTRY]]-tblSales[[#This Row],[TargetTRY]]</f>
        <v>-2824.0199999999895</v>
      </c>
      <c r="T43" s="6">
        <f>MAX(tblSales[[#This Row],[TargetTRY]]-tblSales[[#This Row],[NetSalesTRY]],0)</f>
        <v>2824.0199999999895</v>
      </c>
    </row>
    <row r="44" spans="1:20">
      <c r="A44" t="s">
        <v>432</v>
      </c>
      <c r="B44" s="15">
        <v>45292</v>
      </c>
      <c r="C44" t="s">
        <v>25</v>
      </c>
      <c r="D44" t="s">
        <v>26</v>
      </c>
      <c r="E44" t="s">
        <v>64</v>
      </c>
      <c r="F44" t="s">
        <v>62</v>
      </c>
      <c r="G44" t="s">
        <v>11</v>
      </c>
      <c r="H44" s="8">
        <v>120</v>
      </c>
      <c r="I44" s="9">
        <v>74010.86</v>
      </c>
      <c r="J44" s="9">
        <v>5059.37</v>
      </c>
      <c r="K44" s="9">
        <v>387.87</v>
      </c>
      <c r="L44" s="9">
        <v>68563.62</v>
      </c>
      <c r="M44" s="9">
        <v>73987.820000000007</v>
      </c>
      <c r="N44" s="6" t="str">
        <f>_xlfn.XLOOKUP(tblSales[[#This Row],[ProductID]],tblProducts[ProductID],tblProducts[ProductName],"Not Found")</f>
        <v>RespiraX</v>
      </c>
      <c r="O44" s="8">
        <f>YEAR(tblSales[[#This Row],[Month]])</f>
        <v>2024</v>
      </c>
      <c r="P44" s="8">
        <f>MONTH(tblSales[[#This Row],[Month]])</f>
        <v>1</v>
      </c>
      <c r="Q44" s="6">
        <f>IFERROR(tblSales[[#This Row],[NetSalesTRY]]/tblSales[[#This Row],[Units]],0)</f>
        <v>571.36349999999993</v>
      </c>
      <c r="R44" s="17">
        <f>IFERROR(tblSales[[#This Row],[NetSalesTRY]]/tblSales[[#This Row],[TargetTRY]],0)</f>
        <v>0.92668793323009091</v>
      </c>
      <c r="S44" s="6">
        <f>tblSales[[#This Row],[NetSalesTRY]]-tblSales[[#This Row],[TargetTRY]]</f>
        <v>-5424.2000000000116</v>
      </c>
      <c r="T44" s="6">
        <f>MAX(tblSales[[#This Row],[TargetTRY]]-tblSales[[#This Row],[NetSalesTRY]],0)</f>
        <v>5424.2000000000116</v>
      </c>
    </row>
    <row r="45" spans="1:20">
      <c r="A45" t="s">
        <v>433</v>
      </c>
      <c r="B45" s="15">
        <v>45292</v>
      </c>
      <c r="C45" t="s">
        <v>25</v>
      </c>
      <c r="D45" t="s">
        <v>26</v>
      </c>
      <c r="E45" t="s">
        <v>64</v>
      </c>
      <c r="F45" t="s">
        <v>62</v>
      </c>
      <c r="G45" t="s">
        <v>14</v>
      </c>
      <c r="H45" s="8">
        <v>64</v>
      </c>
      <c r="I45" s="9">
        <v>70338.11</v>
      </c>
      <c r="J45" s="9">
        <v>3199.78</v>
      </c>
      <c r="K45" s="9">
        <v>499.08</v>
      </c>
      <c r="L45" s="9">
        <v>66639.240000000005</v>
      </c>
      <c r="M45" s="9">
        <v>68232.289999999994</v>
      </c>
      <c r="N45" s="6" t="str">
        <f>_xlfn.XLOOKUP(tblSales[[#This Row],[ProductID]],tblProducts[ProductID],tblProducts[ProductName],"Not Found")</f>
        <v>NeuroCalm</v>
      </c>
      <c r="O45" s="8">
        <f>YEAR(tblSales[[#This Row],[Month]])</f>
        <v>2024</v>
      </c>
      <c r="P45" s="8">
        <f>MONTH(tblSales[[#This Row],[Month]])</f>
        <v>1</v>
      </c>
      <c r="Q45" s="6">
        <f>IFERROR(tblSales[[#This Row],[NetSalesTRY]]/tblSales[[#This Row],[Units]],0)</f>
        <v>1041.2381250000001</v>
      </c>
      <c r="R45" s="17">
        <f>IFERROR(tblSales[[#This Row],[NetSalesTRY]]/tblSales[[#This Row],[TargetTRY]],0)</f>
        <v>0.97665254969458026</v>
      </c>
      <c r="S45" s="6">
        <f>tblSales[[#This Row],[NetSalesTRY]]-tblSales[[#This Row],[TargetTRY]]</f>
        <v>-1593.0499999999884</v>
      </c>
      <c r="T45" s="6">
        <f>MAX(tblSales[[#This Row],[TargetTRY]]-tblSales[[#This Row],[NetSalesTRY]],0)</f>
        <v>1593.0499999999884</v>
      </c>
    </row>
    <row r="46" spans="1:20">
      <c r="A46" t="s">
        <v>434</v>
      </c>
      <c r="B46" s="15">
        <v>45292</v>
      </c>
      <c r="C46" t="s">
        <v>25</v>
      </c>
      <c r="D46" t="s">
        <v>26</v>
      </c>
      <c r="E46" t="s">
        <v>67</v>
      </c>
      <c r="F46" t="s">
        <v>65</v>
      </c>
      <c r="G46" t="s">
        <v>5</v>
      </c>
      <c r="H46" s="8">
        <v>95</v>
      </c>
      <c r="I46" s="9">
        <v>92940.77</v>
      </c>
      <c r="J46" s="9">
        <v>4710.6400000000003</v>
      </c>
      <c r="K46" s="9">
        <v>797.86</v>
      </c>
      <c r="L46" s="9">
        <v>87432.27</v>
      </c>
      <c r="M46" s="9">
        <v>90612.66</v>
      </c>
      <c r="N46" s="6" t="str">
        <f>_xlfn.XLOOKUP(tblSales[[#This Row],[ProductID]],tblProducts[ProductID],tblProducts[ProductName],"Not Found")</f>
        <v>Cardiovan</v>
      </c>
      <c r="O46" s="8">
        <f>YEAR(tblSales[[#This Row],[Month]])</f>
        <v>2024</v>
      </c>
      <c r="P46" s="8">
        <f>MONTH(tblSales[[#This Row],[Month]])</f>
        <v>1</v>
      </c>
      <c r="Q46" s="6">
        <f>IFERROR(tblSales[[#This Row],[NetSalesTRY]]/tblSales[[#This Row],[Units]],0)</f>
        <v>920.33968421052634</v>
      </c>
      <c r="R46" s="17">
        <f>IFERROR(tblSales[[#This Row],[NetSalesTRY]]/tblSales[[#This Row],[TargetTRY]],0)</f>
        <v>0.96490126214151528</v>
      </c>
      <c r="S46" s="6">
        <f>tblSales[[#This Row],[NetSalesTRY]]-tblSales[[#This Row],[TargetTRY]]</f>
        <v>-3180.3899999999994</v>
      </c>
      <c r="T46" s="6">
        <f>MAX(tblSales[[#This Row],[TargetTRY]]-tblSales[[#This Row],[NetSalesTRY]],0)</f>
        <v>3180.3899999999994</v>
      </c>
    </row>
    <row r="47" spans="1:20">
      <c r="A47" t="s">
        <v>435</v>
      </c>
      <c r="B47" s="15">
        <v>45292</v>
      </c>
      <c r="C47" t="s">
        <v>25</v>
      </c>
      <c r="D47" t="s">
        <v>26</v>
      </c>
      <c r="E47" t="s">
        <v>67</v>
      </c>
      <c r="F47" t="s">
        <v>65</v>
      </c>
      <c r="G47" t="s">
        <v>8</v>
      </c>
      <c r="H47" s="8">
        <v>120</v>
      </c>
      <c r="I47" s="9">
        <v>91583.05</v>
      </c>
      <c r="J47" s="9">
        <v>4611.29</v>
      </c>
      <c r="K47" s="9">
        <v>493.82</v>
      </c>
      <c r="L47" s="9">
        <v>86477.94</v>
      </c>
      <c r="M47" s="9">
        <v>84617.07</v>
      </c>
      <c r="N47" s="6" t="str">
        <f>_xlfn.XLOOKUP(tblSales[[#This Row],[ProductID]],tblProducts[ProductID],tblProducts[ProductName],"Not Found")</f>
        <v>GlucoRelief</v>
      </c>
      <c r="O47" s="8">
        <f>YEAR(tblSales[[#This Row],[Month]])</f>
        <v>2024</v>
      </c>
      <c r="P47" s="8">
        <f>MONTH(tblSales[[#This Row],[Month]])</f>
        <v>1</v>
      </c>
      <c r="Q47" s="6">
        <f>IFERROR(tblSales[[#This Row],[NetSalesTRY]]/tblSales[[#This Row],[Units]],0)</f>
        <v>720.64949999999999</v>
      </c>
      <c r="R47" s="17">
        <f>IFERROR(tblSales[[#This Row],[NetSalesTRY]]/tblSales[[#This Row],[TargetTRY]],0)</f>
        <v>1.0219916619660785</v>
      </c>
      <c r="S47" s="6">
        <f>tblSales[[#This Row],[NetSalesTRY]]-tblSales[[#This Row],[TargetTRY]]</f>
        <v>1860.8699999999953</v>
      </c>
      <c r="T47" s="6">
        <f>MAX(tblSales[[#This Row],[TargetTRY]]-tblSales[[#This Row],[NetSalesTRY]],0)</f>
        <v>0</v>
      </c>
    </row>
    <row r="48" spans="1:20">
      <c r="A48" t="s">
        <v>436</v>
      </c>
      <c r="B48" s="15">
        <v>45292</v>
      </c>
      <c r="C48" t="s">
        <v>25</v>
      </c>
      <c r="D48" t="s">
        <v>26</v>
      </c>
      <c r="E48" t="s">
        <v>67</v>
      </c>
      <c r="F48" t="s">
        <v>65</v>
      </c>
      <c r="G48" t="s">
        <v>11</v>
      </c>
      <c r="H48" s="8">
        <v>143</v>
      </c>
      <c r="I48" s="9">
        <v>89256.61</v>
      </c>
      <c r="J48" s="9">
        <v>4115.82</v>
      </c>
      <c r="K48" s="9">
        <v>838.58</v>
      </c>
      <c r="L48" s="9">
        <v>84302.21</v>
      </c>
      <c r="M48" s="9">
        <v>83435.48</v>
      </c>
      <c r="N48" s="6" t="str">
        <f>_xlfn.XLOOKUP(tblSales[[#This Row],[ProductID]],tblProducts[ProductID],tblProducts[ProductName],"Not Found")</f>
        <v>RespiraX</v>
      </c>
      <c r="O48" s="8">
        <f>YEAR(tblSales[[#This Row],[Month]])</f>
        <v>2024</v>
      </c>
      <c r="P48" s="8">
        <f>MONTH(tblSales[[#This Row],[Month]])</f>
        <v>1</v>
      </c>
      <c r="Q48" s="6">
        <f>IFERROR(tblSales[[#This Row],[NetSalesTRY]]/tblSales[[#This Row],[Units]],0)</f>
        <v>589.52594405594414</v>
      </c>
      <c r="R48" s="17">
        <f>IFERROR(tblSales[[#This Row],[NetSalesTRY]]/tblSales[[#This Row],[TargetTRY]],0)</f>
        <v>1.0103880267723038</v>
      </c>
      <c r="S48" s="6">
        <f>tblSales[[#This Row],[NetSalesTRY]]-tblSales[[#This Row],[TargetTRY]]</f>
        <v>866.73000000001048</v>
      </c>
      <c r="T48" s="6">
        <f>MAX(tblSales[[#This Row],[TargetTRY]]-tblSales[[#This Row],[NetSalesTRY]],0)</f>
        <v>0</v>
      </c>
    </row>
    <row r="49" spans="1:20">
      <c r="A49" t="s">
        <v>437</v>
      </c>
      <c r="B49" s="15">
        <v>45292</v>
      </c>
      <c r="C49" t="s">
        <v>25</v>
      </c>
      <c r="D49" t="s">
        <v>26</v>
      </c>
      <c r="E49" t="s">
        <v>67</v>
      </c>
      <c r="F49" t="s">
        <v>65</v>
      </c>
      <c r="G49" t="s">
        <v>14</v>
      </c>
      <c r="H49" s="8">
        <v>73</v>
      </c>
      <c r="I49" s="9">
        <v>80475.58</v>
      </c>
      <c r="J49" s="9">
        <v>5170.17</v>
      </c>
      <c r="K49" s="9">
        <v>332.31</v>
      </c>
      <c r="L49" s="9">
        <v>74973.11</v>
      </c>
      <c r="M49" s="9">
        <v>78593.48</v>
      </c>
      <c r="N49" s="6" t="str">
        <f>_xlfn.XLOOKUP(tblSales[[#This Row],[ProductID]],tblProducts[ProductID],tblProducts[ProductName],"Not Found")</f>
        <v>NeuroCalm</v>
      </c>
      <c r="O49" s="8">
        <f>YEAR(tblSales[[#This Row],[Month]])</f>
        <v>2024</v>
      </c>
      <c r="P49" s="8">
        <f>MONTH(tblSales[[#This Row],[Month]])</f>
        <v>1</v>
      </c>
      <c r="Q49" s="6">
        <f>IFERROR(tblSales[[#This Row],[NetSalesTRY]]/tblSales[[#This Row],[Units]],0)</f>
        <v>1027.0289041095891</v>
      </c>
      <c r="R49" s="17">
        <f>IFERROR(tblSales[[#This Row],[NetSalesTRY]]/tblSales[[#This Row],[TargetTRY]],0)</f>
        <v>0.95393549184996018</v>
      </c>
      <c r="S49" s="6">
        <f>tblSales[[#This Row],[NetSalesTRY]]-tblSales[[#This Row],[TargetTRY]]</f>
        <v>-3620.3699999999953</v>
      </c>
      <c r="T49" s="6">
        <f>MAX(tblSales[[#This Row],[TargetTRY]]-tblSales[[#This Row],[NetSalesTRY]],0)</f>
        <v>3620.3699999999953</v>
      </c>
    </row>
    <row r="50" spans="1:20">
      <c r="A50" t="s">
        <v>438</v>
      </c>
      <c r="B50" s="15">
        <v>45323</v>
      </c>
      <c r="C50" t="s">
        <v>19</v>
      </c>
      <c r="D50" t="s">
        <v>20</v>
      </c>
      <c r="E50" t="s">
        <v>34</v>
      </c>
      <c r="F50" t="s">
        <v>32</v>
      </c>
      <c r="G50" t="s">
        <v>5</v>
      </c>
      <c r="H50" s="8">
        <v>133</v>
      </c>
      <c r="I50" s="9">
        <v>130677.55</v>
      </c>
      <c r="J50" s="9">
        <v>9112.99</v>
      </c>
      <c r="K50" s="9">
        <v>1553.69</v>
      </c>
      <c r="L50" s="9">
        <v>120010.87</v>
      </c>
      <c r="M50" s="9">
        <v>125964.84</v>
      </c>
      <c r="N50" s="6" t="str">
        <f>_xlfn.XLOOKUP(tblSales[[#This Row],[ProductID]],tblProducts[ProductID],tblProducts[ProductName],"Not Found")</f>
        <v>Cardiovan</v>
      </c>
      <c r="O50" s="8">
        <f>YEAR(tblSales[[#This Row],[Month]])</f>
        <v>2024</v>
      </c>
      <c r="P50" s="8">
        <f>MONTH(tblSales[[#This Row],[Month]])</f>
        <v>2</v>
      </c>
      <c r="Q50" s="6">
        <f>IFERROR(tblSales[[#This Row],[NetSalesTRY]]/tblSales[[#This Row],[Units]],0)</f>
        <v>902.33736842105259</v>
      </c>
      <c r="R50" s="17">
        <f>IFERROR(tblSales[[#This Row],[NetSalesTRY]]/tblSales[[#This Row],[TargetTRY]],0)</f>
        <v>0.9527330801198175</v>
      </c>
      <c r="S50" s="6">
        <f>tblSales[[#This Row],[NetSalesTRY]]-tblSales[[#This Row],[TargetTRY]]</f>
        <v>-5953.9700000000012</v>
      </c>
      <c r="T50" s="6">
        <f>MAX(tblSales[[#This Row],[TargetTRY]]-tblSales[[#This Row],[NetSalesTRY]],0)</f>
        <v>5953.9700000000012</v>
      </c>
    </row>
    <row r="51" spans="1:20">
      <c r="A51" t="s">
        <v>439</v>
      </c>
      <c r="B51" s="15">
        <v>45323</v>
      </c>
      <c r="C51" t="s">
        <v>19</v>
      </c>
      <c r="D51" t="s">
        <v>20</v>
      </c>
      <c r="E51" t="s">
        <v>34</v>
      </c>
      <c r="F51" t="s">
        <v>32</v>
      </c>
      <c r="G51" t="s">
        <v>8</v>
      </c>
      <c r="H51" s="8">
        <v>170</v>
      </c>
      <c r="I51" s="9">
        <v>131125.88</v>
      </c>
      <c r="J51" s="9">
        <v>4746.59</v>
      </c>
      <c r="K51" s="9">
        <v>971.69</v>
      </c>
      <c r="L51" s="9">
        <v>125407.61</v>
      </c>
      <c r="M51" s="9">
        <v>118860.98</v>
      </c>
      <c r="N51" s="6" t="str">
        <f>_xlfn.XLOOKUP(tblSales[[#This Row],[ProductID]],tblProducts[ProductID],tblProducts[ProductName],"Not Found")</f>
        <v>GlucoRelief</v>
      </c>
      <c r="O51" s="8">
        <f>YEAR(tblSales[[#This Row],[Month]])</f>
        <v>2024</v>
      </c>
      <c r="P51" s="8">
        <f>MONTH(tblSales[[#This Row],[Month]])</f>
        <v>2</v>
      </c>
      <c r="Q51" s="6">
        <f>IFERROR(tblSales[[#This Row],[NetSalesTRY]]/tblSales[[#This Row],[Units]],0)</f>
        <v>737.69182352941175</v>
      </c>
      <c r="R51" s="17">
        <f>IFERROR(tblSales[[#This Row],[NetSalesTRY]]/tblSales[[#This Row],[TargetTRY]],0)</f>
        <v>1.0550780415911092</v>
      </c>
      <c r="S51" s="6">
        <f>tblSales[[#This Row],[NetSalesTRY]]-tblSales[[#This Row],[TargetTRY]]</f>
        <v>6546.6300000000047</v>
      </c>
      <c r="T51" s="6">
        <f>MAX(tblSales[[#This Row],[TargetTRY]]-tblSales[[#This Row],[NetSalesTRY]],0)</f>
        <v>0</v>
      </c>
    </row>
    <row r="52" spans="1:20">
      <c r="A52" t="s">
        <v>440</v>
      </c>
      <c r="B52" s="15">
        <v>45323</v>
      </c>
      <c r="C52" t="s">
        <v>19</v>
      </c>
      <c r="D52" t="s">
        <v>20</v>
      </c>
      <c r="E52" t="s">
        <v>34</v>
      </c>
      <c r="F52" t="s">
        <v>32</v>
      </c>
      <c r="G52" t="s">
        <v>11</v>
      </c>
      <c r="H52" s="8">
        <v>192</v>
      </c>
      <c r="I52" s="9">
        <v>119682.77</v>
      </c>
      <c r="J52" s="9">
        <v>5082.8500000000004</v>
      </c>
      <c r="K52" s="9">
        <v>1530.95</v>
      </c>
      <c r="L52" s="9">
        <v>113068.98</v>
      </c>
      <c r="M52" s="9">
        <v>115844.54</v>
      </c>
      <c r="N52" s="6" t="str">
        <f>_xlfn.XLOOKUP(tblSales[[#This Row],[ProductID]],tblProducts[ProductID],tblProducts[ProductName],"Not Found")</f>
        <v>RespiraX</v>
      </c>
      <c r="O52" s="8">
        <f>YEAR(tblSales[[#This Row],[Month]])</f>
        <v>2024</v>
      </c>
      <c r="P52" s="8">
        <f>MONTH(tblSales[[#This Row],[Month]])</f>
        <v>2</v>
      </c>
      <c r="Q52" s="6">
        <f>IFERROR(tblSales[[#This Row],[NetSalesTRY]]/tblSales[[#This Row],[Units]],0)</f>
        <v>588.90093749999994</v>
      </c>
      <c r="R52" s="17">
        <f>IFERROR(tblSales[[#This Row],[NetSalesTRY]]/tblSales[[#This Row],[TargetTRY]],0)</f>
        <v>0.97604064895937259</v>
      </c>
      <c r="S52" s="6">
        <f>tblSales[[#This Row],[NetSalesTRY]]-tblSales[[#This Row],[TargetTRY]]</f>
        <v>-2775.5599999999977</v>
      </c>
      <c r="T52" s="6">
        <f>MAX(tblSales[[#This Row],[TargetTRY]]-tblSales[[#This Row],[NetSalesTRY]],0)</f>
        <v>2775.5599999999977</v>
      </c>
    </row>
    <row r="53" spans="1:20">
      <c r="A53" t="s">
        <v>441</v>
      </c>
      <c r="B53" s="15">
        <v>45323</v>
      </c>
      <c r="C53" t="s">
        <v>19</v>
      </c>
      <c r="D53" t="s">
        <v>20</v>
      </c>
      <c r="E53" t="s">
        <v>34</v>
      </c>
      <c r="F53" t="s">
        <v>32</v>
      </c>
      <c r="G53" t="s">
        <v>14</v>
      </c>
      <c r="H53" s="8">
        <v>108</v>
      </c>
      <c r="I53" s="9">
        <v>117835.84</v>
      </c>
      <c r="J53" s="9">
        <v>7598.35</v>
      </c>
      <c r="K53" s="9">
        <v>695.61</v>
      </c>
      <c r="L53" s="9">
        <v>109541.88</v>
      </c>
      <c r="M53" s="9">
        <v>108610.95</v>
      </c>
      <c r="N53" s="6" t="str">
        <f>_xlfn.XLOOKUP(tblSales[[#This Row],[ProductID]],tblProducts[ProductID],tblProducts[ProductName],"Not Found")</f>
        <v>NeuroCalm</v>
      </c>
      <c r="O53" s="8">
        <f>YEAR(tblSales[[#This Row],[Month]])</f>
        <v>2024</v>
      </c>
      <c r="P53" s="8">
        <f>MONTH(tblSales[[#This Row],[Month]])</f>
        <v>2</v>
      </c>
      <c r="Q53" s="6">
        <f>IFERROR(tblSales[[#This Row],[NetSalesTRY]]/tblSales[[#This Row],[Units]],0)</f>
        <v>1014.2766666666668</v>
      </c>
      <c r="R53" s="17">
        <f>IFERROR(tblSales[[#This Row],[NetSalesTRY]]/tblSales[[#This Row],[TargetTRY]],0)</f>
        <v>1.0085712352207581</v>
      </c>
      <c r="S53" s="6">
        <f>tblSales[[#This Row],[NetSalesTRY]]-tblSales[[#This Row],[TargetTRY]]</f>
        <v>930.93000000000757</v>
      </c>
      <c r="T53" s="6">
        <f>MAX(tblSales[[#This Row],[TargetTRY]]-tblSales[[#This Row],[NetSalesTRY]],0)</f>
        <v>0</v>
      </c>
    </row>
    <row r="54" spans="1:20">
      <c r="A54" t="s">
        <v>442</v>
      </c>
      <c r="B54" s="15">
        <v>45323</v>
      </c>
      <c r="C54" t="s">
        <v>19</v>
      </c>
      <c r="D54" t="s">
        <v>20</v>
      </c>
      <c r="E54" t="s">
        <v>37</v>
      </c>
      <c r="F54" t="s">
        <v>35</v>
      </c>
      <c r="G54" t="s">
        <v>5</v>
      </c>
      <c r="H54" s="8">
        <v>137</v>
      </c>
      <c r="I54" s="9">
        <v>134226.25</v>
      </c>
      <c r="J54" s="9">
        <v>7763.68</v>
      </c>
      <c r="K54" s="9">
        <v>1364.27</v>
      </c>
      <c r="L54" s="9">
        <v>125098.31</v>
      </c>
      <c r="M54" s="9">
        <v>126619.62</v>
      </c>
      <c r="N54" s="6" t="str">
        <f>_xlfn.XLOOKUP(tblSales[[#This Row],[ProductID]],tblProducts[ProductID],tblProducts[ProductName],"Not Found")</f>
        <v>Cardiovan</v>
      </c>
      <c r="O54" s="8">
        <f>YEAR(tblSales[[#This Row],[Month]])</f>
        <v>2024</v>
      </c>
      <c r="P54" s="8">
        <f>MONTH(tblSales[[#This Row],[Month]])</f>
        <v>2</v>
      </c>
      <c r="Q54" s="6">
        <f>IFERROR(tblSales[[#This Row],[NetSalesTRY]]/tblSales[[#This Row],[Units]],0)</f>
        <v>913.12635036496351</v>
      </c>
      <c r="R54" s="17">
        <f>IFERROR(tblSales[[#This Row],[NetSalesTRY]]/tblSales[[#This Row],[TargetTRY]],0)</f>
        <v>0.98798519534334417</v>
      </c>
      <c r="S54" s="6">
        <f>tblSales[[#This Row],[NetSalesTRY]]-tblSales[[#This Row],[TargetTRY]]</f>
        <v>-1521.3099999999977</v>
      </c>
      <c r="T54" s="6">
        <f>MAX(tblSales[[#This Row],[TargetTRY]]-tblSales[[#This Row],[NetSalesTRY]],0)</f>
        <v>1521.3099999999977</v>
      </c>
    </row>
    <row r="55" spans="1:20">
      <c r="A55" t="s">
        <v>443</v>
      </c>
      <c r="B55" s="15">
        <v>45323</v>
      </c>
      <c r="C55" t="s">
        <v>19</v>
      </c>
      <c r="D55" t="s">
        <v>20</v>
      </c>
      <c r="E55" t="s">
        <v>37</v>
      </c>
      <c r="F55" t="s">
        <v>35</v>
      </c>
      <c r="G55" t="s">
        <v>8</v>
      </c>
      <c r="H55" s="8">
        <v>171</v>
      </c>
      <c r="I55" s="9">
        <v>131721.74</v>
      </c>
      <c r="J55" s="9">
        <v>6482.96</v>
      </c>
      <c r="K55" s="9">
        <v>1314.01</v>
      </c>
      <c r="L55" s="9">
        <v>123924.76</v>
      </c>
      <c r="M55" s="9">
        <v>118840.18</v>
      </c>
      <c r="N55" s="6" t="str">
        <f>_xlfn.XLOOKUP(tblSales[[#This Row],[ProductID]],tblProducts[ProductID],tblProducts[ProductName],"Not Found")</f>
        <v>GlucoRelief</v>
      </c>
      <c r="O55" s="8">
        <f>YEAR(tblSales[[#This Row],[Month]])</f>
        <v>2024</v>
      </c>
      <c r="P55" s="8">
        <f>MONTH(tblSales[[#This Row],[Month]])</f>
        <v>2</v>
      </c>
      <c r="Q55" s="6">
        <f>IFERROR(tblSales[[#This Row],[NetSalesTRY]]/tblSales[[#This Row],[Units]],0)</f>
        <v>724.70619883040933</v>
      </c>
      <c r="R55" s="17">
        <f>IFERROR(tblSales[[#This Row],[NetSalesTRY]]/tblSales[[#This Row],[TargetTRY]],0)</f>
        <v>1.0427850243915822</v>
      </c>
      <c r="S55" s="6">
        <f>tblSales[[#This Row],[NetSalesTRY]]-tblSales[[#This Row],[TargetTRY]]</f>
        <v>5084.5800000000017</v>
      </c>
      <c r="T55" s="6">
        <f>MAX(tblSales[[#This Row],[TargetTRY]]-tblSales[[#This Row],[NetSalesTRY]],0)</f>
        <v>0</v>
      </c>
    </row>
    <row r="56" spans="1:20">
      <c r="A56" t="s">
        <v>444</v>
      </c>
      <c r="B56" s="15">
        <v>45323</v>
      </c>
      <c r="C56" t="s">
        <v>19</v>
      </c>
      <c r="D56" t="s">
        <v>20</v>
      </c>
      <c r="E56" t="s">
        <v>37</v>
      </c>
      <c r="F56" t="s">
        <v>35</v>
      </c>
      <c r="G56" t="s">
        <v>11</v>
      </c>
      <c r="H56" s="8">
        <v>196</v>
      </c>
      <c r="I56" s="9">
        <v>120027.91</v>
      </c>
      <c r="J56" s="9">
        <v>7093.55</v>
      </c>
      <c r="K56" s="9">
        <v>811.02</v>
      </c>
      <c r="L56" s="9">
        <v>112123.34</v>
      </c>
      <c r="M56" s="9">
        <v>115442.46</v>
      </c>
      <c r="N56" s="6" t="str">
        <f>_xlfn.XLOOKUP(tblSales[[#This Row],[ProductID]],tblProducts[ProductID],tblProducts[ProductName],"Not Found")</f>
        <v>RespiraX</v>
      </c>
      <c r="O56" s="8">
        <f>YEAR(tblSales[[#This Row],[Month]])</f>
        <v>2024</v>
      </c>
      <c r="P56" s="8">
        <f>MONTH(tblSales[[#This Row],[Month]])</f>
        <v>2</v>
      </c>
      <c r="Q56" s="6">
        <f>IFERROR(tblSales[[#This Row],[NetSalesTRY]]/tblSales[[#This Row],[Units]],0)</f>
        <v>572.05785714285707</v>
      </c>
      <c r="R56" s="17">
        <f>IFERROR(tblSales[[#This Row],[NetSalesTRY]]/tblSales[[#This Row],[TargetTRY]],0)</f>
        <v>0.97124870693157428</v>
      </c>
      <c r="S56" s="6">
        <f>tblSales[[#This Row],[NetSalesTRY]]-tblSales[[#This Row],[TargetTRY]]</f>
        <v>-3319.1200000000099</v>
      </c>
      <c r="T56" s="6">
        <f>MAX(tblSales[[#This Row],[TargetTRY]]-tblSales[[#This Row],[NetSalesTRY]],0)</f>
        <v>3319.1200000000099</v>
      </c>
    </row>
    <row r="57" spans="1:20">
      <c r="A57" t="s">
        <v>445</v>
      </c>
      <c r="B57" s="15">
        <v>45323</v>
      </c>
      <c r="C57" t="s">
        <v>19</v>
      </c>
      <c r="D57" t="s">
        <v>20</v>
      </c>
      <c r="E57" t="s">
        <v>37</v>
      </c>
      <c r="F57" t="s">
        <v>35</v>
      </c>
      <c r="G57" t="s">
        <v>14</v>
      </c>
      <c r="H57" s="8">
        <v>103</v>
      </c>
      <c r="I57" s="9">
        <v>113073.3</v>
      </c>
      <c r="J57" s="9">
        <v>4073.35</v>
      </c>
      <c r="K57" s="9">
        <v>1569.86</v>
      </c>
      <c r="L57" s="9">
        <v>107430.09</v>
      </c>
      <c r="M57" s="9">
        <v>108744.43</v>
      </c>
      <c r="N57" s="6" t="str">
        <f>_xlfn.XLOOKUP(tblSales[[#This Row],[ProductID]],tblProducts[ProductID],tblProducts[ProductName],"Not Found")</f>
        <v>NeuroCalm</v>
      </c>
      <c r="O57" s="8">
        <f>YEAR(tblSales[[#This Row],[Month]])</f>
        <v>2024</v>
      </c>
      <c r="P57" s="8">
        <f>MONTH(tblSales[[#This Row],[Month]])</f>
        <v>2</v>
      </c>
      <c r="Q57" s="6">
        <f>IFERROR(tblSales[[#This Row],[NetSalesTRY]]/tblSales[[#This Row],[Units]],0)</f>
        <v>1043.0105825242717</v>
      </c>
      <c r="R57" s="17">
        <f>IFERROR(tblSales[[#This Row],[NetSalesTRY]]/tblSales[[#This Row],[TargetTRY]],0)</f>
        <v>0.98791349589123789</v>
      </c>
      <c r="S57" s="6">
        <f>tblSales[[#This Row],[NetSalesTRY]]-tblSales[[#This Row],[TargetTRY]]</f>
        <v>-1314.3399999999965</v>
      </c>
      <c r="T57" s="6">
        <f>MAX(tblSales[[#This Row],[TargetTRY]]-tblSales[[#This Row],[NetSalesTRY]],0)</f>
        <v>1314.3399999999965</v>
      </c>
    </row>
    <row r="58" spans="1:20">
      <c r="A58" t="s">
        <v>446</v>
      </c>
      <c r="B58" s="15">
        <v>45323</v>
      </c>
      <c r="C58" t="s">
        <v>19</v>
      </c>
      <c r="D58" t="s">
        <v>20</v>
      </c>
      <c r="E58" t="s">
        <v>40</v>
      </c>
      <c r="F58" t="s">
        <v>38</v>
      </c>
      <c r="G58" t="s">
        <v>5</v>
      </c>
      <c r="H58" s="8">
        <v>147</v>
      </c>
      <c r="I58" s="9">
        <v>144377.04</v>
      </c>
      <c r="J58" s="9">
        <v>6073</v>
      </c>
      <c r="K58" s="9">
        <v>1507.97</v>
      </c>
      <c r="L58" s="9">
        <v>136796.07999999999</v>
      </c>
      <c r="M58" s="9">
        <v>136478.87</v>
      </c>
      <c r="N58" s="6" t="str">
        <f>_xlfn.XLOOKUP(tblSales[[#This Row],[ProductID]],tblProducts[ProductID],tblProducts[ProductName],"Not Found")</f>
        <v>Cardiovan</v>
      </c>
      <c r="O58" s="8">
        <f>YEAR(tblSales[[#This Row],[Month]])</f>
        <v>2024</v>
      </c>
      <c r="P58" s="8">
        <f>MONTH(tblSales[[#This Row],[Month]])</f>
        <v>2</v>
      </c>
      <c r="Q58" s="6">
        <f>IFERROR(tblSales[[#This Row],[NetSalesTRY]]/tblSales[[#This Row],[Units]],0)</f>
        <v>930.5855782312924</v>
      </c>
      <c r="R58" s="17">
        <f>IFERROR(tblSales[[#This Row],[NetSalesTRY]]/tblSales[[#This Row],[TargetTRY]],0)</f>
        <v>1.0023242425732275</v>
      </c>
      <c r="S58" s="6">
        <f>tblSales[[#This Row],[NetSalesTRY]]-tblSales[[#This Row],[TargetTRY]]</f>
        <v>317.20999999999185</v>
      </c>
      <c r="T58" s="6">
        <f>MAX(tblSales[[#This Row],[TargetTRY]]-tblSales[[#This Row],[NetSalesTRY]],0)</f>
        <v>0</v>
      </c>
    </row>
    <row r="59" spans="1:20">
      <c r="A59" t="s">
        <v>447</v>
      </c>
      <c r="B59" s="15">
        <v>45323</v>
      </c>
      <c r="C59" t="s">
        <v>19</v>
      </c>
      <c r="D59" t="s">
        <v>20</v>
      </c>
      <c r="E59" t="s">
        <v>40</v>
      </c>
      <c r="F59" t="s">
        <v>38</v>
      </c>
      <c r="G59" t="s">
        <v>8</v>
      </c>
      <c r="H59" s="8">
        <v>171</v>
      </c>
      <c r="I59" s="9">
        <v>131036.09</v>
      </c>
      <c r="J59" s="9">
        <v>9346.5499999999993</v>
      </c>
      <c r="K59" s="9">
        <v>767.91</v>
      </c>
      <c r="L59" s="9">
        <v>120921.63</v>
      </c>
      <c r="M59" s="9">
        <v>129876.4</v>
      </c>
      <c r="N59" s="6" t="str">
        <f>_xlfn.XLOOKUP(tblSales[[#This Row],[ProductID]],tblProducts[ProductID],tblProducts[ProductName],"Not Found")</f>
        <v>GlucoRelief</v>
      </c>
      <c r="O59" s="8">
        <f>YEAR(tblSales[[#This Row],[Month]])</f>
        <v>2024</v>
      </c>
      <c r="P59" s="8">
        <f>MONTH(tblSales[[#This Row],[Month]])</f>
        <v>2</v>
      </c>
      <c r="Q59" s="6">
        <f>IFERROR(tblSales[[#This Row],[NetSalesTRY]]/tblSales[[#This Row],[Units]],0)</f>
        <v>707.14403508771932</v>
      </c>
      <c r="R59" s="17">
        <f>IFERROR(tblSales[[#This Row],[NetSalesTRY]]/tblSales[[#This Row],[TargetTRY]],0)</f>
        <v>0.93105159982876029</v>
      </c>
      <c r="S59" s="6">
        <f>tblSales[[#This Row],[NetSalesTRY]]-tblSales[[#This Row],[TargetTRY]]</f>
        <v>-8954.7699999999895</v>
      </c>
      <c r="T59" s="6">
        <f>MAX(tblSales[[#This Row],[TargetTRY]]-tblSales[[#This Row],[NetSalesTRY]],0)</f>
        <v>8954.7699999999895</v>
      </c>
    </row>
    <row r="60" spans="1:20">
      <c r="A60" t="s">
        <v>448</v>
      </c>
      <c r="B60" s="15">
        <v>45323</v>
      </c>
      <c r="C60" t="s">
        <v>19</v>
      </c>
      <c r="D60" t="s">
        <v>20</v>
      </c>
      <c r="E60" t="s">
        <v>40</v>
      </c>
      <c r="F60" t="s">
        <v>38</v>
      </c>
      <c r="G60" t="s">
        <v>11</v>
      </c>
      <c r="H60" s="8">
        <v>211</v>
      </c>
      <c r="I60" s="9">
        <v>131467.26</v>
      </c>
      <c r="J60" s="9">
        <v>9528.99</v>
      </c>
      <c r="K60" s="9">
        <v>991.51</v>
      </c>
      <c r="L60" s="9">
        <v>120946.76</v>
      </c>
      <c r="M60" s="9">
        <v>127214.07</v>
      </c>
      <c r="N60" s="6" t="str">
        <f>_xlfn.XLOOKUP(tblSales[[#This Row],[ProductID]],tblProducts[ProductID],tblProducts[ProductName],"Not Found")</f>
        <v>RespiraX</v>
      </c>
      <c r="O60" s="8">
        <f>YEAR(tblSales[[#This Row],[Month]])</f>
        <v>2024</v>
      </c>
      <c r="P60" s="8">
        <f>MONTH(tblSales[[#This Row],[Month]])</f>
        <v>2</v>
      </c>
      <c r="Q60" s="6">
        <f>IFERROR(tblSales[[#This Row],[NetSalesTRY]]/tblSales[[#This Row],[Units]],0)</f>
        <v>573.20739336492886</v>
      </c>
      <c r="R60" s="17">
        <f>IFERROR(tblSales[[#This Row],[NetSalesTRY]]/tblSales[[#This Row],[TargetTRY]],0)</f>
        <v>0.9507341444228613</v>
      </c>
      <c r="S60" s="6">
        <f>tblSales[[#This Row],[NetSalesTRY]]-tblSales[[#This Row],[TargetTRY]]</f>
        <v>-6267.3100000000122</v>
      </c>
      <c r="T60" s="6">
        <f>MAX(tblSales[[#This Row],[TargetTRY]]-tblSales[[#This Row],[NetSalesTRY]],0)</f>
        <v>6267.3100000000122</v>
      </c>
    </row>
    <row r="61" spans="1:20">
      <c r="A61" t="s">
        <v>449</v>
      </c>
      <c r="B61" s="15">
        <v>45323</v>
      </c>
      <c r="C61" t="s">
        <v>19</v>
      </c>
      <c r="D61" t="s">
        <v>20</v>
      </c>
      <c r="E61" t="s">
        <v>40</v>
      </c>
      <c r="F61" t="s">
        <v>38</v>
      </c>
      <c r="G61" t="s">
        <v>14</v>
      </c>
      <c r="H61" s="8">
        <v>118</v>
      </c>
      <c r="I61" s="9">
        <v>131631.98000000001</v>
      </c>
      <c r="J61" s="9">
        <v>6114.11</v>
      </c>
      <c r="K61" s="9">
        <v>1147.45</v>
      </c>
      <c r="L61" s="9">
        <v>124370.42</v>
      </c>
      <c r="M61" s="9">
        <v>120592.06</v>
      </c>
      <c r="N61" s="6" t="str">
        <f>_xlfn.XLOOKUP(tblSales[[#This Row],[ProductID]],tblProducts[ProductID],tblProducts[ProductName],"Not Found")</f>
        <v>NeuroCalm</v>
      </c>
      <c r="O61" s="8">
        <f>YEAR(tblSales[[#This Row],[Month]])</f>
        <v>2024</v>
      </c>
      <c r="P61" s="8">
        <f>MONTH(tblSales[[#This Row],[Month]])</f>
        <v>2</v>
      </c>
      <c r="Q61" s="6">
        <f>IFERROR(tblSales[[#This Row],[NetSalesTRY]]/tblSales[[#This Row],[Units]],0)</f>
        <v>1053.9866101694915</v>
      </c>
      <c r="R61" s="17">
        <f>IFERROR(tblSales[[#This Row],[NetSalesTRY]]/tblSales[[#This Row],[TargetTRY]],0)</f>
        <v>1.0313317477120798</v>
      </c>
      <c r="S61" s="6">
        <f>tblSales[[#This Row],[NetSalesTRY]]-tblSales[[#This Row],[TargetTRY]]</f>
        <v>3778.3600000000006</v>
      </c>
      <c r="T61" s="6">
        <f>MAX(tblSales[[#This Row],[TargetTRY]]-tblSales[[#This Row],[NetSalesTRY]],0)</f>
        <v>0</v>
      </c>
    </row>
    <row r="62" spans="1:20">
      <c r="A62" t="s">
        <v>450</v>
      </c>
      <c r="B62" s="15">
        <v>45323</v>
      </c>
      <c r="C62" t="s">
        <v>21</v>
      </c>
      <c r="D62" t="s">
        <v>22</v>
      </c>
      <c r="E62" t="s">
        <v>43</v>
      </c>
      <c r="F62" t="s">
        <v>41</v>
      </c>
      <c r="G62" t="s">
        <v>5</v>
      </c>
      <c r="H62" s="8">
        <v>105</v>
      </c>
      <c r="I62" s="9">
        <v>102704.75</v>
      </c>
      <c r="J62" s="9">
        <v>4464.07</v>
      </c>
      <c r="K62" s="9">
        <v>1032.8399999999999</v>
      </c>
      <c r="L62" s="9">
        <v>97207.83</v>
      </c>
      <c r="M62" s="9">
        <v>101706.51</v>
      </c>
      <c r="N62" s="6" t="str">
        <f>_xlfn.XLOOKUP(tblSales[[#This Row],[ProductID]],tblProducts[ProductID],tblProducts[ProductName],"Not Found")</f>
        <v>Cardiovan</v>
      </c>
      <c r="O62" s="8">
        <f>YEAR(tblSales[[#This Row],[Month]])</f>
        <v>2024</v>
      </c>
      <c r="P62" s="8">
        <f>MONTH(tblSales[[#This Row],[Month]])</f>
        <v>2</v>
      </c>
      <c r="Q62" s="6">
        <f>IFERROR(tblSales[[#This Row],[NetSalesTRY]]/tblSales[[#This Row],[Units]],0)</f>
        <v>925.78885714285718</v>
      </c>
      <c r="R62" s="17">
        <f>IFERROR(tblSales[[#This Row],[NetSalesTRY]]/tblSales[[#This Row],[TargetTRY]],0)</f>
        <v>0.95576802310884534</v>
      </c>
      <c r="S62" s="6">
        <f>tblSales[[#This Row],[NetSalesTRY]]-tblSales[[#This Row],[TargetTRY]]</f>
        <v>-4498.679999999993</v>
      </c>
      <c r="T62" s="6">
        <f>MAX(tblSales[[#This Row],[TargetTRY]]-tblSales[[#This Row],[NetSalesTRY]],0)</f>
        <v>4498.679999999993</v>
      </c>
    </row>
    <row r="63" spans="1:20">
      <c r="A63" t="s">
        <v>451</v>
      </c>
      <c r="B63" s="15">
        <v>45323</v>
      </c>
      <c r="C63" t="s">
        <v>21</v>
      </c>
      <c r="D63" t="s">
        <v>22</v>
      </c>
      <c r="E63" t="s">
        <v>43</v>
      </c>
      <c r="F63" t="s">
        <v>41</v>
      </c>
      <c r="G63" t="s">
        <v>8</v>
      </c>
      <c r="H63" s="8">
        <v>134</v>
      </c>
      <c r="I63" s="9">
        <v>101520.13</v>
      </c>
      <c r="J63" s="9">
        <v>5490.28</v>
      </c>
      <c r="K63" s="9">
        <v>978.5</v>
      </c>
      <c r="L63" s="9">
        <v>95051.35</v>
      </c>
      <c r="M63" s="9">
        <v>95460.04</v>
      </c>
      <c r="N63" s="6" t="str">
        <f>_xlfn.XLOOKUP(tblSales[[#This Row],[ProductID]],tblProducts[ProductID],tblProducts[ProductName],"Not Found")</f>
        <v>GlucoRelief</v>
      </c>
      <c r="O63" s="8">
        <f>YEAR(tblSales[[#This Row],[Month]])</f>
        <v>2024</v>
      </c>
      <c r="P63" s="8">
        <f>MONTH(tblSales[[#This Row],[Month]])</f>
        <v>2</v>
      </c>
      <c r="Q63" s="6">
        <f>IFERROR(tblSales[[#This Row],[NetSalesTRY]]/tblSales[[#This Row],[Units]],0)</f>
        <v>709.33843283582098</v>
      </c>
      <c r="R63" s="17">
        <f>IFERROR(tblSales[[#This Row],[NetSalesTRY]]/tblSales[[#This Row],[TargetTRY]],0)</f>
        <v>0.99571873215221796</v>
      </c>
      <c r="S63" s="6">
        <f>tblSales[[#This Row],[NetSalesTRY]]-tblSales[[#This Row],[TargetTRY]]</f>
        <v>-408.68999999998778</v>
      </c>
      <c r="T63" s="6">
        <f>MAX(tblSales[[#This Row],[TargetTRY]]-tblSales[[#This Row],[NetSalesTRY]],0)</f>
        <v>408.68999999998778</v>
      </c>
    </row>
    <row r="64" spans="1:20">
      <c r="A64" t="s">
        <v>452</v>
      </c>
      <c r="B64" s="15">
        <v>45323</v>
      </c>
      <c r="C64" t="s">
        <v>21</v>
      </c>
      <c r="D64" t="s">
        <v>22</v>
      </c>
      <c r="E64" t="s">
        <v>43</v>
      </c>
      <c r="F64" t="s">
        <v>41</v>
      </c>
      <c r="G64" t="s">
        <v>11</v>
      </c>
      <c r="H64" s="8">
        <v>151</v>
      </c>
      <c r="I64" s="9">
        <v>92570.57</v>
      </c>
      <c r="J64" s="9">
        <v>3620.64</v>
      </c>
      <c r="K64" s="9">
        <v>737.76</v>
      </c>
      <c r="L64" s="9">
        <v>88212.160000000003</v>
      </c>
      <c r="M64" s="9">
        <v>92357.31</v>
      </c>
      <c r="N64" s="6" t="str">
        <f>_xlfn.XLOOKUP(tblSales[[#This Row],[ProductID]],tblProducts[ProductID],tblProducts[ProductName],"Not Found")</f>
        <v>RespiraX</v>
      </c>
      <c r="O64" s="8">
        <f>YEAR(tblSales[[#This Row],[Month]])</f>
        <v>2024</v>
      </c>
      <c r="P64" s="8">
        <f>MONTH(tblSales[[#This Row],[Month]])</f>
        <v>2</v>
      </c>
      <c r="Q64" s="6">
        <f>IFERROR(tblSales[[#This Row],[NetSalesTRY]]/tblSales[[#This Row],[Units]],0)</f>
        <v>584.18649006622513</v>
      </c>
      <c r="R64" s="17">
        <f>IFERROR(tblSales[[#This Row],[NetSalesTRY]]/tblSales[[#This Row],[TargetTRY]],0)</f>
        <v>0.95511833335119878</v>
      </c>
      <c r="S64" s="6">
        <f>tblSales[[#This Row],[NetSalesTRY]]-tblSales[[#This Row],[TargetTRY]]</f>
        <v>-4145.1499999999942</v>
      </c>
      <c r="T64" s="6">
        <f>MAX(tblSales[[#This Row],[TargetTRY]]-tblSales[[#This Row],[NetSalesTRY]],0)</f>
        <v>4145.1499999999942</v>
      </c>
    </row>
    <row r="65" spans="1:20">
      <c r="A65" t="s">
        <v>453</v>
      </c>
      <c r="B65" s="15">
        <v>45323</v>
      </c>
      <c r="C65" t="s">
        <v>21</v>
      </c>
      <c r="D65" t="s">
        <v>22</v>
      </c>
      <c r="E65" t="s">
        <v>43</v>
      </c>
      <c r="F65" t="s">
        <v>41</v>
      </c>
      <c r="G65" t="s">
        <v>14</v>
      </c>
      <c r="H65" s="8">
        <v>87</v>
      </c>
      <c r="I65" s="9">
        <v>94851.03</v>
      </c>
      <c r="J65" s="9">
        <v>6161.2</v>
      </c>
      <c r="K65" s="9">
        <v>551.70000000000005</v>
      </c>
      <c r="L65" s="9">
        <v>88138.14</v>
      </c>
      <c r="M65" s="9">
        <v>87232.19</v>
      </c>
      <c r="N65" s="6" t="str">
        <f>_xlfn.XLOOKUP(tblSales[[#This Row],[ProductID]],tblProducts[ProductID],tblProducts[ProductName],"Not Found")</f>
        <v>NeuroCalm</v>
      </c>
      <c r="O65" s="8">
        <f>YEAR(tblSales[[#This Row],[Month]])</f>
        <v>2024</v>
      </c>
      <c r="P65" s="8">
        <f>MONTH(tblSales[[#This Row],[Month]])</f>
        <v>2</v>
      </c>
      <c r="Q65" s="6">
        <f>IFERROR(tblSales[[#This Row],[NetSalesTRY]]/tblSales[[#This Row],[Units]],0)</f>
        <v>1013.0820689655172</v>
      </c>
      <c r="R65" s="17">
        <f>IFERROR(tblSales[[#This Row],[NetSalesTRY]]/tblSales[[#This Row],[TargetTRY]],0)</f>
        <v>1.0103855010403842</v>
      </c>
      <c r="S65" s="6">
        <f>tblSales[[#This Row],[NetSalesTRY]]-tblSales[[#This Row],[TargetTRY]]</f>
        <v>905.94999999999709</v>
      </c>
      <c r="T65" s="6">
        <f>MAX(tblSales[[#This Row],[TargetTRY]]-tblSales[[#This Row],[NetSalesTRY]],0)</f>
        <v>0</v>
      </c>
    </row>
    <row r="66" spans="1:20">
      <c r="A66" t="s">
        <v>454</v>
      </c>
      <c r="B66" s="15">
        <v>45323</v>
      </c>
      <c r="C66" t="s">
        <v>21</v>
      </c>
      <c r="D66" t="s">
        <v>22</v>
      </c>
      <c r="E66" t="s">
        <v>46</v>
      </c>
      <c r="F66" t="s">
        <v>44</v>
      </c>
      <c r="G66" t="s">
        <v>5</v>
      </c>
      <c r="H66" s="8">
        <v>102</v>
      </c>
      <c r="I66" s="9">
        <v>99329.18</v>
      </c>
      <c r="J66" s="9">
        <v>7113.39</v>
      </c>
      <c r="K66" s="9">
        <v>823.07</v>
      </c>
      <c r="L66" s="9">
        <v>91392.71</v>
      </c>
      <c r="M66" s="9">
        <v>89671.19</v>
      </c>
      <c r="N66" s="6" t="str">
        <f>_xlfn.XLOOKUP(tblSales[[#This Row],[ProductID]],tblProducts[ProductID],tblProducts[ProductName],"Not Found")</f>
        <v>Cardiovan</v>
      </c>
      <c r="O66" s="8">
        <f>YEAR(tblSales[[#This Row],[Month]])</f>
        <v>2024</v>
      </c>
      <c r="P66" s="8">
        <f>MONTH(tblSales[[#This Row],[Month]])</f>
        <v>2</v>
      </c>
      <c r="Q66" s="6">
        <f>IFERROR(tblSales[[#This Row],[NetSalesTRY]]/tblSales[[#This Row],[Units]],0)</f>
        <v>896.00696078431383</v>
      </c>
      <c r="R66" s="17">
        <f>IFERROR(tblSales[[#This Row],[NetSalesTRY]]/tblSales[[#This Row],[TargetTRY]],0)</f>
        <v>1.019198139335499</v>
      </c>
      <c r="S66" s="6">
        <f>tblSales[[#This Row],[NetSalesTRY]]-tblSales[[#This Row],[TargetTRY]]</f>
        <v>1721.5200000000041</v>
      </c>
      <c r="T66" s="6">
        <f>MAX(tblSales[[#This Row],[TargetTRY]]-tblSales[[#This Row],[NetSalesTRY]],0)</f>
        <v>0</v>
      </c>
    </row>
    <row r="67" spans="1:20">
      <c r="A67" t="s">
        <v>455</v>
      </c>
      <c r="B67" s="15">
        <v>45323</v>
      </c>
      <c r="C67" t="s">
        <v>21</v>
      </c>
      <c r="D67" t="s">
        <v>22</v>
      </c>
      <c r="E67" t="s">
        <v>46</v>
      </c>
      <c r="F67" t="s">
        <v>44</v>
      </c>
      <c r="G67" t="s">
        <v>8</v>
      </c>
      <c r="H67" s="8">
        <v>120</v>
      </c>
      <c r="I67" s="9">
        <v>92212.66</v>
      </c>
      <c r="J67" s="9">
        <v>5055.0600000000004</v>
      </c>
      <c r="K67" s="9">
        <v>606.86</v>
      </c>
      <c r="L67" s="9">
        <v>86550.74</v>
      </c>
      <c r="M67" s="9">
        <v>84792.8</v>
      </c>
      <c r="N67" s="6" t="str">
        <f>_xlfn.XLOOKUP(tblSales[[#This Row],[ProductID]],tblProducts[ProductID],tblProducts[ProductName],"Not Found")</f>
        <v>GlucoRelief</v>
      </c>
      <c r="O67" s="8">
        <f>YEAR(tblSales[[#This Row],[Month]])</f>
        <v>2024</v>
      </c>
      <c r="P67" s="8">
        <f>MONTH(tblSales[[#This Row],[Month]])</f>
        <v>2</v>
      </c>
      <c r="Q67" s="6">
        <f>IFERROR(tblSales[[#This Row],[NetSalesTRY]]/tblSales[[#This Row],[Units]],0)</f>
        <v>721.25616666666667</v>
      </c>
      <c r="R67" s="17">
        <f>IFERROR(tblSales[[#This Row],[NetSalesTRY]]/tblSales[[#This Row],[TargetTRY]],0)</f>
        <v>1.0207321848081441</v>
      </c>
      <c r="S67" s="6">
        <f>tblSales[[#This Row],[NetSalesTRY]]-tblSales[[#This Row],[TargetTRY]]</f>
        <v>1757.9400000000023</v>
      </c>
      <c r="T67" s="6">
        <f>MAX(tblSales[[#This Row],[TargetTRY]]-tblSales[[#This Row],[NetSalesTRY]],0)</f>
        <v>0</v>
      </c>
    </row>
    <row r="68" spans="1:20">
      <c r="A68" t="s">
        <v>456</v>
      </c>
      <c r="B68" s="15">
        <v>45323</v>
      </c>
      <c r="C68" t="s">
        <v>21</v>
      </c>
      <c r="D68" t="s">
        <v>22</v>
      </c>
      <c r="E68" t="s">
        <v>46</v>
      </c>
      <c r="F68" t="s">
        <v>44</v>
      </c>
      <c r="G68" t="s">
        <v>11</v>
      </c>
      <c r="H68" s="8">
        <v>133</v>
      </c>
      <c r="I68" s="9">
        <v>81809</v>
      </c>
      <c r="J68" s="9">
        <v>3691.49</v>
      </c>
      <c r="K68" s="9">
        <v>718.25</v>
      </c>
      <c r="L68" s="9">
        <v>77399.259999999995</v>
      </c>
      <c r="M68" s="9">
        <v>83541.36</v>
      </c>
      <c r="N68" s="6" t="str">
        <f>_xlfn.XLOOKUP(tblSales[[#This Row],[ProductID]],tblProducts[ProductID],tblProducts[ProductName],"Not Found")</f>
        <v>RespiraX</v>
      </c>
      <c r="O68" s="8">
        <f>YEAR(tblSales[[#This Row],[Month]])</f>
        <v>2024</v>
      </c>
      <c r="P68" s="8">
        <f>MONTH(tblSales[[#This Row],[Month]])</f>
        <v>2</v>
      </c>
      <c r="Q68" s="6">
        <f>IFERROR(tblSales[[#This Row],[NetSalesTRY]]/tblSales[[#This Row],[Units]],0)</f>
        <v>581.94932330827066</v>
      </c>
      <c r="R68" s="17">
        <f>IFERROR(tblSales[[#This Row],[NetSalesTRY]]/tblSales[[#This Row],[TargetTRY]],0)</f>
        <v>0.92647833360625198</v>
      </c>
      <c r="S68" s="6">
        <f>tblSales[[#This Row],[NetSalesTRY]]-tblSales[[#This Row],[TargetTRY]]</f>
        <v>-6142.1000000000058</v>
      </c>
      <c r="T68" s="6">
        <f>MAX(tblSales[[#This Row],[TargetTRY]]-tblSales[[#This Row],[NetSalesTRY]],0)</f>
        <v>6142.1000000000058</v>
      </c>
    </row>
    <row r="69" spans="1:20">
      <c r="A69" t="s">
        <v>457</v>
      </c>
      <c r="B69" s="15">
        <v>45323</v>
      </c>
      <c r="C69" t="s">
        <v>21</v>
      </c>
      <c r="D69" t="s">
        <v>22</v>
      </c>
      <c r="E69" t="s">
        <v>46</v>
      </c>
      <c r="F69" t="s">
        <v>44</v>
      </c>
      <c r="G69" t="s">
        <v>14</v>
      </c>
      <c r="H69" s="8">
        <v>72</v>
      </c>
      <c r="I69" s="9">
        <v>78228.98</v>
      </c>
      <c r="J69" s="9">
        <v>5170.5600000000004</v>
      </c>
      <c r="K69" s="9">
        <v>394.27</v>
      </c>
      <c r="L69" s="9">
        <v>72664.149999999994</v>
      </c>
      <c r="M69" s="9">
        <v>76976.97</v>
      </c>
      <c r="N69" s="6" t="str">
        <f>_xlfn.XLOOKUP(tblSales[[#This Row],[ProductID]],tblProducts[ProductID],tblProducts[ProductName],"Not Found")</f>
        <v>NeuroCalm</v>
      </c>
      <c r="O69" s="8">
        <f>YEAR(tblSales[[#This Row],[Month]])</f>
        <v>2024</v>
      </c>
      <c r="P69" s="8">
        <f>MONTH(tblSales[[#This Row],[Month]])</f>
        <v>2</v>
      </c>
      <c r="Q69" s="6">
        <f>IFERROR(tblSales[[#This Row],[NetSalesTRY]]/tblSales[[#This Row],[Units]],0)</f>
        <v>1009.2243055555555</v>
      </c>
      <c r="R69" s="17">
        <f>IFERROR(tblSales[[#This Row],[NetSalesTRY]]/tblSales[[#This Row],[TargetTRY]],0)</f>
        <v>0.94397259336136496</v>
      </c>
      <c r="S69" s="6">
        <f>tblSales[[#This Row],[NetSalesTRY]]-tblSales[[#This Row],[TargetTRY]]</f>
        <v>-4312.820000000007</v>
      </c>
      <c r="T69" s="6">
        <f>MAX(tblSales[[#This Row],[TargetTRY]]-tblSales[[#This Row],[NetSalesTRY]],0)</f>
        <v>4312.820000000007</v>
      </c>
    </row>
    <row r="70" spans="1:20">
      <c r="A70" t="s">
        <v>458</v>
      </c>
      <c r="B70" s="15">
        <v>45323</v>
      </c>
      <c r="C70" t="s">
        <v>21</v>
      </c>
      <c r="D70" t="s">
        <v>22</v>
      </c>
      <c r="E70" t="s">
        <v>49</v>
      </c>
      <c r="F70" t="s">
        <v>47</v>
      </c>
      <c r="G70" t="s">
        <v>5</v>
      </c>
      <c r="H70" s="8">
        <v>105</v>
      </c>
      <c r="I70" s="9">
        <v>102135.58</v>
      </c>
      <c r="J70" s="9">
        <v>7463.53</v>
      </c>
      <c r="K70" s="9">
        <v>967.07</v>
      </c>
      <c r="L70" s="9">
        <v>93704.97</v>
      </c>
      <c r="M70" s="9">
        <v>100873.58</v>
      </c>
      <c r="N70" s="6" t="str">
        <f>_xlfn.XLOOKUP(tblSales[[#This Row],[ProductID]],tblProducts[ProductID],tblProducts[ProductName],"Not Found")</f>
        <v>Cardiovan</v>
      </c>
      <c r="O70" s="8">
        <f>YEAR(tblSales[[#This Row],[Month]])</f>
        <v>2024</v>
      </c>
      <c r="P70" s="8">
        <f>MONTH(tblSales[[#This Row],[Month]])</f>
        <v>2</v>
      </c>
      <c r="Q70" s="6">
        <f>IFERROR(tblSales[[#This Row],[NetSalesTRY]]/tblSales[[#This Row],[Units]],0)</f>
        <v>892.42828571428572</v>
      </c>
      <c r="R70" s="17">
        <f>IFERROR(tblSales[[#This Row],[NetSalesTRY]]/tblSales[[#This Row],[TargetTRY]],0)</f>
        <v>0.92893471214167278</v>
      </c>
      <c r="S70" s="6">
        <f>tblSales[[#This Row],[NetSalesTRY]]-tblSales[[#This Row],[TargetTRY]]</f>
        <v>-7168.6100000000006</v>
      </c>
      <c r="T70" s="6">
        <f>MAX(tblSales[[#This Row],[TargetTRY]]-tblSales[[#This Row],[NetSalesTRY]],0)</f>
        <v>7168.6100000000006</v>
      </c>
    </row>
    <row r="71" spans="1:20">
      <c r="A71" t="s">
        <v>459</v>
      </c>
      <c r="B71" s="15">
        <v>45323</v>
      </c>
      <c r="C71" t="s">
        <v>21</v>
      </c>
      <c r="D71" t="s">
        <v>22</v>
      </c>
      <c r="E71" t="s">
        <v>49</v>
      </c>
      <c r="F71" t="s">
        <v>47</v>
      </c>
      <c r="G71" t="s">
        <v>8</v>
      </c>
      <c r="H71" s="8">
        <v>125</v>
      </c>
      <c r="I71" s="9">
        <v>95364.94</v>
      </c>
      <c r="J71" s="9">
        <v>5544.4</v>
      </c>
      <c r="K71" s="9">
        <v>1259.03</v>
      </c>
      <c r="L71" s="9">
        <v>88561.51</v>
      </c>
      <c r="M71" s="9">
        <v>94696.639999999999</v>
      </c>
      <c r="N71" s="6" t="str">
        <f>_xlfn.XLOOKUP(tblSales[[#This Row],[ProductID]],tblProducts[ProductID],tblProducts[ProductName],"Not Found")</f>
        <v>GlucoRelief</v>
      </c>
      <c r="O71" s="8">
        <f>YEAR(tblSales[[#This Row],[Month]])</f>
        <v>2024</v>
      </c>
      <c r="P71" s="8">
        <f>MONTH(tblSales[[#This Row],[Month]])</f>
        <v>2</v>
      </c>
      <c r="Q71" s="6">
        <f>IFERROR(tblSales[[#This Row],[NetSalesTRY]]/tblSales[[#This Row],[Units]],0)</f>
        <v>708.49207999999999</v>
      </c>
      <c r="R71" s="17">
        <f>IFERROR(tblSales[[#This Row],[NetSalesTRY]]/tblSales[[#This Row],[TargetTRY]],0)</f>
        <v>0.93521280163689013</v>
      </c>
      <c r="S71" s="6">
        <f>tblSales[[#This Row],[NetSalesTRY]]-tblSales[[#This Row],[TargetTRY]]</f>
        <v>-6135.1300000000047</v>
      </c>
      <c r="T71" s="6">
        <f>MAX(tblSales[[#This Row],[TargetTRY]]-tblSales[[#This Row],[NetSalesTRY]],0)</f>
        <v>6135.1300000000047</v>
      </c>
    </row>
    <row r="72" spans="1:20">
      <c r="A72" t="s">
        <v>460</v>
      </c>
      <c r="B72" s="15">
        <v>45323</v>
      </c>
      <c r="C72" t="s">
        <v>21</v>
      </c>
      <c r="D72" t="s">
        <v>22</v>
      </c>
      <c r="E72" t="s">
        <v>49</v>
      </c>
      <c r="F72" t="s">
        <v>47</v>
      </c>
      <c r="G72" t="s">
        <v>11</v>
      </c>
      <c r="H72" s="8">
        <v>163</v>
      </c>
      <c r="I72" s="9">
        <v>101591.09</v>
      </c>
      <c r="J72" s="9">
        <v>6811.92</v>
      </c>
      <c r="K72" s="9">
        <v>612.62</v>
      </c>
      <c r="L72" s="9">
        <v>94166.55</v>
      </c>
      <c r="M72" s="9">
        <v>92869.06</v>
      </c>
      <c r="N72" s="6" t="str">
        <f>_xlfn.XLOOKUP(tblSales[[#This Row],[ProductID]],tblProducts[ProductID],tblProducts[ProductName],"Not Found")</f>
        <v>RespiraX</v>
      </c>
      <c r="O72" s="8">
        <f>YEAR(tblSales[[#This Row],[Month]])</f>
        <v>2024</v>
      </c>
      <c r="P72" s="8">
        <f>MONTH(tblSales[[#This Row],[Month]])</f>
        <v>2</v>
      </c>
      <c r="Q72" s="6">
        <f>IFERROR(tblSales[[#This Row],[NetSalesTRY]]/tblSales[[#This Row],[Units]],0)</f>
        <v>577.70889570552151</v>
      </c>
      <c r="R72" s="17">
        <f>IFERROR(tblSales[[#This Row],[NetSalesTRY]]/tblSales[[#This Row],[TargetTRY]],0)</f>
        <v>1.0139711761915109</v>
      </c>
      <c r="S72" s="6">
        <f>tblSales[[#This Row],[NetSalesTRY]]-tblSales[[#This Row],[TargetTRY]]</f>
        <v>1297.4900000000052</v>
      </c>
      <c r="T72" s="6">
        <f>MAX(tblSales[[#This Row],[TargetTRY]]-tblSales[[#This Row],[NetSalesTRY]],0)</f>
        <v>0</v>
      </c>
    </row>
    <row r="73" spans="1:20">
      <c r="A73" t="s">
        <v>461</v>
      </c>
      <c r="B73" s="15">
        <v>45323</v>
      </c>
      <c r="C73" t="s">
        <v>21</v>
      </c>
      <c r="D73" t="s">
        <v>22</v>
      </c>
      <c r="E73" t="s">
        <v>49</v>
      </c>
      <c r="F73" t="s">
        <v>47</v>
      </c>
      <c r="G73" t="s">
        <v>14</v>
      </c>
      <c r="H73" s="8">
        <v>87</v>
      </c>
      <c r="I73" s="9">
        <v>95390.62</v>
      </c>
      <c r="J73" s="9">
        <v>5675.73</v>
      </c>
      <c r="K73" s="9">
        <v>1006.31</v>
      </c>
      <c r="L73" s="9">
        <v>88708.58</v>
      </c>
      <c r="M73" s="9">
        <v>85535.02</v>
      </c>
      <c r="N73" s="6" t="str">
        <f>_xlfn.XLOOKUP(tblSales[[#This Row],[ProductID]],tblProducts[ProductID],tblProducts[ProductName],"Not Found")</f>
        <v>NeuroCalm</v>
      </c>
      <c r="O73" s="8">
        <f>YEAR(tblSales[[#This Row],[Month]])</f>
        <v>2024</v>
      </c>
      <c r="P73" s="8">
        <f>MONTH(tblSales[[#This Row],[Month]])</f>
        <v>2</v>
      </c>
      <c r="Q73" s="6">
        <f>IFERROR(tblSales[[#This Row],[NetSalesTRY]]/tblSales[[#This Row],[Units]],0)</f>
        <v>1019.6388505747127</v>
      </c>
      <c r="R73" s="17">
        <f>IFERROR(tblSales[[#This Row],[NetSalesTRY]]/tblSales[[#This Row],[TargetTRY]],0)</f>
        <v>1.037102463996618</v>
      </c>
      <c r="S73" s="6">
        <f>tblSales[[#This Row],[NetSalesTRY]]-tblSales[[#This Row],[TargetTRY]]</f>
        <v>3173.5599999999977</v>
      </c>
      <c r="T73" s="6">
        <f>MAX(tblSales[[#This Row],[TargetTRY]]-tblSales[[#This Row],[NetSalesTRY]],0)</f>
        <v>0</v>
      </c>
    </row>
    <row r="74" spans="1:20">
      <c r="A74" t="s">
        <v>462</v>
      </c>
      <c r="B74" s="15">
        <v>45323</v>
      </c>
      <c r="C74" t="s">
        <v>23</v>
      </c>
      <c r="D74" t="s">
        <v>24</v>
      </c>
      <c r="E74" t="s">
        <v>52</v>
      </c>
      <c r="F74" t="s">
        <v>50</v>
      </c>
      <c r="G74" t="s">
        <v>5</v>
      </c>
      <c r="H74" s="8">
        <v>111</v>
      </c>
      <c r="I74" s="9">
        <v>109699.26</v>
      </c>
      <c r="J74" s="9">
        <v>6709.16</v>
      </c>
      <c r="K74" s="9">
        <v>792.36</v>
      </c>
      <c r="L74" s="9">
        <v>102197.74</v>
      </c>
      <c r="M74" s="9">
        <v>101982.54</v>
      </c>
      <c r="N74" s="6" t="str">
        <f>_xlfn.XLOOKUP(tblSales[[#This Row],[ProductID]],tblProducts[ProductID],tblProducts[ProductName],"Not Found")</f>
        <v>Cardiovan</v>
      </c>
      <c r="O74" s="8">
        <f>YEAR(tblSales[[#This Row],[Month]])</f>
        <v>2024</v>
      </c>
      <c r="P74" s="8">
        <f>MONTH(tblSales[[#This Row],[Month]])</f>
        <v>2</v>
      </c>
      <c r="Q74" s="6">
        <f>IFERROR(tblSales[[#This Row],[NetSalesTRY]]/tblSales[[#This Row],[Units]],0)</f>
        <v>920.70036036036038</v>
      </c>
      <c r="R74" s="17">
        <f>IFERROR(tblSales[[#This Row],[NetSalesTRY]]/tblSales[[#This Row],[TargetTRY]],0)</f>
        <v>1.0021101651321884</v>
      </c>
      <c r="S74" s="6">
        <f>tblSales[[#This Row],[NetSalesTRY]]-tblSales[[#This Row],[TargetTRY]]</f>
        <v>215.20000000001164</v>
      </c>
      <c r="T74" s="6">
        <f>MAX(tblSales[[#This Row],[TargetTRY]]-tblSales[[#This Row],[NetSalesTRY]],0)</f>
        <v>0</v>
      </c>
    </row>
    <row r="75" spans="1:20">
      <c r="A75" t="s">
        <v>463</v>
      </c>
      <c r="B75" s="15">
        <v>45323</v>
      </c>
      <c r="C75" t="s">
        <v>23</v>
      </c>
      <c r="D75" t="s">
        <v>24</v>
      </c>
      <c r="E75" t="s">
        <v>52</v>
      </c>
      <c r="F75" t="s">
        <v>50</v>
      </c>
      <c r="G75" t="s">
        <v>8</v>
      </c>
      <c r="H75" s="8">
        <v>132</v>
      </c>
      <c r="I75" s="9">
        <v>100433.38</v>
      </c>
      <c r="J75" s="9">
        <v>6380.23</v>
      </c>
      <c r="K75" s="9">
        <v>1174.79</v>
      </c>
      <c r="L75" s="9">
        <v>92878.35</v>
      </c>
      <c r="M75" s="9">
        <v>93626.13</v>
      </c>
      <c r="N75" s="6" t="str">
        <f>_xlfn.XLOOKUP(tblSales[[#This Row],[ProductID]],tblProducts[ProductID],tblProducts[ProductName],"Not Found")</f>
        <v>GlucoRelief</v>
      </c>
      <c r="O75" s="8">
        <f>YEAR(tblSales[[#This Row],[Month]])</f>
        <v>2024</v>
      </c>
      <c r="P75" s="8">
        <f>MONTH(tblSales[[#This Row],[Month]])</f>
        <v>2</v>
      </c>
      <c r="Q75" s="6">
        <f>IFERROR(tblSales[[#This Row],[NetSalesTRY]]/tblSales[[#This Row],[Units]],0)</f>
        <v>703.62386363636369</v>
      </c>
      <c r="R75" s="17">
        <f>IFERROR(tblSales[[#This Row],[NetSalesTRY]]/tblSales[[#This Row],[TargetTRY]],0)</f>
        <v>0.99201312710458078</v>
      </c>
      <c r="S75" s="6">
        <f>tblSales[[#This Row],[NetSalesTRY]]-tblSales[[#This Row],[TargetTRY]]</f>
        <v>-747.77999999999884</v>
      </c>
      <c r="T75" s="6">
        <f>MAX(tblSales[[#This Row],[TargetTRY]]-tblSales[[#This Row],[NetSalesTRY]],0)</f>
        <v>747.77999999999884</v>
      </c>
    </row>
    <row r="76" spans="1:20">
      <c r="A76" t="s">
        <v>464</v>
      </c>
      <c r="B76" s="15">
        <v>45323</v>
      </c>
      <c r="C76" t="s">
        <v>23</v>
      </c>
      <c r="D76" t="s">
        <v>24</v>
      </c>
      <c r="E76" t="s">
        <v>52</v>
      </c>
      <c r="F76" t="s">
        <v>50</v>
      </c>
      <c r="G76" t="s">
        <v>11</v>
      </c>
      <c r="H76" s="8">
        <v>160</v>
      </c>
      <c r="I76" s="9">
        <v>98429.78</v>
      </c>
      <c r="J76" s="9">
        <v>6293.85</v>
      </c>
      <c r="K76" s="9">
        <v>857.06</v>
      </c>
      <c r="L76" s="9">
        <v>91278.88</v>
      </c>
      <c r="M76" s="9">
        <v>93807.53</v>
      </c>
      <c r="N76" s="6" t="str">
        <f>_xlfn.XLOOKUP(tblSales[[#This Row],[ProductID]],tblProducts[ProductID],tblProducts[ProductName],"Not Found")</f>
        <v>RespiraX</v>
      </c>
      <c r="O76" s="8">
        <f>YEAR(tblSales[[#This Row],[Month]])</f>
        <v>2024</v>
      </c>
      <c r="P76" s="8">
        <f>MONTH(tblSales[[#This Row],[Month]])</f>
        <v>2</v>
      </c>
      <c r="Q76" s="6">
        <f>IFERROR(tblSales[[#This Row],[NetSalesTRY]]/tblSales[[#This Row],[Units]],0)</f>
        <v>570.49300000000005</v>
      </c>
      <c r="R76" s="17">
        <f>IFERROR(tblSales[[#This Row],[NetSalesTRY]]/tblSales[[#This Row],[TargetTRY]],0)</f>
        <v>0.97304427480395239</v>
      </c>
      <c r="S76" s="6">
        <f>tblSales[[#This Row],[NetSalesTRY]]-tblSales[[#This Row],[TargetTRY]]</f>
        <v>-2528.6499999999942</v>
      </c>
      <c r="T76" s="6">
        <f>MAX(tblSales[[#This Row],[TargetTRY]]-tblSales[[#This Row],[NetSalesTRY]],0)</f>
        <v>2528.6499999999942</v>
      </c>
    </row>
    <row r="77" spans="1:20">
      <c r="A77" t="s">
        <v>465</v>
      </c>
      <c r="B77" s="15">
        <v>45323</v>
      </c>
      <c r="C77" t="s">
        <v>23</v>
      </c>
      <c r="D77" t="s">
        <v>24</v>
      </c>
      <c r="E77" t="s">
        <v>52</v>
      </c>
      <c r="F77" t="s">
        <v>50</v>
      </c>
      <c r="G77" t="s">
        <v>14</v>
      </c>
      <c r="H77" s="8">
        <v>79</v>
      </c>
      <c r="I77" s="9">
        <v>87327.25</v>
      </c>
      <c r="J77" s="9">
        <v>4213.07</v>
      </c>
      <c r="K77" s="9">
        <v>763.21</v>
      </c>
      <c r="L77" s="9">
        <v>82350.97</v>
      </c>
      <c r="M77" s="9">
        <v>87741.18</v>
      </c>
      <c r="N77" s="6" t="str">
        <f>_xlfn.XLOOKUP(tblSales[[#This Row],[ProductID]],tblProducts[ProductID],tblProducts[ProductName],"Not Found")</f>
        <v>NeuroCalm</v>
      </c>
      <c r="O77" s="8">
        <f>YEAR(tblSales[[#This Row],[Month]])</f>
        <v>2024</v>
      </c>
      <c r="P77" s="8">
        <f>MONTH(tblSales[[#This Row],[Month]])</f>
        <v>2</v>
      </c>
      <c r="Q77" s="6">
        <f>IFERROR(tblSales[[#This Row],[NetSalesTRY]]/tblSales[[#This Row],[Units]],0)</f>
        <v>1042.417341772152</v>
      </c>
      <c r="R77" s="17">
        <f>IFERROR(tblSales[[#This Row],[NetSalesTRY]]/tblSales[[#This Row],[TargetTRY]],0)</f>
        <v>0.93856693060202756</v>
      </c>
      <c r="S77" s="6">
        <f>tblSales[[#This Row],[NetSalesTRY]]-tblSales[[#This Row],[TargetTRY]]</f>
        <v>-5390.2099999999919</v>
      </c>
      <c r="T77" s="6">
        <f>MAX(tblSales[[#This Row],[TargetTRY]]-tblSales[[#This Row],[NetSalesTRY]],0)</f>
        <v>5390.2099999999919</v>
      </c>
    </row>
    <row r="78" spans="1:20">
      <c r="A78" t="s">
        <v>466</v>
      </c>
      <c r="B78" s="15">
        <v>45323</v>
      </c>
      <c r="C78" t="s">
        <v>23</v>
      </c>
      <c r="D78" t="s">
        <v>24</v>
      </c>
      <c r="E78" t="s">
        <v>55</v>
      </c>
      <c r="F78" t="s">
        <v>53</v>
      </c>
      <c r="G78" t="s">
        <v>5</v>
      </c>
      <c r="H78" s="8">
        <v>110</v>
      </c>
      <c r="I78" s="9">
        <v>108277.68</v>
      </c>
      <c r="J78" s="9">
        <v>7906.74</v>
      </c>
      <c r="K78" s="9">
        <v>813.6</v>
      </c>
      <c r="L78" s="9">
        <v>99557.34</v>
      </c>
      <c r="M78" s="9">
        <v>101711.57</v>
      </c>
      <c r="N78" s="6" t="str">
        <f>_xlfn.XLOOKUP(tblSales[[#This Row],[ProductID]],tblProducts[ProductID],tblProducts[ProductName],"Not Found")</f>
        <v>Cardiovan</v>
      </c>
      <c r="O78" s="8">
        <f>YEAR(tblSales[[#This Row],[Month]])</f>
        <v>2024</v>
      </c>
      <c r="P78" s="8">
        <f>MONTH(tblSales[[#This Row],[Month]])</f>
        <v>2</v>
      </c>
      <c r="Q78" s="6">
        <f>IFERROR(tblSales[[#This Row],[NetSalesTRY]]/tblSales[[#This Row],[Units]],0)</f>
        <v>905.06672727272723</v>
      </c>
      <c r="R78" s="17">
        <f>IFERROR(tblSales[[#This Row],[NetSalesTRY]]/tblSales[[#This Row],[TargetTRY]],0)</f>
        <v>0.97882020698333527</v>
      </c>
      <c r="S78" s="6">
        <f>tblSales[[#This Row],[NetSalesTRY]]-tblSales[[#This Row],[TargetTRY]]</f>
        <v>-2154.2300000000105</v>
      </c>
      <c r="T78" s="6">
        <f>MAX(tblSales[[#This Row],[TargetTRY]]-tblSales[[#This Row],[NetSalesTRY]],0)</f>
        <v>2154.2300000000105</v>
      </c>
    </row>
    <row r="79" spans="1:20">
      <c r="A79" t="s">
        <v>467</v>
      </c>
      <c r="B79" s="15">
        <v>45323</v>
      </c>
      <c r="C79" t="s">
        <v>23</v>
      </c>
      <c r="D79" t="s">
        <v>24</v>
      </c>
      <c r="E79" t="s">
        <v>55</v>
      </c>
      <c r="F79" t="s">
        <v>53</v>
      </c>
      <c r="G79" t="s">
        <v>8</v>
      </c>
      <c r="H79" s="8">
        <v>139</v>
      </c>
      <c r="I79" s="9">
        <v>106464.45</v>
      </c>
      <c r="J79" s="9">
        <v>7680.02</v>
      </c>
      <c r="K79" s="9">
        <v>1307.8900000000001</v>
      </c>
      <c r="L79" s="9">
        <v>97476.53</v>
      </c>
      <c r="M79" s="9">
        <v>95402.12</v>
      </c>
      <c r="N79" s="6" t="str">
        <f>_xlfn.XLOOKUP(tblSales[[#This Row],[ProductID]],tblProducts[ProductID],tblProducts[ProductName],"Not Found")</f>
        <v>GlucoRelief</v>
      </c>
      <c r="O79" s="8">
        <f>YEAR(tblSales[[#This Row],[Month]])</f>
        <v>2024</v>
      </c>
      <c r="P79" s="8">
        <f>MONTH(tblSales[[#This Row],[Month]])</f>
        <v>2</v>
      </c>
      <c r="Q79" s="6">
        <f>IFERROR(tblSales[[#This Row],[NetSalesTRY]]/tblSales[[#This Row],[Units]],0)</f>
        <v>701.27</v>
      </c>
      <c r="R79" s="17">
        <f>IFERROR(tblSales[[#This Row],[NetSalesTRY]]/tblSales[[#This Row],[TargetTRY]],0)</f>
        <v>1.0217438564258321</v>
      </c>
      <c r="S79" s="6">
        <f>tblSales[[#This Row],[NetSalesTRY]]-tblSales[[#This Row],[TargetTRY]]</f>
        <v>2074.4100000000035</v>
      </c>
      <c r="T79" s="6">
        <f>MAX(tblSales[[#This Row],[TargetTRY]]-tblSales[[#This Row],[NetSalesTRY]],0)</f>
        <v>0</v>
      </c>
    </row>
    <row r="80" spans="1:20">
      <c r="A80" t="s">
        <v>468</v>
      </c>
      <c r="B80" s="15">
        <v>45323</v>
      </c>
      <c r="C80" t="s">
        <v>23</v>
      </c>
      <c r="D80" t="s">
        <v>24</v>
      </c>
      <c r="E80" t="s">
        <v>55</v>
      </c>
      <c r="F80" t="s">
        <v>53</v>
      </c>
      <c r="G80" t="s">
        <v>11</v>
      </c>
      <c r="H80" s="8">
        <v>166</v>
      </c>
      <c r="I80" s="9">
        <v>101411.23</v>
      </c>
      <c r="J80" s="9">
        <v>7377.04</v>
      </c>
      <c r="K80" s="9">
        <v>787.64</v>
      </c>
      <c r="L80" s="9">
        <v>93246.55</v>
      </c>
      <c r="M80" s="9">
        <v>93459.93</v>
      </c>
      <c r="N80" s="6" t="str">
        <f>_xlfn.XLOOKUP(tblSales[[#This Row],[ProductID]],tblProducts[ProductID],tblProducts[ProductName],"Not Found")</f>
        <v>RespiraX</v>
      </c>
      <c r="O80" s="8">
        <f>YEAR(tblSales[[#This Row],[Month]])</f>
        <v>2024</v>
      </c>
      <c r="P80" s="8">
        <f>MONTH(tblSales[[#This Row],[Month]])</f>
        <v>2</v>
      </c>
      <c r="Q80" s="6">
        <f>IFERROR(tblSales[[#This Row],[NetSalesTRY]]/tblSales[[#This Row],[Units]],0)</f>
        <v>561.72620481927709</v>
      </c>
      <c r="R80" s="17">
        <f>IFERROR(tblSales[[#This Row],[NetSalesTRY]]/tblSales[[#This Row],[TargetTRY]],0)</f>
        <v>0.99771688251852975</v>
      </c>
      <c r="S80" s="6">
        <f>tblSales[[#This Row],[NetSalesTRY]]-tblSales[[#This Row],[TargetTRY]]</f>
        <v>-213.3799999999901</v>
      </c>
      <c r="T80" s="6">
        <f>MAX(tblSales[[#This Row],[TargetTRY]]-tblSales[[#This Row],[NetSalesTRY]],0)</f>
        <v>213.3799999999901</v>
      </c>
    </row>
    <row r="81" spans="1:20">
      <c r="A81" t="s">
        <v>469</v>
      </c>
      <c r="B81" s="15">
        <v>45323</v>
      </c>
      <c r="C81" t="s">
        <v>23</v>
      </c>
      <c r="D81" t="s">
        <v>24</v>
      </c>
      <c r="E81" t="s">
        <v>55</v>
      </c>
      <c r="F81" t="s">
        <v>53</v>
      </c>
      <c r="G81" t="s">
        <v>14</v>
      </c>
      <c r="H81" s="8">
        <v>83</v>
      </c>
      <c r="I81" s="9">
        <v>92110.05</v>
      </c>
      <c r="J81" s="9">
        <v>6263.73</v>
      </c>
      <c r="K81" s="9">
        <v>1180.21</v>
      </c>
      <c r="L81" s="9">
        <v>84666.11</v>
      </c>
      <c r="M81" s="9">
        <v>86534.09</v>
      </c>
      <c r="N81" s="6" t="str">
        <f>_xlfn.XLOOKUP(tblSales[[#This Row],[ProductID]],tblProducts[ProductID],tblProducts[ProductName],"Not Found")</f>
        <v>NeuroCalm</v>
      </c>
      <c r="O81" s="8">
        <f>YEAR(tblSales[[#This Row],[Month]])</f>
        <v>2024</v>
      </c>
      <c r="P81" s="8">
        <f>MONTH(tblSales[[#This Row],[Month]])</f>
        <v>2</v>
      </c>
      <c r="Q81" s="6">
        <f>IFERROR(tblSales[[#This Row],[NetSalesTRY]]/tblSales[[#This Row],[Units]],0)</f>
        <v>1020.0736144578314</v>
      </c>
      <c r="R81" s="17">
        <f>IFERROR(tblSales[[#This Row],[NetSalesTRY]]/tblSales[[#This Row],[TargetTRY]],0)</f>
        <v>0.97841336287236635</v>
      </c>
      <c r="S81" s="6">
        <f>tblSales[[#This Row],[NetSalesTRY]]-tblSales[[#This Row],[TargetTRY]]</f>
        <v>-1867.9799999999959</v>
      </c>
      <c r="T81" s="6">
        <f>MAX(tblSales[[#This Row],[TargetTRY]]-tblSales[[#This Row],[NetSalesTRY]],0)</f>
        <v>1867.9799999999959</v>
      </c>
    </row>
    <row r="82" spans="1:20">
      <c r="A82" t="s">
        <v>470</v>
      </c>
      <c r="B82" s="15">
        <v>45323</v>
      </c>
      <c r="C82" t="s">
        <v>23</v>
      </c>
      <c r="D82" t="s">
        <v>24</v>
      </c>
      <c r="E82" t="s">
        <v>58</v>
      </c>
      <c r="F82" t="s">
        <v>56</v>
      </c>
      <c r="G82" t="s">
        <v>5</v>
      </c>
      <c r="H82" s="8">
        <v>119</v>
      </c>
      <c r="I82" s="9">
        <v>118192.63</v>
      </c>
      <c r="J82" s="9">
        <v>7916.28</v>
      </c>
      <c r="K82" s="9">
        <v>1069.3599999999999</v>
      </c>
      <c r="L82" s="9">
        <v>109206.99</v>
      </c>
      <c r="M82" s="9">
        <v>103246.14</v>
      </c>
      <c r="N82" s="6" t="str">
        <f>_xlfn.XLOOKUP(tblSales[[#This Row],[ProductID]],tblProducts[ProductID],tblProducts[ProductName],"Not Found")</f>
        <v>Cardiovan</v>
      </c>
      <c r="O82" s="8">
        <f>YEAR(tblSales[[#This Row],[Month]])</f>
        <v>2024</v>
      </c>
      <c r="P82" s="8">
        <f>MONTH(tblSales[[#This Row],[Month]])</f>
        <v>2</v>
      </c>
      <c r="Q82" s="6">
        <f>IFERROR(tblSales[[#This Row],[NetSalesTRY]]/tblSales[[#This Row],[Units]],0)</f>
        <v>917.70579831932776</v>
      </c>
      <c r="R82" s="17">
        <f>IFERROR(tblSales[[#This Row],[NetSalesTRY]]/tblSales[[#This Row],[TargetTRY]],0)</f>
        <v>1.0577343617882471</v>
      </c>
      <c r="S82" s="6">
        <f>tblSales[[#This Row],[NetSalesTRY]]-tblSales[[#This Row],[TargetTRY]]</f>
        <v>5960.8500000000058</v>
      </c>
      <c r="T82" s="6">
        <f>MAX(tblSales[[#This Row],[TargetTRY]]-tblSales[[#This Row],[NetSalesTRY]],0)</f>
        <v>0</v>
      </c>
    </row>
    <row r="83" spans="1:20">
      <c r="A83" t="s">
        <v>471</v>
      </c>
      <c r="B83" s="15">
        <v>45323</v>
      </c>
      <c r="C83" t="s">
        <v>23</v>
      </c>
      <c r="D83" t="s">
        <v>24</v>
      </c>
      <c r="E83" t="s">
        <v>58</v>
      </c>
      <c r="F83" t="s">
        <v>56</v>
      </c>
      <c r="G83" t="s">
        <v>8</v>
      </c>
      <c r="H83" s="8">
        <v>138</v>
      </c>
      <c r="I83" s="9">
        <v>105001.21</v>
      </c>
      <c r="J83" s="9">
        <v>4032.12</v>
      </c>
      <c r="K83" s="9">
        <v>1356.43</v>
      </c>
      <c r="L83" s="9">
        <v>99612.65</v>
      </c>
      <c r="M83" s="9">
        <v>98674.81</v>
      </c>
      <c r="N83" s="6" t="str">
        <f>_xlfn.XLOOKUP(tblSales[[#This Row],[ProductID]],tblProducts[ProductID],tblProducts[ProductName],"Not Found")</f>
        <v>GlucoRelief</v>
      </c>
      <c r="O83" s="8">
        <f>YEAR(tblSales[[#This Row],[Month]])</f>
        <v>2024</v>
      </c>
      <c r="P83" s="8">
        <f>MONTH(tblSales[[#This Row],[Month]])</f>
        <v>2</v>
      </c>
      <c r="Q83" s="6">
        <f>IFERROR(tblSales[[#This Row],[NetSalesTRY]]/tblSales[[#This Row],[Units]],0)</f>
        <v>721.83079710144921</v>
      </c>
      <c r="R83" s="17">
        <f>IFERROR(tblSales[[#This Row],[NetSalesTRY]]/tblSales[[#This Row],[TargetTRY]],0)</f>
        <v>1.0095043507051089</v>
      </c>
      <c r="S83" s="6">
        <f>tblSales[[#This Row],[NetSalesTRY]]-tblSales[[#This Row],[TargetTRY]]</f>
        <v>937.83999999999651</v>
      </c>
      <c r="T83" s="6">
        <f>MAX(tblSales[[#This Row],[TargetTRY]]-tblSales[[#This Row],[NetSalesTRY]],0)</f>
        <v>0</v>
      </c>
    </row>
    <row r="84" spans="1:20">
      <c r="A84" t="s">
        <v>472</v>
      </c>
      <c r="B84" s="15">
        <v>45323</v>
      </c>
      <c r="C84" t="s">
        <v>23</v>
      </c>
      <c r="D84" t="s">
        <v>24</v>
      </c>
      <c r="E84" t="s">
        <v>58</v>
      </c>
      <c r="F84" t="s">
        <v>56</v>
      </c>
      <c r="G84" t="s">
        <v>11</v>
      </c>
      <c r="H84" s="8">
        <v>161</v>
      </c>
      <c r="I84" s="9">
        <v>100715.09</v>
      </c>
      <c r="J84" s="9">
        <v>4855.8500000000004</v>
      </c>
      <c r="K84" s="9">
        <v>1058.0999999999999</v>
      </c>
      <c r="L84" s="9">
        <v>94801.15</v>
      </c>
      <c r="M84" s="9">
        <v>95599.7</v>
      </c>
      <c r="N84" s="6" t="str">
        <f>_xlfn.XLOOKUP(tblSales[[#This Row],[ProductID]],tblProducts[ProductID],tblProducts[ProductName],"Not Found")</f>
        <v>RespiraX</v>
      </c>
      <c r="O84" s="8">
        <f>YEAR(tblSales[[#This Row],[Month]])</f>
        <v>2024</v>
      </c>
      <c r="P84" s="8">
        <f>MONTH(tblSales[[#This Row],[Month]])</f>
        <v>2</v>
      </c>
      <c r="Q84" s="6">
        <f>IFERROR(tblSales[[#This Row],[NetSalesTRY]]/tblSales[[#This Row],[Units]],0)</f>
        <v>588.82701863354032</v>
      </c>
      <c r="R84" s="17">
        <f>IFERROR(tblSales[[#This Row],[NetSalesTRY]]/tblSales[[#This Row],[TargetTRY]],0)</f>
        <v>0.99164694031466627</v>
      </c>
      <c r="S84" s="6">
        <f>tblSales[[#This Row],[NetSalesTRY]]-tblSales[[#This Row],[TargetTRY]]</f>
        <v>-798.55000000000291</v>
      </c>
      <c r="T84" s="6">
        <f>MAX(tblSales[[#This Row],[TargetTRY]]-tblSales[[#This Row],[NetSalesTRY]],0)</f>
        <v>798.55000000000291</v>
      </c>
    </row>
    <row r="85" spans="1:20">
      <c r="A85" t="s">
        <v>473</v>
      </c>
      <c r="B85" s="15">
        <v>45323</v>
      </c>
      <c r="C85" t="s">
        <v>23</v>
      </c>
      <c r="D85" t="s">
        <v>24</v>
      </c>
      <c r="E85" t="s">
        <v>58</v>
      </c>
      <c r="F85" t="s">
        <v>56</v>
      </c>
      <c r="G85" t="s">
        <v>14</v>
      </c>
      <c r="H85" s="8">
        <v>90</v>
      </c>
      <c r="I85" s="9">
        <v>98591.46</v>
      </c>
      <c r="J85" s="9">
        <v>6848.14</v>
      </c>
      <c r="K85" s="9">
        <v>984.07</v>
      </c>
      <c r="L85" s="9">
        <v>90759.25</v>
      </c>
      <c r="M85" s="9">
        <v>89123.31</v>
      </c>
      <c r="N85" s="6" t="str">
        <f>_xlfn.XLOOKUP(tblSales[[#This Row],[ProductID]],tblProducts[ProductID],tblProducts[ProductName],"Not Found")</f>
        <v>NeuroCalm</v>
      </c>
      <c r="O85" s="8">
        <f>YEAR(tblSales[[#This Row],[Month]])</f>
        <v>2024</v>
      </c>
      <c r="P85" s="8">
        <f>MONTH(tblSales[[#This Row],[Month]])</f>
        <v>2</v>
      </c>
      <c r="Q85" s="6">
        <f>IFERROR(tblSales[[#This Row],[NetSalesTRY]]/tblSales[[#This Row],[Units]],0)</f>
        <v>1008.4361111111111</v>
      </c>
      <c r="R85" s="17">
        <f>IFERROR(tblSales[[#This Row],[NetSalesTRY]]/tblSales[[#This Row],[TargetTRY]],0)</f>
        <v>1.0183559160897413</v>
      </c>
      <c r="S85" s="6">
        <f>tblSales[[#This Row],[NetSalesTRY]]-tblSales[[#This Row],[TargetTRY]]</f>
        <v>1635.9400000000023</v>
      </c>
      <c r="T85" s="6">
        <f>MAX(tblSales[[#This Row],[TargetTRY]]-tblSales[[#This Row],[NetSalesTRY]],0)</f>
        <v>0</v>
      </c>
    </row>
    <row r="86" spans="1:20">
      <c r="A86" t="s">
        <v>474</v>
      </c>
      <c r="B86" s="15">
        <v>45323</v>
      </c>
      <c r="C86" t="s">
        <v>25</v>
      </c>
      <c r="D86" t="s">
        <v>26</v>
      </c>
      <c r="E86" t="s">
        <v>61</v>
      </c>
      <c r="F86" t="s">
        <v>59</v>
      </c>
      <c r="G86" t="s">
        <v>5</v>
      </c>
      <c r="H86" s="8">
        <v>87</v>
      </c>
      <c r="I86" s="9">
        <v>84504.29</v>
      </c>
      <c r="J86" s="9">
        <v>3567.23</v>
      </c>
      <c r="K86" s="9">
        <v>574.70000000000005</v>
      </c>
      <c r="L86" s="9">
        <v>80362.36</v>
      </c>
      <c r="M86" s="9">
        <v>81547.33</v>
      </c>
      <c r="N86" s="6" t="str">
        <f>_xlfn.XLOOKUP(tblSales[[#This Row],[ProductID]],tblProducts[ProductID],tblProducts[ProductName],"Not Found")</f>
        <v>Cardiovan</v>
      </c>
      <c r="O86" s="8">
        <f>YEAR(tblSales[[#This Row],[Month]])</f>
        <v>2024</v>
      </c>
      <c r="P86" s="8">
        <f>MONTH(tblSales[[#This Row],[Month]])</f>
        <v>2</v>
      </c>
      <c r="Q86" s="6">
        <f>IFERROR(tblSales[[#This Row],[NetSalesTRY]]/tblSales[[#This Row],[Units]],0)</f>
        <v>923.70528735632183</v>
      </c>
      <c r="R86" s="17">
        <f>IFERROR(tblSales[[#This Row],[NetSalesTRY]]/tblSales[[#This Row],[TargetTRY]],0)</f>
        <v>0.98546892951614729</v>
      </c>
      <c r="S86" s="6">
        <f>tblSales[[#This Row],[NetSalesTRY]]-tblSales[[#This Row],[TargetTRY]]</f>
        <v>-1184.9700000000012</v>
      </c>
      <c r="T86" s="6">
        <f>MAX(tblSales[[#This Row],[TargetTRY]]-tblSales[[#This Row],[NetSalesTRY]],0)</f>
        <v>1184.9700000000012</v>
      </c>
    </row>
    <row r="87" spans="1:20">
      <c r="A87" t="s">
        <v>475</v>
      </c>
      <c r="B87" s="15">
        <v>45323</v>
      </c>
      <c r="C87" t="s">
        <v>25</v>
      </c>
      <c r="D87" t="s">
        <v>26</v>
      </c>
      <c r="E87" t="s">
        <v>61</v>
      </c>
      <c r="F87" t="s">
        <v>59</v>
      </c>
      <c r="G87" t="s">
        <v>8</v>
      </c>
      <c r="H87" s="8">
        <v>107</v>
      </c>
      <c r="I87" s="9">
        <v>82122.17</v>
      </c>
      <c r="J87" s="9">
        <v>4705.1099999999997</v>
      </c>
      <c r="K87" s="9">
        <v>633.62</v>
      </c>
      <c r="L87" s="9">
        <v>76783.44</v>
      </c>
      <c r="M87" s="9">
        <v>77262.64</v>
      </c>
      <c r="N87" s="6" t="str">
        <f>_xlfn.XLOOKUP(tblSales[[#This Row],[ProductID]],tblProducts[ProductID],tblProducts[ProductName],"Not Found")</f>
        <v>GlucoRelief</v>
      </c>
      <c r="O87" s="8">
        <f>YEAR(tblSales[[#This Row],[Month]])</f>
        <v>2024</v>
      </c>
      <c r="P87" s="8">
        <f>MONTH(tblSales[[#This Row],[Month]])</f>
        <v>2</v>
      </c>
      <c r="Q87" s="6">
        <f>IFERROR(tblSales[[#This Row],[NetSalesTRY]]/tblSales[[#This Row],[Units]],0)</f>
        <v>717.60224299065419</v>
      </c>
      <c r="R87" s="17">
        <f>IFERROR(tblSales[[#This Row],[NetSalesTRY]]/tblSales[[#This Row],[TargetTRY]],0)</f>
        <v>0.99379777859001461</v>
      </c>
      <c r="S87" s="6">
        <f>tblSales[[#This Row],[NetSalesTRY]]-tblSales[[#This Row],[TargetTRY]]</f>
        <v>-479.19999999999709</v>
      </c>
      <c r="T87" s="6">
        <f>MAX(tblSales[[#This Row],[TargetTRY]]-tblSales[[#This Row],[NetSalesTRY]],0)</f>
        <v>479.19999999999709</v>
      </c>
    </row>
    <row r="88" spans="1:20">
      <c r="A88" t="s">
        <v>476</v>
      </c>
      <c r="B88" s="15">
        <v>45323</v>
      </c>
      <c r="C88" t="s">
        <v>25</v>
      </c>
      <c r="D88" t="s">
        <v>26</v>
      </c>
      <c r="E88" t="s">
        <v>61</v>
      </c>
      <c r="F88" t="s">
        <v>59</v>
      </c>
      <c r="G88" t="s">
        <v>11</v>
      </c>
      <c r="H88" s="8">
        <v>128</v>
      </c>
      <c r="I88" s="9">
        <v>79714.25</v>
      </c>
      <c r="J88" s="9">
        <v>3164.43</v>
      </c>
      <c r="K88" s="9">
        <v>559.29999999999995</v>
      </c>
      <c r="L88" s="9">
        <v>75990.53</v>
      </c>
      <c r="M88" s="9">
        <v>75930.75</v>
      </c>
      <c r="N88" s="6" t="str">
        <f>_xlfn.XLOOKUP(tblSales[[#This Row],[ProductID]],tblProducts[ProductID],tblProducts[ProductName],"Not Found")</f>
        <v>RespiraX</v>
      </c>
      <c r="O88" s="8">
        <f>YEAR(tblSales[[#This Row],[Month]])</f>
        <v>2024</v>
      </c>
      <c r="P88" s="8">
        <f>MONTH(tblSales[[#This Row],[Month]])</f>
        <v>2</v>
      </c>
      <c r="Q88" s="6">
        <f>IFERROR(tblSales[[#This Row],[NetSalesTRY]]/tblSales[[#This Row],[Units]],0)</f>
        <v>593.67601562499999</v>
      </c>
      <c r="R88" s="17">
        <f>IFERROR(tblSales[[#This Row],[NetSalesTRY]]/tblSales[[#This Row],[TargetTRY]],0)</f>
        <v>1.0007872963193436</v>
      </c>
      <c r="S88" s="6">
        <f>tblSales[[#This Row],[NetSalesTRY]]-tblSales[[#This Row],[TargetTRY]]</f>
        <v>59.779999999998836</v>
      </c>
      <c r="T88" s="6">
        <f>MAX(tblSales[[#This Row],[TargetTRY]]-tblSales[[#This Row],[NetSalesTRY]],0)</f>
        <v>0</v>
      </c>
    </row>
    <row r="89" spans="1:20">
      <c r="A89" t="s">
        <v>477</v>
      </c>
      <c r="B89" s="15">
        <v>45323</v>
      </c>
      <c r="C89" t="s">
        <v>25</v>
      </c>
      <c r="D89" t="s">
        <v>26</v>
      </c>
      <c r="E89" t="s">
        <v>61</v>
      </c>
      <c r="F89" t="s">
        <v>59</v>
      </c>
      <c r="G89" t="s">
        <v>14</v>
      </c>
      <c r="H89" s="8">
        <v>67</v>
      </c>
      <c r="I89" s="9">
        <v>73629.009999999995</v>
      </c>
      <c r="J89" s="9">
        <v>5014.76</v>
      </c>
      <c r="K89" s="9">
        <v>350.18</v>
      </c>
      <c r="L89" s="9">
        <v>68264.070000000007</v>
      </c>
      <c r="M89" s="9">
        <v>70010.149999999994</v>
      </c>
      <c r="N89" s="6" t="str">
        <f>_xlfn.XLOOKUP(tblSales[[#This Row],[ProductID]],tblProducts[ProductID],tblProducts[ProductName],"Not Found")</f>
        <v>NeuroCalm</v>
      </c>
      <c r="O89" s="8">
        <f>YEAR(tblSales[[#This Row],[Month]])</f>
        <v>2024</v>
      </c>
      <c r="P89" s="8">
        <f>MONTH(tblSales[[#This Row],[Month]])</f>
        <v>2</v>
      </c>
      <c r="Q89" s="6">
        <f>IFERROR(tblSales[[#This Row],[NetSalesTRY]]/tblSales[[#This Row],[Units]],0)</f>
        <v>1018.8667164179105</v>
      </c>
      <c r="R89" s="17">
        <f>IFERROR(tblSales[[#This Row],[NetSalesTRY]]/tblSales[[#This Row],[TargetTRY]],0)</f>
        <v>0.97505961635562866</v>
      </c>
      <c r="S89" s="6">
        <f>tblSales[[#This Row],[NetSalesTRY]]-tblSales[[#This Row],[TargetTRY]]</f>
        <v>-1746.0799999999872</v>
      </c>
      <c r="T89" s="6">
        <f>MAX(tblSales[[#This Row],[TargetTRY]]-tblSales[[#This Row],[NetSalesTRY]],0)</f>
        <v>1746.0799999999872</v>
      </c>
    </row>
    <row r="90" spans="1:20">
      <c r="A90" t="s">
        <v>478</v>
      </c>
      <c r="B90" s="15">
        <v>45323</v>
      </c>
      <c r="C90" t="s">
        <v>25</v>
      </c>
      <c r="D90" t="s">
        <v>26</v>
      </c>
      <c r="E90" t="s">
        <v>64</v>
      </c>
      <c r="F90" t="s">
        <v>62</v>
      </c>
      <c r="G90" t="s">
        <v>5</v>
      </c>
      <c r="H90" s="8">
        <v>91</v>
      </c>
      <c r="I90" s="9">
        <v>89099.11</v>
      </c>
      <c r="J90" s="9">
        <v>6524.88</v>
      </c>
      <c r="K90" s="9">
        <v>731.47</v>
      </c>
      <c r="L90" s="9">
        <v>81842.77</v>
      </c>
      <c r="M90" s="9">
        <v>81718.179999999993</v>
      </c>
      <c r="N90" s="6" t="str">
        <f>_xlfn.XLOOKUP(tblSales[[#This Row],[ProductID]],tblProducts[ProductID],tblProducts[ProductName],"Not Found")</f>
        <v>Cardiovan</v>
      </c>
      <c r="O90" s="8">
        <f>YEAR(tblSales[[#This Row],[Month]])</f>
        <v>2024</v>
      </c>
      <c r="P90" s="8">
        <f>MONTH(tblSales[[#This Row],[Month]])</f>
        <v>2</v>
      </c>
      <c r="Q90" s="6">
        <f>IFERROR(tblSales[[#This Row],[NetSalesTRY]]/tblSales[[#This Row],[Units]],0)</f>
        <v>899.37109890109889</v>
      </c>
      <c r="R90" s="17">
        <f>IFERROR(tblSales[[#This Row],[NetSalesTRY]]/tblSales[[#This Row],[TargetTRY]],0)</f>
        <v>1.0015246301373821</v>
      </c>
      <c r="S90" s="6">
        <f>tblSales[[#This Row],[NetSalesTRY]]-tblSales[[#This Row],[TargetTRY]]</f>
        <v>124.59000000001106</v>
      </c>
      <c r="T90" s="6">
        <f>MAX(tblSales[[#This Row],[TargetTRY]]-tblSales[[#This Row],[NetSalesTRY]],0)</f>
        <v>0</v>
      </c>
    </row>
    <row r="91" spans="1:20">
      <c r="A91" t="s">
        <v>479</v>
      </c>
      <c r="B91" s="15">
        <v>45323</v>
      </c>
      <c r="C91" t="s">
        <v>25</v>
      </c>
      <c r="D91" t="s">
        <v>26</v>
      </c>
      <c r="E91" t="s">
        <v>64</v>
      </c>
      <c r="F91" t="s">
        <v>62</v>
      </c>
      <c r="G91" t="s">
        <v>8</v>
      </c>
      <c r="H91" s="8">
        <v>111</v>
      </c>
      <c r="I91" s="9">
        <v>83150.94</v>
      </c>
      <c r="J91" s="9">
        <v>6014.12</v>
      </c>
      <c r="K91" s="9">
        <v>640.08000000000004</v>
      </c>
      <c r="L91" s="9">
        <v>76496.740000000005</v>
      </c>
      <c r="M91" s="9">
        <v>75428.87</v>
      </c>
      <c r="N91" s="6" t="str">
        <f>_xlfn.XLOOKUP(tblSales[[#This Row],[ProductID]],tblProducts[ProductID],tblProducts[ProductName],"Not Found")</f>
        <v>GlucoRelief</v>
      </c>
      <c r="O91" s="8">
        <f>YEAR(tblSales[[#This Row],[Month]])</f>
        <v>2024</v>
      </c>
      <c r="P91" s="8">
        <f>MONTH(tblSales[[#This Row],[Month]])</f>
        <v>2</v>
      </c>
      <c r="Q91" s="6">
        <f>IFERROR(tblSales[[#This Row],[NetSalesTRY]]/tblSales[[#This Row],[Units]],0)</f>
        <v>689.15981981981986</v>
      </c>
      <c r="R91" s="17">
        <f>IFERROR(tblSales[[#This Row],[NetSalesTRY]]/tblSales[[#This Row],[TargetTRY]],0)</f>
        <v>1.014157311384885</v>
      </c>
      <c r="S91" s="6">
        <f>tblSales[[#This Row],[NetSalesTRY]]-tblSales[[#This Row],[TargetTRY]]</f>
        <v>1067.8700000000099</v>
      </c>
      <c r="T91" s="6">
        <f>MAX(tblSales[[#This Row],[TargetTRY]]-tblSales[[#This Row],[NetSalesTRY]],0)</f>
        <v>0</v>
      </c>
    </row>
    <row r="92" spans="1:20">
      <c r="A92" t="s">
        <v>480</v>
      </c>
      <c r="B92" s="15">
        <v>45323</v>
      </c>
      <c r="C92" t="s">
        <v>25</v>
      </c>
      <c r="D92" t="s">
        <v>26</v>
      </c>
      <c r="E92" t="s">
        <v>64</v>
      </c>
      <c r="F92" t="s">
        <v>62</v>
      </c>
      <c r="G92" t="s">
        <v>11</v>
      </c>
      <c r="H92" s="8">
        <v>132</v>
      </c>
      <c r="I92" s="9">
        <v>81904.17</v>
      </c>
      <c r="J92" s="9">
        <v>3330.62</v>
      </c>
      <c r="K92" s="9">
        <v>933.28</v>
      </c>
      <c r="L92" s="9">
        <v>77640.27</v>
      </c>
      <c r="M92" s="9">
        <v>74207.649999999994</v>
      </c>
      <c r="N92" s="6" t="str">
        <f>_xlfn.XLOOKUP(tblSales[[#This Row],[ProductID]],tblProducts[ProductID],tblProducts[ProductName],"Not Found")</f>
        <v>RespiraX</v>
      </c>
      <c r="O92" s="8">
        <f>YEAR(tblSales[[#This Row],[Month]])</f>
        <v>2024</v>
      </c>
      <c r="P92" s="8">
        <f>MONTH(tblSales[[#This Row],[Month]])</f>
        <v>2</v>
      </c>
      <c r="Q92" s="6">
        <f>IFERROR(tblSales[[#This Row],[NetSalesTRY]]/tblSales[[#This Row],[Units]],0)</f>
        <v>588.18386363636364</v>
      </c>
      <c r="R92" s="17">
        <f>IFERROR(tblSales[[#This Row],[NetSalesTRY]]/tblSales[[#This Row],[TargetTRY]],0)</f>
        <v>1.0462569559876915</v>
      </c>
      <c r="S92" s="6">
        <f>tblSales[[#This Row],[NetSalesTRY]]-tblSales[[#This Row],[TargetTRY]]</f>
        <v>3432.6200000000099</v>
      </c>
      <c r="T92" s="6">
        <f>MAX(tblSales[[#This Row],[TargetTRY]]-tblSales[[#This Row],[NetSalesTRY]],0)</f>
        <v>0</v>
      </c>
    </row>
    <row r="93" spans="1:20">
      <c r="A93" t="s">
        <v>481</v>
      </c>
      <c r="B93" s="15">
        <v>45323</v>
      </c>
      <c r="C93" t="s">
        <v>25</v>
      </c>
      <c r="D93" t="s">
        <v>26</v>
      </c>
      <c r="E93" t="s">
        <v>64</v>
      </c>
      <c r="F93" t="s">
        <v>62</v>
      </c>
      <c r="G93" t="s">
        <v>14</v>
      </c>
      <c r="H93" s="8">
        <v>66</v>
      </c>
      <c r="I93" s="9">
        <v>72397.64</v>
      </c>
      <c r="J93" s="9">
        <v>4779.6499999999996</v>
      </c>
      <c r="K93" s="9">
        <v>530.08000000000004</v>
      </c>
      <c r="L93" s="9">
        <v>67087.92</v>
      </c>
      <c r="M93" s="9">
        <v>70975.710000000006</v>
      </c>
      <c r="N93" s="6" t="str">
        <f>_xlfn.XLOOKUP(tblSales[[#This Row],[ProductID]],tblProducts[ProductID],tblProducts[ProductName],"Not Found")</f>
        <v>NeuroCalm</v>
      </c>
      <c r="O93" s="8">
        <f>YEAR(tblSales[[#This Row],[Month]])</f>
        <v>2024</v>
      </c>
      <c r="P93" s="8">
        <f>MONTH(tblSales[[#This Row],[Month]])</f>
        <v>2</v>
      </c>
      <c r="Q93" s="6">
        <f>IFERROR(tblSales[[#This Row],[NetSalesTRY]]/tblSales[[#This Row],[Units]],0)</f>
        <v>1016.4836363636364</v>
      </c>
      <c r="R93" s="17">
        <f>IFERROR(tblSales[[#This Row],[NetSalesTRY]]/tblSales[[#This Row],[TargetTRY]],0)</f>
        <v>0.94522365468411651</v>
      </c>
      <c r="S93" s="6">
        <f>tblSales[[#This Row],[NetSalesTRY]]-tblSales[[#This Row],[TargetTRY]]</f>
        <v>-3887.7900000000081</v>
      </c>
      <c r="T93" s="6">
        <f>MAX(tblSales[[#This Row],[TargetTRY]]-tblSales[[#This Row],[NetSalesTRY]],0)</f>
        <v>3887.7900000000081</v>
      </c>
    </row>
    <row r="94" spans="1:20">
      <c r="A94" t="s">
        <v>482</v>
      </c>
      <c r="B94" s="15">
        <v>45323</v>
      </c>
      <c r="C94" t="s">
        <v>25</v>
      </c>
      <c r="D94" t="s">
        <v>26</v>
      </c>
      <c r="E94" t="s">
        <v>67</v>
      </c>
      <c r="F94" t="s">
        <v>65</v>
      </c>
      <c r="G94" t="s">
        <v>5</v>
      </c>
      <c r="H94" s="8">
        <v>101</v>
      </c>
      <c r="I94" s="9">
        <v>97746.4</v>
      </c>
      <c r="J94" s="9">
        <v>5515.58</v>
      </c>
      <c r="K94" s="9">
        <v>1111.27</v>
      </c>
      <c r="L94" s="9">
        <v>91119.55</v>
      </c>
      <c r="M94" s="9">
        <v>92623.98</v>
      </c>
      <c r="N94" s="6" t="str">
        <f>_xlfn.XLOOKUP(tblSales[[#This Row],[ProductID]],tblProducts[ProductID],tblProducts[ProductName],"Not Found")</f>
        <v>Cardiovan</v>
      </c>
      <c r="O94" s="8">
        <f>YEAR(tblSales[[#This Row],[Month]])</f>
        <v>2024</v>
      </c>
      <c r="P94" s="8">
        <f>MONTH(tblSales[[#This Row],[Month]])</f>
        <v>2</v>
      </c>
      <c r="Q94" s="6">
        <f>IFERROR(tblSales[[#This Row],[NetSalesTRY]]/tblSales[[#This Row],[Units]],0)</f>
        <v>902.17376237623762</v>
      </c>
      <c r="R94" s="17">
        <f>IFERROR(tblSales[[#This Row],[NetSalesTRY]]/tblSales[[#This Row],[TargetTRY]],0)</f>
        <v>0.98375766189274105</v>
      </c>
      <c r="S94" s="6">
        <f>tblSales[[#This Row],[NetSalesTRY]]-tblSales[[#This Row],[TargetTRY]]</f>
        <v>-1504.429999999993</v>
      </c>
      <c r="T94" s="6">
        <f>MAX(tblSales[[#This Row],[TargetTRY]]-tblSales[[#This Row],[NetSalesTRY]],0)</f>
        <v>1504.429999999993</v>
      </c>
    </row>
    <row r="95" spans="1:20">
      <c r="A95" t="s">
        <v>483</v>
      </c>
      <c r="B95" s="15">
        <v>45323</v>
      </c>
      <c r="C95" t="s">
        <v>25</v>
      </c>
      <c r="D95" t="s">
        <v>26</v>
      </c>
      <c r="E95" t="s">
        <v>67</v>
      </c>
      <c r="F95" t="s">
        <v>65</v>
      </c>
      <c r="G95" t="s">
        <v>8</v>
      </c>
      <c r="H95" s="8">
        <v>116</v>
      </c>
      <c r="I95" s="9">
        <v>87068.67</v>
      </c>
      <c r="J95" s="9">
        <v>3812.66</v>
      </c>
      <c r="K95" s="9">
        <v>556.44000000000005</v>
      </c>
      <c r="L95" s="9">
        <v>82699.570000000007</v>
      </c>
      <c r="M95" s="9">
        <v>86929.62</v>
      </c>
      <c r="N95" s="6" t="str">
        <f>_xlfn.XLOOKUP(tblSales[[#This Row],[ProductID]],tblProducts[ProductID],tblProducts[ProductName],"Not Found")</f>
        <v>GlucoRelief</v>
      </c>
      <c r="O95" s="8">
        <f>YEAR(tblSales[[#This Row],[Month]])</f>
        <v>2024</v>
      </c>
      <c r="P95" s="8">
        <f>MONTH(tblSales[[#This Row],[Month]])</f>
        <v>2</v>
      </c>
      <c r="Q95" s="6">
        <f>IFERROR(tblSales[[#This Row],[NetSalesTRY]]/tblSales[[#This Row],[Units]],0)</f>
        <v>712.92732758620696</v>
      </c>
      <c r="R95" s="17">
        <f>IFERROR(tblSales[[#This Row],[NetSalesTRY]]/tblSales[[#This Row],[TargetTRY]],0)</f>
        <v>0.95133937086116349</v>
      </c>
      <c r="S95" s="6">
        <f>tblSales[[#This Row],[NetSalesTRY]]-tblSales[[#This Row],[TargetTRY]]</f>
        <v>-4230.0499999999884</v>
      </c>
      <c r="T95" s="6">
        <f>MAX(tblSales[[#This Row],[TargetTRY]]-tblSales[[#This Row],[NetSalesTRY]],0)</f>
        <v>4230.0499999999884</v>
      </c>
    </row>
    <row r="96" spans="1:20">
      <c r="A96" t="s">
        <v>484</v>
      </c>
      <c r="B96" s="15">
        <v>45323</v>
      </c>
      <c r="C96" t="s">
        <v>25</v>
      </c>
      <c r="D96" t="s">
        <v>26</v>
      </c>
      <c r="E96" t="s">
        <v>67</v>
      </c>
      <c r="F96" t="s">
        <v>65</v>
      </c>
      <c r="G96" t="s">
        <v>11</v>
      </c>
      <c r="H96" s="8">
        <v>142</v>
      </c>
      <c r="I96" s="9">
        <v>88249.75</v>
      </c>
      <c r="J96" s="9">
        <v>3345.01</v>
      </c>
      <c r="K96" s="9">
        <v>806.45</v>
      </c>
      <c r="L96" s="9">
        <v>84098.3</v>
      </c>
      <c r="M96" s="9">
        <v>84182.71</v>
      </c>
      <c r="N96" s="6" t="str">
        <f>_xlfn.XLOOKUP(tblSales[[#This Row],[ProductID]],tblProducts[ProductID],tblProducts[ProductName],"Not Found")</f>
        <v>RespiraX</v>
      </c>
      <c r="O96" s="8">
        <f>YEAR(tblSales[[#This Row],[Month]])</f>
        <v>2024</v>
      </c>
      <c r="P96" s="8">
        <f>MONTH(tblSales[[#This Row],[Month]])</f>
        <v>2</v>
      </c>
      <c r="Q96" s="6">
        <f>IFERROR(tblSales[[#This Row],[NetSalesTRY]]/tblSales[[#This Row],[Units]],0)</f>
        <v>592.24154929577469</v>
      </c>
      <c r="R96" s="17">
        <f>IFERROR(tblSales[[#This Row],[NetSalesTRY]]/tblSales[[#This Row],[TargetTRY]],0)</f>
        <v>0.99899730003940235</v>
      </c>
      <c r="S96" s="6">
        <f>tblSales[[#This Row],[NetSalesTRY]]-tblSales[[#This Row],[TargetTRY]]</f>
        <v>-84.410000000003492</v>
      </c>
      <c r="T96" s="6">
        <f>MAX(tblSales[[#This Row],[TargetTRY]]-tblSales[[#This Row],[NetSalesTRY]],0)</f>
        <v>84.410000000003492</v>
      </c>
    </row>
    <row r="97" spans="1:20">
      <c r="A97" t="s">
        <v>485</v>
      </c>
      <c r="B97" s="15">
        <v>45323</v>
      </c>
      <c r="C97" t="s">
        <v>25</v>
      </c>
      <c r="D97" t="s">
        <v>26</v>
      </c>
      <c r="E97" t="s">
        <v>67</v>
      </c>
      <c r="F97" t="s">
        <v>65</v>
      </c>
      <c r="G97" t="s">
        <v>14</v>
      </c>
      <c r="H97" s="8">
        <v>80</v>
      </c>
      <c r="I97" s="9">
        <v>87976.83</v>
      </c>
      <c r="J97" s="9">
        <v>3917.18</v>
      </c>
      <c r="K97" s="9">
        <v>617.86</v>
      </c>
      <c r="L97" s="9">
        <v>83441.789999999994</v>
      </c>
      <c r="M97" s="9">
        <v>79760.289999999994</v>
      </c>
      <c r="N97" s="6" t="str">
        <f>_xlfn.XLOOKUP(tblSales[[#This Row],[ProductID]],tblProducts[ProductID],tblProducts[ProductName],"Not Found")</f>
        <v>NeuroCalm</v>
      </c>
      <c r="O97" s="8">
        <f>YEAR(tblSales[[#This Row],[Month]])</f>
        <v>2024</v>
      </c>
      <c r="P97" s="8">
        <f>MONTH(tblSales[[#This Row],[Month]])</f>
        <v>2</v>
      </c>
      <c r="Q97" s="6">
        <f>IFERROR(tblSales[[#This Row],[NetSalesTRY]]/tblSales[[#This Row],[Units]],0)</f>
        <v>1043.022375</v>
      </c>
      <c r="R97" s="17">
        <f>IFERROR(tblSales[[#This Row],[NetSalesTRY]]/tblSales[[#This Row],[TargetTRY]],0)</f>
        <v>1.0461570538422065</v>
      </c>
      <c r="S97" s="6">
        <f>tblSales[[#This Row],[NetSalesTRY]]-tblSales[[#This Row],[TargetTRY]]</f>
        <v>3681.5</v>
      </c>
      <c r="T97" s="6">
        <f>MAX(tblSales[[#This Row],[TargetTRY]]-tblSales[[#This Row],[NetSalesTRY]],0)</f>
        <v>0</v>
      </c>
    </row>
    <row r="98" spans="1:20">
      <c r="A98" t="s">
        <v>486</v>
      </c>
      <c r="B98" s="15">
        <v>45352</v>
      </c>
      <c r="C98" t="s">
        <v>19</v>
      </c>
      <c r="D98" t="s">
        <v>20</v>
      </c>
      <c r="E98" t="s">
        <v>34</v>
      </c>
      <c r="F98" t="s">
        <v>32</v>
      </c>
      <c r="G98" t="s">
        <v>5</v>
      </c>
      <c r="H98" s="8">
        <v>139</v>
      </c>
      <c r="I98" s="9">
        <v>134348.66</v>
      </c>
      <c r="J98" s="9">
        <v>9268.39</v>
      </c>
      <c r="K98" s="9">
        <v>1430.67</v>
      </c>
      <c r="L98" s="9">
        <v>123649.60000000001</v>
      </c>
      <c r="M98" s="9">
        <v>131773.01</v>
      </c>
      <c r="N98" s="6" t="str">
        <f>_xlfn.XLOOKUP(tblSales[[#This Row],[ProductID]],tblProducts[ProductID],tblProducts[ProductName],"Not Found")</f>
        <v>Cardiovan</v>
      </c>
      <c r="O98" s="8">
        <f>YEAR(tblSales[[#This Row],[Month]])</f>
        <v>2024</v>
      </c>
      <c r="P98" s="8">
        <f>MONTH(tblSales[[#This Row],[Month]])</f>
        <v>3</v>
      </c>
      <c r="Q98" s="6">
        <f>IFERROR(tblSales[[#This Row],[NetSalesTRY]]/tblSales[[#This Row],[Units]],0)</f>
        <v>889.56546762589937</v>
      </c>
      <c r="R98" s="17">
        <f>IFERROR(tblSales[[#This Row],[NetSalesTRY]]/tblSales[[#This Row],[TargetTRY]],0)</f>
        <v>0.93835300567240587</v>
      </c>
      <c r="S98" s="6">
        <f>tblSales[[#This Row],[NetSalesTRY]]-tblSales[[#This Row],[TargetTRY]]</f>
        <v>-8123.4100000000035</v>
      </c>
      <c r="T98" s="6">
        <f>MAX(tblSales[[#This Row],[TargetTRY]]-tblSales[[#This Row],[NetSalesTRY]],0)</f>
        <v>8123.4100000000035</v>
      </c>
    </row>
    <row r="99" spans="1:20">
      <c r="A99" t="s">
        <v>487</v>
      </c>
      <c r="B99" s="15">
        <v>45352</v>
      </c>
      <c r="C99" t="s">
        <v>19</v>
      </c>
      <c r="D99" t="s">
        <v>20</v>
      </c>
      <c r="E99" t="s">
        <v>34</v>
      </c>
      <c r="F99" t="s">
        <v>32</v>
      </c>
      <c r="G99" t="s">
        <v>8</v>
      </c>
      <c r="H99" s="8">
        <v>175</v>
      </c>
      <c r="I99" s="9">
        <v>134079.79</v>
      </c>
      <c r="J99" s="9">
        <v>7343.36</v>
      </c>
      <c r="K99" s="9">
        <v>1540.42</v>
      </c>
      <c r="L99" s="9">
        <v>125196.01</v>
      </c>
      <c r="M99" s="9">
        <v>123317.46</v>
      </c>
      <c r="N99" s="6" t="str">
        <f>_xlfn.XLOOKUP(tblSales[[#This Row],[ProductID]],tblProducts[ProductID],tblProducts[ProductName],"Not Found")</f>
        <v>GlucoRelief</v>
      </c>
      <c r="O99" s="8">
        <f>YEAR(tblSales[[#This Row],[Month]])</f>
        <v>2024</v>
      </c>
      <c r="P99" s="8">
        <f>MONTH(tblSales[[#This Row],[Month]])</f>
        <v>3</v>
      </c>
      <c r="Q99" s="6">
        <f>IFERROR(tblSales[[#This Row],[NetSalesTRY]]/tblSales[[#This Row],[Units]],0)</f>
        <v>715.40577142857137</v>
      </c>
      <c r="R99" s="17">
        <f>IFERROR(tblSales[[#This Row],[NetSalesTRY]]/tblSales[[#This Row],[TargetTRY]],0)</f>
        <v>1.0152334470722961</v>
      </c>
      <c r="S99" s="6">
        <f>tblSales[[#This Row],[NetSalesTRY]]-tblSales[[#This Row],[TargetTRY]]</f>
        <v>1878.5499999999884</v>
      </c>
      <c r="T99" s="6">
        <f>MAX(tblSales[[#This Row],[TargetTRY]]-tblSales[[#This Row],[NetSalesTRY]],0)</f>
        <v>0</v>
      </c>
    </row>
    <row r="100" spans="1:20">
      <c r="A100" t="s">
        <v>488</v>
      </c>
      <c r="B100" s="15">
        <v>45352</v>
      </c>
      <c r="C100" t="s">
        <v>19</v>
      </c>
      <c r="D100" t="s">
        <v>20</v>
      </c>
      <c r="E100" t="s">
        <v>34</v>
      </c>
      <c r="F100" t="s">
        <v>32</v>
      </c>
      <c r="G100" t="s">
        <v>11</v>
      </c>
      <c r="H100" s="8">
        <v>215</v>
      </c>
      <c r="I100" s="9">
        <v>133019.25</v>
      </c>
      <c r="J100" s="9">
        <v>4802.6899999999996</v>
      </c>
      <c r="K100" s="9">
        <v>570.47</v>
      </c>
      <c r="L100" s="9">
        <v>127646.09</v>
      </c>
      <c r="M100" s="9">
        <v>121424.94</v>
      </c>
      <c r="N100" s="6" t="str">
        <f>_xlfn.XLOOKUP(tblSales[[#This Row],[ProductID]],tblProducts[ProductID],tblProducts[ProductName],"Not Found")</f>
        <v>RespiraX</v>
      </c>
      <c r="O100" s="8">
        <f>YEAR(tblSales[[#This Row],[Month]])</f>
        <v>2024</v>
      </c>
      <c r="P100" s="8">
        <f>MONTH(tblSales[[#This Row],[Month]])</f>
        <v>3</v>
      </c>
      <c r="Q100" s="6">
        <f>IFERROR(tblSales[[#This Row],[NetSalesTRY]]/tblSales[[#This Row],[Units]],0)</f>
        <v>593.70274418604652</v>
      </c>
      <c r="R100" s="17">
        <f>IFERROR(tblSales[[#This Row],[NetSalesTRY]]/tblSales[[#This Row],[TargetTRY]],0)</f>
        <v>1.0512345322138927</v>
      </c>
      <c r="S100" s="6">
        <f>tblSales[[#This Row],[NetSalesTRY]]-tblSales[[#This Row],[TargetTRY]]</f>
        <v>6221.1499999999942</v>
      </c>
      <c r="T100" s="6">
        <f>MAX(tblSales[[#This Row],[TargetTRY]]-tblSales[[#This Row],[NetSalesTRY]],0)</f>
        <v>0</v>
      </c>
    </row>
    <row r="101" spans="1:20">
      <c r="A101" t="s">
        <v>489</v>
      </c>
      <c r="B101" s="15">
        <v>45352</v>
      </c>
      <c r="C101" t="s">
        <v>19</v>
      </c>
      <c r="D101" t="s">
        <v>20</v>
      </c>
      <c r="E101" t="s">
        <v>34</v>
      </c>
      <c r="F101" t="s">
        <v>32</v>
      </c>
      <c r="G101" t="s">
        <v>14</v>
      </c>
      <c r="H101" s="8">
        <v>115</v>
      </c>
      <c r="I101" s="9">
        <v>126729.39</v>
      </c>
      <c r="J101" s="9">
        <v>5286.97</v>
      </c>
      <c r="K101" s="9">
        <v>890.23</v>
      </c>
      <c r="L101" s="9">
        <v>120552.2</v>
      </c>
      <c r="M101" s="9">
        <v>113773.43</v>
      </c>
      <c r="N101" s="6" t="str">
        <f>_xlfn.XLOOKUP(tblSales[[#This Row],[ProductID]],tblProducts[ProductID],tblProducts[ProductName],"Not Found")</f>
        <v>NeuroCalm</v>
      </c>
      <c r="O101" s="8">
        <f>YEAR(tblSales[[#This Row],[Month]])</f>
        <v>2024</v>
      </c>
      <c r="P101" s="8">
        <f>MONTH(tblSales[[#This Row],[Month]])</f>
        <v>3</v>
      </c>
      <c r="Q101" s="6">
        <f>IFERROR(tblSales[[#This Row],[NetSalesTRY]]/tblSales[[#This Row],[Units]],0)</f>
        <v>1048.28</v>
      </c>
      <c r="R101" s="17">
        <f>IFERROR(tblSales[[#This Row],[NetSalesTRY]]/tblSales[[#This Row],[TargetTRY]],0)</f>
        <v>1.0595813099772065</v>
      </c>
      <c r="S101" s="6">
        <f>tblSales[[#This Row],[NetSalesTRY]]-tblSales[[#This Row],[TargetTRY]]</f>
        <v>6778.7700000000041</v>
      </c>
      <c r="T101" s="6">
        <f>MAX(tblSales[[#This Row],[TargetTRY]]-tblSales[[#This Row],[NetSalesTRY]],0)</f>
        <v>0</v>
      </c>
    </row>
    <row r="102" spans="1:20">
      <c r="A102" t="s">
        <v>490</v>
      </c>
      <c r="B102" s="15">
        <v>45352</v>
      </c>
      <c r="C102" t="s">
        <v>19</v>
      </c>
      <c r="D102" t="s">
        <v>20</v>
      </c>
      <c r="E102" t="s">
        <v>37</v>
      </c>
      <c r="F102" t="s">
        <v>35</v>
      </c>
      <c r="G102" t="s">
        <v>5</v>
      </c>
      <c r="H102" s="8">
        <v>152</v>
      </c>
      <c r="I102" s="9">
        <v>149364.13</v>
      </c>
      <c r="J102" s="9">
        <v>9640.56</v>
      </c>
      <c r="K102" s="9">
        <v>2029.86</v>
      </c>
      <c r="L102" s="9">
        <v>137693.71</v>
      </c>
      <c r="M102" s="9">
        <v>131035.61</v>
      </c>
      <c r="N102" s="6" t="str">
        <f>_xlfn.XLOOKUP(tblSales[[#This Row],[ProductID]],tblProducts[ProductID],tblProducts[ProductName],"Not Found")</f>
        <v>Cardiovan</v>
      </c>
      <c r="O102" s="8">
        <f>YEAR(tblSales[[#This Row],[Month]])</f>
        <v>2024</v>
      </c>
      <c r="P102" s="8">
        <f>MONTH(tblSales[[#This Row],[Month]])</f>
        <v>3</v>
      </c>
      <c r="Q102" s="6">
        <f>IFERROR(tblSales[[#This Row],[NetSalesTRY]]/tblSales[[#This Row],[Units]],0)</f>
        <v>905.87967105263158</v>
      </c>
      <c r="R102" s="17">
        <f>IFERROR(tblSales[[#This Row],[NetSalesTRY]]/tblSales[[#This Row],[TargetTRY]],0)</f>
        <v>1.0508113786779028</v>
      </c>
      <c r="S102" s="6">
        <f>tblSales[[#This Row],[NetSalesTRY]]-tblSales[[#This Row],[TargetTRY]]</f>
        <v>6658.0999999999913</v>
      </c>
      <c r="T102" s="6">
        <f>MAX(tblSales[[#This Row],[TargetTRY]]-tblSales[[#This Row],[NetSalesTRY]],0)</f>
        <v>0</v>
      </c>
    </row>
    <row r="103" spans="1:20">
      <c r="A103" t="s">
        <v>491</v>
      </c>
      <c r="B103" s="15">
        <v>45352</v>
      </c>
      <c r="C103" t="s">
        <v>19</v>
      </c>
      <c r="D103" t="s">
        <v>20</v>
      </c>
      <c r="E103" t="s">
        <v>37</v>
      </c>
      <c r="F103" t="s">
        <v>35</v>
      </c>
      <c r="G103" t="s">
        <v>8</v>
      </c>
      <c r="H103" s="8">
        <v>179</v>
      </c>
      <c r="I103" s="9">
        <v>137335.82</v>
      </c>
      <c r="J103" s="9">
        <v>5742.56</v>
      </c>
      <c r="K103" s="9">
        <v>1400.09</v>
      </c>
      <c r="L103" s="9">
        <v>130193.17</v>
      </c>
      <c r="M103" s="9">
        <v>125151.01</v>
      </c>
      <c r="N103" s="6" t="str">
        <f>_xlfn.XLOOKUP(tblSales[[#This Row],[ProductID]],tblProducts[ProductID],tblProducts[ProductName],"Not Found")</f>
        <v>GlucoRelief</v>
      </c>
      <c r="O103" s="8">
        <f>YEAR(tblSales[[#This Row],[Month]])</f>
        <v>2024</v>
      </c>
      <c r="P103" s="8">
        <f>MONTH(tblSales[[#This Row],[Month]])</f>
        <v>3</v>
      </c>
      <c r="Q103" s="6">
        <f>IFERROR(tblSales[[#This Row],[NetSalesTRY]]/tblSales[[#This Row],[Units]],0)</f>
        <v>727.3361452513966</v>
      </c>
      <c r="R103" s="17">
        <f>IFERROR(tblSales[[#This Row],[NetSalesTRY]]/tblSales[[#This Row],[TargetTRY]],0)</f>
        <v>1.0402886081382803</v>
      </c>
      <c r="S103" s="6">
        <f>tblSales[[#This Row],[NetSalesTRY]]-tblSales[[#This Row],[TargetTRY]]</f>
        <v>5042.1600000000035</v>
      </c>
      <c r="T103" s="6">
        <f>MAX(tblSales[[#This Row],[TargetTRY]]-tblSales[[#This Row],[NetSalesTRY]],0)</f>
        <v>0</v>
      </c>
    </row>
    <row r="104" spans="1:20">
      <c r="A104" t="s">
        <v>492</v>
      </c>
      <c r="B104" s="15">
        <v>45352</v>
      </c>
      <c r="C104" t="s">
        <v>19</v>
      </c>
      <c r="D104" t="s">
        <v>20</v>
      </c>
      <c r="E104" t="s">
        <v>37</v>
      </c>
      <c r="F104" t="s">
        <v>35</v>
      </c>
      <c r="G104" t="s">
        <v>11</v>
      </c>
      <c r="H104" s="8">
        <v>199</v>
      </c>
      <c r="I104" s="9">
        <v>124550.42</v>
      </c>
      <c r="J104" s="9">
        <v>5845.86</v>
      </c>
      <c r="K104" s="9">
        <v>908.32</v>
      </c>
      <c r="L104" s="9">
        <v>117796.25</v>
      </c>
      <c r="M104" s="9">
        <v>123846.26</v>
      </c>
      <c r="N104" s="6" t="str">
        <f>_xlfn.XLOOKUP(tblSales[[#This Row],[ProductID]],tblProducts[ProductID],tblProducts[ProductName],"Not Found")</f>
        <v>RespiraX</v>
      </c>
      <c r="O104" s="8">
        <f>YEAR(tblSales[[#This Row],[Month]])</f>
        <v>2024</v>
      </c>
      <c r="P104" s="8">
        <f>MONTH(tblSales[[#This Row],[Month]])</f>
        <v>3</v>
      </c>
      <c r="Q104" s="6">
        <f>IFERROR(tblSales[[#This Row],[NetSalesTRY]]/tblSales[[#This Row],[Units]],0)</f>
        <v>591.94095477386929</v>
      </c>
      <c r="R104" s="17">
        <f>IFERROR(tblSales[[#This Row],[NetSalesTRY]]/tblSales[[#This Row],[TargetTRY]],0)</f>
        <v>0.95114902944990032</v>
      </c>
      <c r="S104" s="6">
        <f>tblSales[[#This Row],[NetSalesTRY]]-tblSales[[#This Row],[TargetTRY]]</f>
        <v>-6050.0099999999948</v>
      </c>
      <c r="T104" s="6">
        <f>MAX(tblSales[[#This Row],[TargetTRY]]-tblSales[[#This Row],[NetSalesTRY]],0)</f>
        <v>6050.0099999999948</v>
      </c>
    </row>
    <row r="105" spans="1:20">
      <c r="A105" t="s">
        <v>493</v>
      </c>
      <c r="B105" s="15">
        <v>45352</v>
      </c>
      <c r="C105" t="s">
        <v>19</v>
      </c>
      <c r="D105" t="s">
        <v>20</v>
      </c>
      <c r="E105" t="s">
        <v>37</v>
      </c>
      <c r="F105" t="s">
        <v>35</v>
      </c>
      <c r="G105" t="s">
        <v>14</v>
      </c>
      <c r="H105" s="8">
        <v>110</v>
      </c>
      <c r="I105" s="9">
        <v>120928.71</v>
      </c>
      <c r="J105" s="9">
        <v>6699.64</v>
      </c>
      <c r="K105" s="9">
        <v>1482.98</v>
      </c>
      <c r="L105" s="9">
        <v>112746.09</v>
      </c>
      <c r="M105" s="9">
        <v>114999.72</v>
      </c>
      <c r="N105" s="6" t="str">
        <f>_xlfn.XLOOKUP(tblSales[[#This Row],[ProductID]],tblProducts[ProductID],tblProducts[ProductName],"Not Found")</f>
        <v>NeuroCalm</v>
      </c>
      <c r="O105" s="8">
        <f>YEAR(tblSales[[#This Row],[Month]])</f>
        <v>2024</v>
      </c>
      <c r="P105" s="8">
        <f>MONTH(tblSales[[#This Row],[Month]])</f>
        <v>3</v>
      </c>
      <c r="Q105" s="6">
        <f>IFERROR(tblSales[[#This Row],[NetSalesTRY]]/tblSales[[#This Row],[Units]],0)</f>
        <v>1024.9644545454546</v>
      </c>
      <c r="R105" s="17">
        <f>IFERROR(tblSales[[#This Row],[NetSalesTRY]]/tblSales[[#This Row],[TargetTRY]],0)</f>
        <v>0.98040316967728269</v>
      </c>
      <c r="S105" s="6">
        <f>tblSales[[#This Row],[NetSalesTRY]]-tblSales[[#This Row],[TargetTRY]]</f>
        <v>-2253.6300000000047</v>
      </c>
      <c r="T105" s="6">
        <f>MAX(tblSales[[#This Row],[TargetTRY]]-tblSales[[#This Row],[NetSalesTRY]],0)</f>
        <v>2253.6300000000047</v>
      </c>
    </row>
    <row r="106" spans="1:20">
      <c r="A106" t="s">
        <v>494</v>
      </c>
      <c r="B106" s="15">
        <v>45352</v>
      </c>
      <c r="C106" t="s">
        <v>19</v>
      </c>
      <c r="D106" t="s">
        <v>20</v>
      </c>
      <c r="E106" t="s">
        <v>40</v>
      </c>
      <c r="F106" t="s">
        <v>38</v>
      </c>
      <c r="G106" t="s">
        <v>5</v>
      </c>
      <c r="H106" s="8">
        <v>154</v>
      </c>
      <c r="I106" s="9">
        <v>152277.13</v>
      </c>
      <c r="J106" s="9">
        <v>8977.94</v>
      </c>
      <c r="K106" s="9">
        <v>973.63</v>
      </c>
      <c r="L106" s="9">
        <v>142325.57</v>
      </c>
      <c r="M106" s="9">
        <v>144651.79999999999</v>
      </c>
      <c r="N106" s="6" t="str">
        <f>_xlfn.XLOOKUP(tblSales[[#This Row],[ProductID]],tblProducts[ProductID],tblProducts[ProductName],"Not Found")</f>
        <v>Cardiovan</v>
      </c>
      <c r="O106" s="8">
        <f>YEAR(tblSales[[#This Row],[Month]])</f>
        <v>2024</v>
      </c>
      <c r="P106" s="8">
        <f>MONTH(tblSales[[#This Row],[Month]])</f>
        <v>3</v>
      </c>
      <c r="Q106" s="6">
        <f>IFERROR(tblSales[[#This Row],[NetSalesTRY]]/tblSales[[#This Row],[Units]],0)</f>
        <v>924.19201298701307</v>
      </c>
      <c r="R106" s="17">
        <f>IFERROR(tblSales[[#This Row],[NetSalesTRY]]/tblSales[[#This Row],[TargetTRY]],0)</f>
        <v>0.98391841650086631</v>
      </c>
      <c r="S106" s="6">
        <f>tblSales[[#This Row],[NetSalesTRY]]-tblSales[[#This Row],[TargetTRY]]</f>
        <v>-2326.2299999999814</v>
      </c>
      <c r="T106" s="6">
        <f>MAX(tblSales[[#This Row],[TargetTRY]]-tblSales[[#This Row],[NetSalesTRY]],0)</f>
        <v>2326.2299999999814</v>
      </c>
    </row>
    <row r="107" spans="1:20">
      <c r="A107" t="s">
        <v>495</v>
      </c>
      <c r="B107" s="15">
        <v>45352</v>
      </c>
      <c r="C107" t="s">
        <v>19</v>
      </c>
      <c r="D107" t="s">
        <v>20</v>
      </c>
      <c r="E107" t="s">
        <v>40</v>
      </c>
      <c r="F107" t="s">
        <v>38</v>
      </c>
      <c r="G107" t="s">
        <v>8</v>
      </c>
      <c r="H107" s="8">
        <v>181</v>
      </c>
      <c r="I107" s="9">
        <v>138973.42000000001</v>
      </c>
      <c r="J107" s="9">
        <v>6681.28</v>
      </c>
      <c r="K107" s="9">
        <v>1921.84</v>
      </c>
      <c r="L107" s="9">
        <v>130370.3</v>
      </c>
      <c r="M107" s="9">
        <v>135318.20000000001</v>
      </c>
      <c r="N107" s="6" t="str">
        <f>_xlfn.XLOOKUP(tblSales[[#This Row],[ProductID]],tblProducts[ProductID],tblProducts[ProductName],"Not Found")</f>
        <v>GlucoRelief</v>
      </c>
      <c r="O107" s="8">
        <f>YEAR(tblSales[[#This Row],[Month]])</f>
        <v>2024</v>
      </c>
      <c r="P107" s="8">
        <f>MONTH(tblSales[[#This Row],[Month]])</f>
        <v>3</v>
      </c>
      <c r="Q107" s="6">
        <f>IFERROR(tblSales[[#This Row],[NetSalesTRY]]/tblSales[[#This Row],[Units]],0)</f>
        <v>720.27790055248624</v>
      </c>
      <c r="R107" s="17">
        <f>IFERROR(tblSales[[#This Row],[NetSalesTRY]]/tblSales[[#This Row],[TargetTRY]],0)</f>
        <v>0.96343507377425941</v>
      </c>
      <c r="S107" s="6">
        <f>tblSales[[#This Row],[NetSalesTRY]]-tblSales[[#This Row],[TargetTRY]]</f>
        <v>-4947.9000000000087</v>
      </c>
      <c r="T107" s="6">
        <f>MAX(tblSales[[#This Row],[TargetTRY]]-tblSales[[#This Row],[NetSalesTRY]],0)</f>
        <v>4947.9000000000087</v>
      </c>
    </row>
    <row r="108" spans="1:20">
      <c r="A108" t="s">
        <v>496</v>
      </c>
      <c r="B108" s="15">
        <v>45352</v>
      </c>
      <c r="C108" t="s">
        <v>19</v>
      </c>
      <c r="D108" t="s">
        <v>20</v>
      </c>
      <c r="E108" t="s">
        <v>40</v>
      </c>
      <c r="F108" t="s">
        <v>38</v>
      </c>
      <c r="G108" t="s">
        <v>11</v>
      </c>
      <c r="H108" s="8">
        <v>239</v>
      </c>
      <c r="I108" s="9">
        <v>147054.39999999999</v>
      </c>
      <c r="J108" s="9">
        <v>9873.59</v>
      </c>
      <c r="K108" s="9">
        <v>1848.14</v>
      </c>
      <c r="L108" s="9">
        <v>135332.67000000001</v>
      </c>
      <c r="M108" s="9">
        <v>135074.09</v>
      </c>
      <c r="N108" s="6" t="str">
        <f>_xlfn.XLOOKUP(tblSales[[#This Row],[ProductID]],tblProducts[ProductID],tblProducts[ProductName],"Not Found")</f>
        <v>RespiraX</v>
      </c>
      <c r="O108" s="8">
        <f>YEAR(tblSales[[#This Row],[Month]])</f>
        <v>2024</v>
      </c>
      <c r="P108" s="8">
        <f>MONTH(tblSales[[#This Row],[Month]])</f>
        <v>3</v>
      </c>
      <c r="Q108" s="6">
        <f>IFERROR(tblSales[[#This Row],[NetSalesTRY]]/tblSales[[#This Row],[Units]],0)</f>
        <v>566.24548117154814</v>
      </c>
      <c r="R108" s="17">
        <f>IFERROR(tblSales[[#This Row],[NetSalesTRY]]/tblSales[[#This Row],[TargetTRY]],0)</f>
        <v>1.0019143567800457</v>
      </c>
      <c r="S108" s="6">
        <f>tblSales[[#This Row],[NetSalesTRY]]-tblSales[[#This Row],[TargetTRY]]</f>
        <v>258.5800000000163</v>
      </c>
      <c r="T108" s="6">
        <f>MAX(tblSales[[#This Row],[TargetTRY]]-tblSales[[#This Row],[NetSalesTRY]],0)</f>
        <v>0</v>
      </c>
    </row>
    <row r="109" spans="1:20">
      <c r="A109" t="s">
        <v>497</v>
      </c>
      <c r="B109" s="15">
        <v>45352</v>
      </c>
      <c r="C109" t="s">
        <v>19</v>
      </c>
      <c r="D109" t="s">
        <v>20</v>
      </c>
      <c r="E109" t="s">
        <v>40</v>
      </c>
      <c r="F109" t="s">
        <v>38</v>
      </c>
      <c r="G109" t="s">
        <v>14</v>
      </c>
      <c r="H109" s="8">
        <v>127</v>
      </c>
      <c r="I109" s="9">
        <v>140499.81</v>
      </c>
      <c r="J109" s="9">
        <v>6807.96</v>
      </c>
      <c r="K109" s="9">
        <v>1939.39</v>
      </c>
      <c r="L109" s="9">
        <v>131752.46</v>
      </c>
      <c r="M109" s="9">
        <v>126372.19</v>
      </c>
      <c r="N109" s="6" t="str">
        <f>_xlfn.XLOOKUP(tblSales[[#This Row],[ProductID]],tblProducts[ProductID],tblProducts[ProductName],"Not Found")</f>
        <v>NeuroCalm</v>
      </c>
      <c r="O109" s="8">
        <f>YEAR(tblSales[[#This Row],[Month]])</f>
        <v>2024</v>
      </c>
      <c r="P109" s="8">
        <f>MONTH(tblSales[[#This Row],[Month]])</f>
        <v>3</v>
      </c>
      <c r="Q109" s="6">
        <f>IFERROR(tblSales[[#This Row],[NetSalesTRY]]/tblSales[[#This Row],[Units]],0)</f>
        <v>1037.4209448818897</v>
      </c>
      <c r="R109" s="17">
        <f>IFERROR(tblSales[[#This Row],[NetSalesTRY]]/tblSales[[#This Row],[TargetTRY]],0)</f>
        <v>1.0425747943435972</v>
      </c>
      <c r="S109" s="6">
        <f>tblSales[[#This Row],[NetSalesTRY]]-tblSales[[#This Row],[TargetTRY]]</f>
        <v>5380.2699999999895</v>
      </c>
      <c r="T109" s="6">
        <f>MAX(tblSales[[#This Row],[TargetTRY]]-tblSales[[#This Row],[NetSalesTRY]],0)</f>
        <v>0</v>
      </c>
    </row>
    <row r="110" spans="1:20">
      <c r="A110" t="s">
        <v>498</v>
      </c>
      <c r="B110" s="15">
        <v>45352</v>
      </c>
      <c r="C110" t="s">
        <v>21</v>
      </c>
      <c r="D110" t="s">
        <v>22</v>
      </c>
      <c r="E110" t="s">
        <v>43</v>
      </c>
      <c r="F110" t="s">
        <v>41</v>
      </c>
      <c r="G110" t="s">
        <v>5</v>
      </c>
      <c r="H110" s="8">
        <v>118</v>
      </c>
      <c r="I110" s="9">
        <v>114540.62</v>
      </c>
      <c r="J110" s="9">
        <v>4245.71</v>
      </c>
      <c r="K110" s="9">
        <v>1094.26</v>
      </c>
      <c r="L110" s="9">
        <v>109200.65</v>
      </c>
      <c r="M110" s="9">
        <v>105284.58</v>
      </c>
      <c r="N110" s="6" t="str">
        <f>_xlfn.XLOOKUP(tblSales[[#This Row],[ProductID]],tblProducts[ProductID],tblProducts[ProductName],"Not Found")</f>
        <v>Cardiovan</v>
      </c>
      <c r="O110" s="8">
        <f>YEAR(tblSales[[#This Row],[Month]])</f>
        <v>2024</v>
      </c>
      <c r="P110" s="8">
        <f>MONTH(tblSales[[#This Row],[Month]])</f>
        <v>3</v>
      </c>
      <c r="Q110" s="6">
        <f>IFERROR(tblSales[[#This Row],[NetSalesTRY]]/tblSales[[#This Row],[Units]],0)</f>
        <v>925.4292372881356</v>
      </c>
      <c r="R110" s="17">
        <f>IFERROR(tblSales[[#This Row],[NetSalesTRY]]/tblSales[[#This Row],[TargetTRY]],0)</f>
        <v>1.0371950954261298</v>
      </c>
      <c r="S110" s="6">
        <f>tblSales[[#This Row],[NetSalesTRY]]-tblSales[[#This Row],[TargetTRY]]</f>
        <v>3916.0699999999924</v>
      </c>
      <c r="T110" s="6">
        <f>MAX(tblSales[[#This Row],[TargetTRY]]-tblSales[[#This Row],[NetSalesTRY]],0)</f>
        <v>0</v>
      </c>
    </row>
    <row r="111" spans="1:20">
      <c r="A111" t="s">
        <v>499</v>
      </c>
      <c r="B111" s="15">
        <v>45352</v>
      </c>
      <c r="C111" t="s">
        <v>21</v>
      </c>
      <c r="D111" t="s">
        <v>22</v>
      </c>
      <c r="E111" t="s">
        <v>43</v>
      </c>
      <c r="F111" t="s">
        <v>41</v>
      </c>
      <c r="G111" t="s">
        <v>8</v>
      </c>
      <c r="H111" s="8">
        <v>137</v>
      </c>
      <c r="I111" s="9">
        <v>103961.08</v>
      </c>
      <c r="J111" s="9">
        <v>6000.69</v>
      </c>
      <c r="K111" s="9">
        <v>1009.01</v>
      </c>
      <c r="L111" s="9">
        <v>96951.39</v>
      </c>
      <c r="M111" s="9">
        <v>100156.43</v>
      </c>
      <c r="N111" s="6" t="str">
        <f>_xlfn.XLOOKUP(tblSales[[#This Row],[ProductID]],tblProducts[ProductID],tblProducts[ProductName],"Not Found")</f>
        <v>GlucoRelief</v>
      </c>
      <c r="O111" s="8">
        <f>YEAR(tblSales[[#This Row],[Month]])</f>
        <v>2024</v>
      </c>
      <c r="P111" s="8">
        <f>MONTH(tblSales[[#This Row],[Month]])</f>
        <v>3</v>
      </c>
      <c r="Q111" s="6">
        <f>IFERROR(tblSales[[#This Row],[NetSalesTRY]]/tblSales[[#This Row],[Units]],0)</f>
        <v>707.67437956204378</v>
      </c>
      <c r="R111" s="17">
        <f>IFERROR(tblSales[[#This Row],[NetSalesTRY]]/tblSales[[#This Row],[TargetTRY]],0)</f>
        <v>0.96799965813477984</v>
      </c>
      <c r="S111" s="6">
        <f>tblSales[[#This Row],[NetSalesTRY]]-tblSales[[#This Row],[TargetTRY]]</f>
        <v>-3205.0399999999936</v>
      </c>
      <c r="T111" s="6">
        <f>MAX(tblSales[[#This Row],[TargetTRY]]-tblSales[[#This Row],[NetSalesTRY]],0)</f>
        <v>3205.0399999999936</v>
      </c>
    </row>
    <row r="112" spans="1:20">
      <c r="A112" t="s">
        <v>500</v>
      </c>
      <c r="B112" s="15">
        <v>45352</v>
      </c>
      <c r="C112" t="s">
        <v>21</v>
      </c>
      <c r="D112" t="s">
        <v>22</v>
      </c>
      <c r="E112" t="s">
        <v>43</v>
      </c>
      <c r="F112" t="s">
        <v>41</v>
      </c>
      <c r="G112" t="s">
        <v>11</v>
      </c>
      <c r="H112" s="8">
        <v>162</v>
      </c>
      <c r="I112" s="9">
        <v>101944.9</v>
      </c>
      <c r="J112" s="9">
        <v>6404.46</v>
      </c>
      <c r="K112" s="9">
        <v>633.71</v>
      </c>
      <c r="L112" s="9">
        <v>94906.73</v>
      </c>
      <c r="M112" s="9">
        <v>98408.72</v>
      </c>
      <c r="N112" s="6" t="str">
        <f>_xlfn.XLOOKUP(tblSales[[#This Row],[ProductID]],tblProducts[ProductID],tblProducts[ProductName],"Not Found")</f>
        <v>RespiraX</v>
      </c>
      <c r="O112" s="8">
        <f>YEAR(tblSales[[#This Row],[Month]])</f>
        <v>2024</v>
      </c>
      <c r="P112" s="8">
        <f>MONTH(tblSales[[#This Row],[Month]])</f>
        <v>3</v>
      </c>
      <c r="Q112" s="6">
        <f>IFERROR(tblSales[[#This Row],[NetSalesTRY]]/tblSales[[#This Row],[Units]],0)</f>
        <v>585.84401234567895</v>
      </c>
      <c r="R112" s="17">
        <f>IFERROR(tblSales[[#This Row],[NetSalesTRY]]/tblSales[[#This Row],[TargetTRY]],0)</f>
        <v>0.96441382430337463</v>
      </c>
      <c r="S112" s="6">
        <f>tblSales[[#This Row],[NetSalesTRY]]-tblSales[[#This Row],[TargetTRY]]</f>
        <v>-3501.9900000000052</v>
      </c>
      <c r="T112" s="6">
        <f>MAX(tblSales[[#This Row],[TargetTRY]]-tblSales[[#This Row],[NetSalesTRY]],0)</f>
        <v>3501.9900000000052</v>
      </c>
    </row>
    <row r="113" spans="1:20">
      <c r="A113" t="s">
        <v>501</v>
      </c>
      <c r="B113" s="15">
        <v>45352</v>
      </c>
      <c r="C113" t="s">
        <v>21</v>
      </c>
      <c r="D113" t="s">
        <v>22</v>
      </c>
      <c r="E113" t="s">
        <v>43</v>
      </c>
      <c r="F113" t="s">
        <v>41</v>
      </c>
      <c r="G113" t="s">
        <v>14</v>
      </c>
      <c r="H113" s="8">
        <v>87</v>
      </c>
      <c r="I113" s="9">
        <v>97121.84</v>
      </c>
      <c r="J113" s="9">
        <v>5989.96</v>
      </c>
      <c r="K113" s="9">
        <v>1079.6600000000001</v>
      </c>
      <c r="L113" s="9">
        <v>90052.22</v>
      </c>
      <c r="M113" s="9">
        <v>91296.6</v>
      </c>
      <c r="N113" s="6" t="str">
        <f>_xlfn.XLOOKUP(tblSales[[#This Row],[ProductID]],tblProducts[ProductID],tblProducts[ProductName],"Not Found")</f>
        <v>NeuroCalm</v>
      </c>
      <c r="O113" s="8">
        <f>YEAR(tblSales[[#This Row],[Month]])</f>
        <v>2024</v>
      </c>
      <c r="P113" s="8">
        <f>MONTH(tblSales[[#This Row],[Month]])</f>
        <v>3</v>
      </c>
      <c r="Q113" s="6">
        <f>IFERROR(tblSales[[#This Row],[NetSalesTRY]]/tblSales[[#This Row],[Units]],0)</f>
        <v>1035.0829885057472</v>
      </c>
      <c r="R113" s="17">
        <f>IFERROR(tblSales[[#This Row],[NetSalesTRY]]/tblSales[[#This Row],[TargetTRY]],0)</f>
        <v>0.9863699195807949</v>
      </c>
      <c r="S113" s="6">
        <f>tblSales[[#This Row],[NetSalesTRY]]-tblSales[[#This Row],[TargetTRY]]</f>
        <v>-1244.3800000000047</v>
      </c>
      <c r="T113" s="6">
        <f>MAX(tblSales[[#This Row],[TargetTRY]]-tblSales[[#This Row],[NetSalesTRY]],0)</f>
        <v>1244.3800000000047</v>
      </c>
    </row>
    <row r="114" spans="1:20">
      <c r="A114" t="s">
        <v>502</v>
      </c>
      <c r="B114" s="15">
        <v>45352</v>
      </c>
      <c r="C114" t="s">
        <v>21</v>
      </c>
      <c r="D114" t="s">
        <v>22</v>
      </c>
      <c r="E114" t="s">
        <v>46</v>
      </c>
      <c r="F114" t="s">
        <v>44</v>
      </c>
      <c r="G114" t="s">
        <v>5</v>
      </c>
      <c r="H114" s="8">
        <v>108</v>
      </c>
      <c r="I114" s="9">
        <v>105280.46</v>
      </c>
      <c r="J114" s="9">
        <v>5615.88</v>
      </c>
      <c r="K114" s="9">
        <v>752.77</v>
      </c>
      <c r="L114" s="9">
        <v>98911.8</v>
      </c>
      <c r="M114" s="9">
        <v>94213.16</v>
      </c>
      <c r="N114" s="6" t="str">
        <f>_xlfn.XLOOKUP(tblSales[[#This Row],[ProductID]],tblProducts[ProductID],tblProducts[ProductName],"Not Found")</f>
        <v>Cardiovan</v>
      </c>
      <c r="O114" s="8">
        <f>YEAR(tblSales[[#This Row],[Month]])</f>
        <v>2024</v>
      </c>
      <c r="P114" s="8">
        <f>MONTH(tblSales[[#This Row],[Month]])</f>
        <v>3</v>
      </c>
      <c r="Q114" s="6">
        <f>IFERROR(tblSales[[#This Row],[NetSalesTRY]]/tblSales[[#This Row],[Units]],0)</f>
        <v>915.85</v>
      </c>
      <c r="R114" s="17">
        <f>IFERROR(tblSales[[#This Row],[NetSalesTRY]]/tblSales[[#This Row],[TargetTRY]],0)</f>
        <v>1.0498724382029008</v>
      </c>
      <c r="S114" s="6">
        <f>tblSales[[#This Row],[NetSalesTRY]]-tblSales[[#This Row],[TargetTRY]]</f>
        <v>4698.6399999999994</v>
      </c>
      <c r="T114" s="6">
        <f>MAX(tblSales[[#This Row],[TargetTRY]]-tblSales[[#This Row],[NetSalesTRY]],0)</f>
        <v>0</v>
      </c>
    </row>
    <row r="115" spans="1:20">
      <c r="A115" t="s">
        <v>503</v>
      </c>
      <c r="B115" s="15">
        <v>45352</v>
      </c>
      <c r="C115" t="s">
        <v>21</v>
      </c>
      <c r="D115" t="s">
        <v>22</v>
      </c>
      <c r="E115" t="s">
        <v>46</v>
      </c>
      <c r="F115" t="s">
        <v>44</v>
      </c>
      <c r="G115" t="s">
        <v>8</v>
      </c>
      <c r="H115" s="8">
        <v>125</v>
      </c>
      <c r="I115" s="9">
        <v>95052.88</v>
      </c>
      <c r="J115" s="9">
        <v>6305.94</v>
      </c>
      <c r="K115" s="9">
        <v>1119.6600000000001</v>
      </c>
      <c r="L115" s="9">
        <v>87627.27</v>
      </c>
      <c r="M115" s="9">
        <v>87349.29</v>
      </c>
      <c r="N115" s="6" t="str">
        <f>_xlfn.XLOOKUP(tblSales[[#This Row],[ProductID]],tblProducts[ProductID],tblProducts[ProductName],"Not Found")</f>
        <v>GlucoRelief</v>
      </c>
      <c r="O115" s="8">
        <f>YEAR(tblSales[[#This Row],[Month]])</f>
        <v>2024</v>
      </c>
      <c r="P115" s="8">
        <f>MONTH(tblSales[[#This Row],[Month]])</f>
        <v>3</v>
      </c>
      <c r="Q115" s="6">
        <f>IFERROR(tblSales[[#This Row],[NetSalesTRY]]/tblSales[[#This Row],[Units]],0)</f>
        <v>701.01816000000008</v>
      </c>
      <c r="R115" s="17">
        <f>IFERROR(tblSales[[#This Row],[NetSalesTRY]]/tblSales[[#This Row],[TargetTRY]],0)</f>
        <v>1.0031823956439716</v>
      </c>
      <c r="S115" s="6">
        <f>tblSales[[#This Row],[NetSalesTRY]]-tblSales[[#This Row],[TargetTRY]]</f>
        <v>277.98000000001048</v>
      </c>
      <c r="T115" s="6">
        <f>MAX(tblSales[[#This Row],[TargetTRY]]-tblSales[[#This Row],[NetSalesTRY]],0)</f>
        <v>0</v>
      </c>
    </row>
    <row r="116" spans="1:20">
      <c r="A116" t="s">
        <v>504</v>
      </c>
      <c r="B116" s="15">
        <v>45352</v>
      </c>
      <c r="C116" t="s">
        <v>21</v>
      </c>
      <c r="D116" t="s">
        <v>22</v>
      </c>
      <c r="E116" t="s">
        <v>46</v>
      </c>
      <c r="F116" t="s">
        <v>44</v>
      </c>
      <c r="G116" t="s">
        <v>11</v>
      </c>
      <c r="H116" s="8">
        <v>148</v>
      </c>
      <c r="I116" s="9">
        <v>91948.94</v>
      </c>
      <c r="J116" s="9">
        <v>4520.05</v>
      </c>
      <c r="K116" s="9">
        <v>390.29</v>
      </c>
      <c r="L116" s="9">
        <v>87038.6</v>
      </c>
      <c r="M116" s="9">
        <v>87273.05</v>
      </c>
      <c r="N116" s="6" t="str">
        <f>_xlfn.XLOOKUP(tblSales[[#This Row],[ProductID]],tblProducts[ProductID],tblProducts[ProductName],"Not Found")</f>
        <v>RespiraX</v>
      </c>
      <c r="O116" s="8">
        <f>YEAR(tblSales[[#This Row],[Month]])</f>
        <v>2024</v>
      </c>
      <c r="P116" s="8">
        <f>MONTH(tblSales[[#This Row],[Month]])</f>
        <v>3</v>
      </c>
      <c r="Q116" s="6">
        <f>IFERROR(tblSales[[#This Row],[NetSalesTRY]]/tblSales[[#This Row],[Units]],0)</f>
        <v>588.09864864864869</v>
      </c>
      <c r="R116" s="17">
        <f>IFERROR(tblSales[[#This Row],[NetSalesTRY]]/tblSales[[#This Row],[TargetTRY]],0)</f>
        <v>0.99731360368406974</v>
      </c>
      <c r="S116" s="6">
        <f>tblSales[[#This Row],[NetSalesTRY]]-tblSales[[#This Row],[TargetTRY]]</f>
        <v>-234.44999999999709</v>
      </c>
      <c r="T116" s="6">
        <f>MAX(tblSales[[#This Row],[TargetTRY]]-tblSales[[#This Row],[NetSalesTRY]],0)</f>
        <v>234.44999999999709</v>
      </c>
    </row>
    <row r="117" spans="1:20">
      <c r="A117" t="s">
        <v>505</v>
      </c>
      <c r="B117" s="15">
        <v>45352</v>
      </c>
      <c r="C117" t="s">
        <v>21</v>
      </c>
      <c r="D117" t="s">
        <v>22</v>
      </c>
      <c r="E117" t="s">
        <v>46</v>
      </c>
      <c r="F117" t="s">
        <v>44</v>
      </c>
      <c r="G117" t="s">
        <v>14</v>
      </c>
      <c r="H117" s="8">
        <v>77</v>
      </c>
      <c r="I117" s="9">
        <v>84819.62</v>
      </c>
      <c r="J117" s="9">
        <v>5570.83</v>
      </c>
      <c r="K117" s="9">
        <v>620.42999999999995</v>
      </c>
      <c r="L117" s="9">
        <v>78628.36</v>
      </c>
      <c r="M117" s="9">
        <v>80469.179999999993</v>
      </c>
      <c r="N117" s="6" t="str">
        <f>_xlfn.XLOOKUP(tblSales[[#This Row],[ProductID]],tblProducts[ProductID],tblProducts[ProductName],"Not Found")</f>
        <v>NeuroCalm</v>
      </c>
      <c r="O117" s="8">
        <f>YEAR(tblSales[[#This Row],[Month]])</f>
        <v>2024</v>
      </c>
      <c r="P117" s="8">
        <f>MONTH(tblSales[[#This Row],[Month]])</f>
        <v>3</v>
      </c>
      <c r="Q117" s="6">
        <f>IFERROR(tblSales[[#This Row],[NetSalesTRY]]/tblSales[[#This Row],[Units]],0)</f>
        <v>1021.1475324675325</v>
      </c>
      <c r="R117" s="17">
        <f>IFERROR(tblSales[[#This Row],[NetSalesTRY]]/tblSales[[#This Row],[TargetTRY]],0)</f>
        <v>0.97712391253396647</v>
      </c>
      <c r="S117" s="6">
        <f>tblSales[[#This Row],[NetSalesTRY]]-tblSales[[#This Row],[TargetTRY]]</f>
        <v>-1840.8199999999924</v>
      </c>
      <c r="T117" s="6">
        <f>MAX(tblSales[[#This Row],[TargetTRY]]-tblSales[[#This Row],[NetSalesTRY]],0)</f>
        <v>1840.8199999999924</v>
      </c>
    </row>
    <row r="118" spans="1:20">
      <c r="A118" t="s">
        <v>506</v>
      </c>
      <c r="B118" s="15">
        <v>45352</v>
      </c>
      <c r="C118" t="s">
        <v>21</v>
      </c>
      <c r="D118" t="s">
        <v>22</v>
      </c>
      <c r="E118" t="s">
        <v>49</v>
      </c>
      <c r="F118" t="s">
        <v>47</v>
      </c>
      <c r="G118" t="s">
        <v>5</v>
      </c>
      <c r="H118" s="8">
        <v>114</v>
      </c>
      <c r="I118" s="9">
        <v>111793.06</v>
      </c>
      <c r="J118" s="9">
        <v>4645.8599999999997</v>
      </c>
      <c r="K118" s="9">
        <v>1161.29</v>
      </c>
      <c r="L118" s="9">
        <v>105985.91</v>
      </c>
      <c r="M118" s="9">
        <v>105743.51</v>
      </c>
      <c r="N118" s="6" t="str">
        <f>_xlfn.XLOOKUP(tblSales[[#This Row],[ProductID]],tblProducts[ProductID],tblProducts[ProductName],"Not Found")</f>
        <v>Cardiovan</v>
      </c>
      <c r="O118" s="8">
        <f>YEAR(tblSales[[#This Row],[Month]])</f>
        <v>2024</v>
      </c>
      <c r="P118" s="8">
        <f>MONTH(tblSales[[#This Row],[Month]])</f>
        <v>3</v>
      </c>
      <c r="Q118" s="6">
        <f>IFERROR(tblSales[[#This Row],[NetSalesTRY]]/tblSales[[#This Row],[Units]],0)</f>
        <v>929.70096491228071</v>
      </c>
      <c r="R118" s="17">
        <f>IFERROR(tblSales[[#This Row],[NetSalesTRY]]/tblSales[[#This Row],[TargetTRY]],0)</f>
        <v>1.0022923392650764</v>
      </c>
      <c r="S118" s="6">
        <f>tblSales[[#This Row],[NetSalesTRY]]-tblSales[[#This Row],[TargetTRY]]</f>
        <v>242.40000000000873</v>
      </c>
      <c r="T118" s="6">
        <f>MAX(tblSales[[#This Row],[TargetTRY]]-tblSales[[#This Row],[NetSalesTRY]],0)</f>
        <v>0</v>
      </c>
    </row>
    <row r="119" spans="1:20">
      <c r="A119" t="s">
        <v>507</v>
      </c>
      <c r="B119" s="15">
        <v>45352</v>
      </c>
      <c r="C119" t="s">
        <v>21</v>
      </c>
      <c r="D119" t="s">
        <v>22</v>
      </c>
      <c r="E119" t="s">
        <v>49</v>
      </c>
      <c r="F119" t="s">
        <v>47</v>
      </c>
      <c r="G119" t="s">
        <v>8</v>
      </c>
      <c r="H119" s="8">
        <v>136</v>
      </c>
      <c r="I119" s="9">
        <v>103814</v>
      </c>
      <c r="J119" s="9">
        <v>7152.83</v>
      </c>
      <c r="K119" s="9">
        <v>996.97</v>
      </c>
      <c r="L119" s="9">
        <v>95664.2</v>
      </c>
      <c r="M119" s="9">
        <v>100052.84</v>
      </c>
      <c r="N119" s="6" t="str">
        <f>_xlfn.XLOOKUP(tblSales[[#This Row],[ProductID]],tblProducts[ProductID],tblProducts[ProductName],"Not Found")</f>
        <v>GlucoRelief</v>
      </c>
      <c r="O119" s="8">
        <f>YEAR(tblSales[[#This Row],[Month]])</f>
        <v>2024</v>
      </c>
      <c r="P119" s="8">
        <f>MONTH(tblSales[[#This Row],[Month]])</f>
        <v>3</v>
      </c>
      <c r="Q119" s="6">
        <f>IFERROR(tblSales[[#This Row],[NetSalesTRY]]/tblSales[[#This Row],[Units]],0)</f>
        <v>703.41323529411761</v>
      </c>
      <c r="R119" s="17">
        <f>IFERROR(tblSales[[#This Row],[NetSalesTRY]]/tblSales[[#This Row],[TargetTRY]],0)</f>
        <v>0.95613677732686053</v>
      </c>
      <c r="S119" s="6">
        <f>tblSales[[#This Row],[NetSalesTRY]]-tblSales[[#This Row],[TargetTRY]]</f>
        <v>-4388.6399999999994</v>
      </c>
      <c r="T119" s="6">
        <f>MAX(tblSales[[#This Row],[TargetTRY]]-tblSales[[#This Row],[NetSalesTRY]],0)</f>
        <v>4388.6399999999994</v>
      </c>
    </row>
    <row r="120" spans="1:20">
      <c r="A120" t="s">
        <v>508</v>
      </c>
      <c r="B120" s="15">
        <v>45352</v>
      </c>
      <c r="C120" t="s">
        <v>21</v>
      </c>
      <c r="D120" t="s">
        <v>22</v>
      </c>
      <c r="E120" t="s">
        <v>49</v>
      </c>
      <c r="F120" t="s">
        <v>47</v>
      </c>
      <c r="G120" t="s">
        <v>11</v>
      </c>
      <c r="H120" s="8">
        <v>160</v>
      </c>
      <c r="I120" s="9">
        <v>98348.75</v>
      </c>
      <c r="J120" s="9">
        <v>6255.8</v>
      </c>
      <c r="K120" s="9">
        <v>451.28</v>
      </c>
      <c r="L120" s="9">
        <v>91641.66</v>
      </c>
      <c r="M120" s="9">
        <v>98895.13</v>
      </c>
      <c r="N120" s="6" t="str">
        <f>_xlfn.XLOOKUP(tblSales[[#This Row],[ProductID]],tblProducts[ProductID],tblProducts[ProductName],"Not Found")</f>
        <v>RespiraX</v>
      </c>
      <c r="O120" s="8">
        <f>YEAR(tblSales[[#This Row],[Month]])</f>
        <v>2024</v>
      </c>
      <c r="P120" s="8">
        <f>MONTH(tblSales[[#This Row],[Month]])</f>
        <v>3</v>
      </c>
      <c r="Q120" s="6">
        <f>IFERROR(tblSales[[#This Row],[NetSalesTRY]]/tblSales[[#This Row],[Units]],0)</f>
        <v>572.76037500000007</v>
      </c>
      <c r="R120" s="17">
        <f>IFERROR(tblSales[[#This Row],[NetSalesTRY]]/tblSales[[#This Row],[TargetTRY]],0)</f>
        <v>0.92665493235106722</v>
      </c>
      <c r="S120" s="6">
        <f>tblSales[[#This Row],[NetSalesTRY]]-tblSales[[#This Row],[TargetTRY]]</f>
        <v>-7253.4700000000012</v>
      </c>
      <c r="T120" s="6">
        <f>MAX(tblSales[[#This Row],[TargetTRY]]-tblSales[[#This Row],[NetSalesTRY]],0)</f>
        <v>7253.4700000000012</v>
      </c>
    </row>
    <row r="121" spans="1:20">
      <c r="A121" t="s">
        <v>509</v>
      </c>
      <c r="B121" s="15">
        <v>45352</v>
      </c>
      <c r="C121" t="s">
        <v>21</v>
      </c>
      <c r="D121" t="s">
        <v>22</v>
      </c>
      <c r="E121" t="s">
        <v>49</v>
      </c>
      <c r="F121" t="s">
        <v>47</v>
      </c>
      <c r="G121" t="s">
        <v>14</v>
      </c>
      <c r="H121" s="8">
        <v>92</v>
      </c>
      <c r="I121" s="9">
        <v>100561.14</v>
      </c>
      <c r="J121" s="9">
        <v>7272.3</v>
      </c>
      <c r="K121" s="9">
        <v>1396.61</v>
      </c>
      <c r="L121" s="9">
        <v>91892.23</v>
      </c>
      <c r="M121" s="9">
        <v>91631.32</v>
      </c>
      <c r="N121" s="6" t="str">
        <f>_xlfn.XLOOKUP(tblSales[[#This Row],[ProductID]],tblProducts[ProductID],tblProducts[ProductName],"Not Found")</f>
        <v>NeuroCalm</v>
      </c>
      <c r="O121" s="8">
        <f>YEAR(tblSales[[#This Row],[Month]])</f>
        <v>2024</v>
      </c>
      <c r="P121" s="8">
        <f>MONTH(tblSales[[#This Row],[Month]])</f>
        <v>3</v>
      </c>
      <c r="Q121" s="6">
        <f>IFERROR(tblSales[[#This Row],[NetSalesTRY]]/tblSales[[#This Row],[Units]],0)</f>
        <v>998.82858695652169</v>
      </c>
      <c r="R121" s="17">
        <f>IFERROR(tblSales[[#This Row],[NetSalesTRY]]/tblSales[[#This Row],[TargetTRY]],0)</f>
        <v>1.002847388862236</v>
      </c>
      <c r="S121" s="6">
        <f>tblSales[[#This Row],[NetSalesTRY]]-tblSales[[#This Row],[TargetTRY]]</f>
        <v>260.90999999998894</v>
      </c>
      <c r="T121" s="6">
        <f>MAX(tblSales[[#This Row],[TargetTRY]]-tblSales[[#This Row],[NetSalesTRY]],0)</f>
        <v>0</v>
      </c>
    </row>
    <row r="122" spans="1:20">
      <c r="A122" t="s">
        <v>510</v>
      </c>
      <c r="B122" s="15">
        <v>45352</v>
      </c>
      <c r="C122" t="s">
        <v>23</v>
      </c>
      <c r="D122" t="s">
        <v>24</v>
      </c>
      <c r="E122" t="s">
        <v>52</v>
      </c>
      <c r="F122" t="s">
        <v>50</v>
      </c>
      <c r="G122" t="s">
        <v>5</v>
      </c>
      <c r="H122" s="8">
        <v>116</v>
      </c>
      <c r="I122" s="9">
        <v>114096.17</v>
      </c>
      <c r="J122" s="9">
        <v>5011.51</v>
      </c>
      <c r="K122" s="9">
        <v>915.55</v>
      </c>
      <c r="L122" s="9">
        <v>108169.11</v>
      </c>
      <c r="M122" s="9">
        <v>105753.21</v>
      </c>
      <c r="N122" s="6" t="str">
        <f>_xlfn.XLOOKUP(tblSales[[#This Row],[ProductID]],tblProducts[ProductID],tblProducts[ProductName],"Not Found")</f>
        <v>Cardiovan</v>
      </c>
      <c r="O122" s="8">
        <f>YEAR(tblSales[[#This Row],[Month]])</f>
        <v>2024</v>
      </c>
      <c r="P122" s="8">
        <f>MONTH(tblSales[[#This Row],[Month]])</f>
        <v>3</v>
      </c>
      <c r="Q122" s="6">
        <f>IFERROR(tblSales[[#This Row],[NetSalesTRY]]/tblSales[[#This Row],[Units]],0)</f>
        <v>932.4923275862069</v>
      </c>
      <c r="R122" s="17">
        <f>IFERROR(tblSales[[#This Row],[NetSalesTRY]]/tblSales[[#This Row],[TargetTRY]],0)</f>
        <v>1.0228446966290667</v>
      </c>
      <c r="S122" s="6">
        <f>tblSales[[#This Row],[NetSalesTRY]]-tblSales[[#This Row],[TargetTRY]]</f>
        <v>2415.8999999999942</v>
      </c>
      <c r="T122" s="6">
        <f>MAX(tblSales[[#This Row],[TargetTRY]]-tblSales[[#This Row],[NetSalesTRY]],0)</f>
        <v>0</v>
      </c>
    </row>
    <row r="123" spans="1:20">
      <c r="A123" t="s">
        <v>511</v>
      </c>
      <c r="B123" s="15">
        <v>45352</v>
      </c>
      <c r="C123" t="s">
        <v>23</v>
      </c>
      <c r="D123" t="s">
        <v>24</v>
      </c>
      <c r="E123" t="s">
        <v>52</v>
      </c>
      <c r="F123" t="s">
        <v>50</v>
      </c>
      <c r="G123" t="s">
        <v>8</v>
      </c>
      <c r="H123" s="8">
        <v>135</v>
      </c>
      <c r="I123" s="9">
        <v>102723.05</v>
      </c>
      <c r="J123" s="9">
        <v>5449.29</v>
      </c>
      <c r="K123" s="9">
        <v>655.38</v>
      </c>
      <c r="L123" s="9">
        <v>96618.38</v>
      </c>
      <c r="M123" s="9">
        <v>97917.47</v>
      </c>
      <c r="N123" s="6" t="str">
        <f>_xlfn.XLOOKUP(tblSales[[#This Row],[ProductID]],tblProducts[ProductID],tblProducts[ProductName],"Not Found")</f>
        <v>GlucoRelief</v>
      </c>
      <c r="O123" s="8">
        <f>YEAR(tblSales[[#This Row],[Month]])</f>
        <v>2024</v>
      </c>
      <c r="P123" s="8">
        <f>MONTH(tblSales[[#This Row],[Month]])</f>
        <v>3</v>
      </c>
      <c r="Q123" s="6">
        <f>IFERROR(tblSales[[#This Row],[NetSalesTRY]]/tblSales[[#This Row],[Units]],0)</f>
        <v>715.69170370370375</v>
      </c>
      <c r="R123" s="17">
        <f>IFERROR(tblSales[[#This Row],[NetSalesTRY]]/tblSales[[#This Row],[TargetTRY]],0)</f>
        <v>0.98673280671978147</v>
      </c>
      <c r="S123" s="6">
        <f>tblSales[[#This Row],[NetSalesTRY]]-tblSales[[#This Row],[TargetTRY]]</f>
        <v>-1299.0899999999965</v>
      </c>
      <c r="T123" s="6">
        <f>MAX(tblSales[[#This Row],[TargetTRY]]-tblSales[[#This Row],[NetSalesTRY]],0)</f>
        <v>1299.0899999999965</v>
      </c>
    </row>
    <row r="124" spans="1:20">
      <c r="A124" t="s">
        <v>512</v>
      </c>
      <c r="B124" s="15">
        <v>45352</v>
      </c>
      <c r="C124" t="s">
        <v>23</v>
      </c>
      <c r="D124" t="s">
        <v>24</v>
      </c>
      <c r="E124" t="s">
        <v>52</v>
      </c>
      <c r="F124" t="s">
        <v>50</v>
      </c>
      <c r="G124" t="s">
        <v>11</v>
      </c>
      <c r="H124" s="8">
        <v>165</v>
      </c>
      <c r="I124" s="9">
        <v>103515.72</v>
      </c>
      <c r="J124" s="9">
        <v>5180.22</v>
      </c>
      <c r="K124" s="9">
        <v>572.04999999999995</v>
      </c>
      <c r="L124" s="9">
        <v>97763.45</v>
      </c>
      <c r="M124" s="9">
        <v>98665.05</v>
      </c>
      <c r="N124" s="6" t="str">
        <f>_xlfn.XLOOKUP(tblSales[[#This Row],[ProductID]],tblProducts[ProductID],tblProducts[ProductName],"Not Found")</f>
        <v>RespiraX</v>
      </c>
      <c r="O124" s="8">
        <f>YEAR(tblSales[[#This Row],[Month]])</f>
        <v>2024</v>
      </c>
      <c r="P124" s="8">
        <f>MONTH(tblSales[[#This Row],[Month]])</f>
        <v>3</v>
      </c>
      <c r="Q124" s="6">
        <f>IFERROR(tblSales[[#This Row],[NetSalesTRY]]/tblSales[[#This Row],[Units]],0)</f>
        <v>592.50575757575757</v>
      </c>
      <c r="R124" s="17">
        <f>IFERROR(tblSales[[#This Row],[NetSalesTRY]]/tblSales[[#This Row],[TargetTRY]],0)</f>
        <v>0.99086201243500094</v>
      </c>
      <c r="S124" s="6">
        <f>tblSales[[#This Row],[NetSalesTRY]]-tblSales[[#This Row],[TargetTRY]]</f>
        <v>-901.60000000000582</v>
      </c>
      <c r="T124" s="6">
        <f>MAX(tblSales[[#This Row],[TargetTRY]]-tblSales[[#This Row],[NetSalesTRY]],0)</f>
        <v>901.60000000000582</v>
      </c>
    </row>
    <row r="125" spans="1:20">
      <c r="A125" t="s">
        <v>513</v>
      </c>
      <c r="B125" s="15">
        <v>45352</v>
      </c>
      <c r="C125" t="s">
        <v>23</v>
      </c>
      <c r="D125" t="s">
        <v>24</v>
      </c>
      <c r="E125" t="s">
        <v>52</v>
      </c>
      <c r="F125" t="s">
        <v>50</v>
      </c>
      <c r="G125" t="s">
        <v>14</v>
      </c>
      <c r="H125" s="8">
        <v>85</v>
      </c>
      <c r="I125" s="9">
        <v>92461.33</v>
      </c>
      <c r="J125" s="9">
        <v>4737.49</v>
      </c>
      <c r="K125" s="9">
        <v>1109.3</v>
      </c>
      <c r="L125" s="9">
        <v>86614.55</v>
      </c>
      <c r="M125" s="9">
        <v>90902.26</v>
      </c>
      <c r="N125" s="6" t="str">
        <f>_xlfn.XLOOKUP(tblSales[[#This Row],[ProductID]],tblProducts[ProductID],tblProducts[ProductName],"Not Found")</f>
        <v>NeuroCalm</v>
      </c>
      <c r="O125" s="8">
        <f>YEAR(tblSales[[#This Row],[Month]])</f>
        <v>2024</v>
      </c>
      <c r="P125" s="8">
        <f>MONTH(tblSales[[#This Row],[Month]])</f>
        <v>3</v>
      </c>
      <c r="Q125" s="6">
        <f>IFERROR(tblSales[[#This Row],[NetSalesTRY]]/tblSales[[#This Row],[Units]],0)</f>
        <v>1018.9947058823529</v>
      </c>
      <c r="R125" s="17">
        <f>IFERROR(tblSales[[#This Row],[NetSalesTRY]]/tblSales[[#This Row],[TargetTRY]],0)</f>
        <v>0.95283164576986323</v>
      </c>
      <c r="S125" s="6">
        <f>tblSales[[#This Row],[NetSalesTRY]]-tblSales[[#This Row],[TargetTRY]]</f>
        <v>-4287.7099999999919</v>
      </c>
      <c r="T125" s="6">
        <f>MAX(tblSales[[#This Row],[TargetTRY]]-tblSales[[#This Row],[NetSalesTRY]],0)</f>
        <v>4287.7099999999919</v>
      </c>
    </row>
    <row r="126" spans="1:20">
      <c r="A126" t="s">
        <v>514</v>
      </c>
      <c r="B126" s="15">
        <v>45352</v>
      </c>
      <c r="C126" t="s">
        <v>23</v>
      </c>
      <c r="D126" t="s">
        <v>24</v>
      </c>
      <c r="E126" t="s">
        <v>55</v>
      </c>
      <c r="F126" t="s">
        <v>53</v>
      </c>
      <c r="G126" t="s">
        <v>5</v>
      </c>
      <c r="H126" s="8">
        <v>113</v>
      </c>
      <c r="I126" s="9">
        <v>111830.39</v>
      </c>
      <c r="J126" s="9">
        <v>7114.92</v>
      </c>
      <c r="K126" s="9">
        <v>1100.9000000000001</v>
      </c>
      <c r="L126" s="9">
        <v>103614.56</v>
      </c>
      <c r="M126" s="9">
        <v>105455.73</v>
      </c>
      <c r="N126" s="6" t="str">
        <f>_xlfn.XLOOKUP(tblSales[[#This Row],[ProductID]],tblProducts[ProductID],tblProducts[ProductName],"Not Found")</f>
        <v>Cardiovan</v>
      </c>
      <c r="O126" s="8">
        <f>YEAR(tblSales[[#This Row],[Month]])</f>
        <v>2024</v>
      </c>
      <c r="P126" s="8">
        <f>MONTH(tblSales[[#This Row],[Month]])</f>
        <v>3</v>
      </c>
      <c r="Q126" s="6">
        <f>IFERROR(tblSales[[#This Row],[NetSalesTRY]]/tblSales[[#This Row],[Units]],0)</f>
        <v>916.94300884955749</v>
      </c>
      <c r="R126" s="17">
        <f>IFERROR(tblSales[[#This Row],[NetSalesTRY]]/tblSales[[#This Row],[TargetTRY]],0)</f>
        <v>0.98254082542503851</v>
      </c>
      <c r="S126" s="6">
        <f>tblSales[[#This Row],[NetSalesTRY]]-tblSales[[#This Row],[TargetTRY]]</f>
        <v>-1841.1699999999983</v>
      </c>
      <c r="T126" s="6">
        <f>MAX(tblSales[[#This Row],[TargetTRY]]-tblSales[[#This Row],[NetSalesTRY]],0)</f>
        <v>1841.1699999999983</v>
      </c>
    </row>
    <row r="127" spans="1:20">
      <c r="A127" t="s">
        <v>515</v>
      </c>
      <c r="B127" s="15">
        <v>45352</v>
      </c>
      <c r="C127" t="s">
        <v>23</v>
      </c>
      <c r="D127" t="s">
        <v>24</v>
      </c>
      <c r="E127" t="s">
        <v>55</v>
      </c>
      <c r="F127" t="s">
        <v>53</v>
      </c>
      <c r="G127" t="s">
        <v>8</v>
      </c>
      <c r="H127" s="8">
        <v>140</v>
      </c>
      <c r="I127" s="9">
        <v>107193.96</v>
      </c>
      <c r="J127" s="9">
        <v>5191.3500000000004</v>
      </c>
      <c r="K127" s="9">
        <v>542.17999999999995</v>
      </c>
      <c r="L127" s="9">
        <v>101460.44</v>
      </c>
      <c r="M127" s="9">
        <v>98844.99</v>
      </c>
      <c r="N127" s="6" t="str">
        <f>_xlfn.XLOOKUP(tblSales[[#This Row],[ProductID]],tblProducts[ProductID],tblProducts[ProductName],"Not Found")</f>
        <v>GlucoRelief</v>
      </c>
      <c r="O127" s="8">
        <f>YEAR(tblSales[[#This Row],[Month]])</f>
        <v>2024</v>
      </c>
      <c r="P127" s="8">
        <f>MONTH(tblSales[[#This Row],[Month]])</f>
        <v>3</v>
      </c>
      <c r="Q127" s="6">
        <f>IFERROR(tblSales[[#This Row],[NetSalesTRY]]/tblSales[[#This Row],[Units]],0)</f>
        <v>724.71742857142863</v>
      </c>
      <c r="R127" s="17">
        <f>IFERROR(tblSales[[#This Row],[NetSalesTRY]]/tblSales[[#This Row],[TargetTRY]],0)</f>
        <v>1.0264601169973309</v>
      </c>
      <c r="S127" s="6">
        <f>tblSales[[#This Row],[NetSalesTRY]]-tblSales[[#This Row],[TargetTRY]]</f>
        <v>2615.4499999999971</v>
      </c>
      <c r="T127" s="6">
        <f>MAX(tblSales[[#This Row],[TargetTRY]]-tblSales[[#This Row],[NetSalesTRY]],0)</f>
        <v>0</v>
      </c>
    </row>
    <row r="128" spans="1:20">
      <c r="A128" t="s">
        <v>516</v>
      </c>
      <c r="B128" s="15">
        <v>45352</v>
      </c>
      <c r="C128" t="s">
        <v>23</v>
      </c>
      <c r="D128" t="s">
        <v>24</v>
      </c>
      <c r="E128" t="s">
        <v>55</v>
      </c>
      <c r="F128" t="s">
        <v>53</v>
      </c>
      <c r="G128" t="s">
        <v>11</v>
      </c>
      <c r="H128" s="8">
        <v>167</v>
      </c>
      <c r="I128" s="9">
        <v>104159.85</v>
      </c>
      <c r="J128" s="9">
        <v>6419.91</v>
      </c>
      <c r="K128" s="9">
        <v>514.73</v>
      </c>
      <c r="L128" s="9">
        <v>97225.2</v>
      </c>
      <c r="M128" s="9">
        <v>97642.51</v>
      </c>
      <c r="N128" s="6" t="str">
        <f>_xlfn.XLOOKUP(tblSales[[#This Row],[ProductID]],tblProducts[ProductID],tblProducts[ProductName],"Not Found")</f>
        <v>RespiraX</v>
      </c>
      <c r="O128" s="8">
        <f>YEAR(tblSales[[#This Row],[Month]])</f>
        <v>2024</v>
      </c>
      <c r="P128" s="8">
        <f>MONTH(tblSales[[#This Row],[Month]])</f>
        <v>3</v>
      </c>
      <c r="Q128" s="6">
        <f>IFERROR(tblSales[[#This Row],[NetSalesTRY]]/tblSales[[#This Row],[Units]],0)</f>
        <v>582.18682634730533</v>
      </c>
      <c r="R128" s="17">
        <f>IFERROR(tblSales[[#This Row],[NetSalesTRY]]/tblSales[[#This Row],[TargetTRY]],0)</f>
        <v>0.99572614427875727</v>
      </c>
      <c r="S128" s="6">
        <f>tblSales[[#This Row],[NetSalesTRY]]-tblSales[[#This Row],[TargetTRY]]</f>
        <v>-417.30999999999767</v>
      </c>
      <c r="T128" s="6">
        <f>MAX(tblSales[[#This Row],[TargetTRY]]-tblSales[[#This Row],[NetSalesTRY]],0)</f>
        <v>417.30999999999767</v>
      </c>
    </row>
    <row r="129" spans="1:20">
      <c r="A129" t="s">
        <v>517</v>
      </c>
      <c r="B129" s="15">
        <v>45352</v>
      </c>
      <c r="C129" t="s">
        <v>23</v>
      </c>
      <c r="D129" t="s">
        <v>24</v>
      </c>
      <c r="E129" t="s">
        <v>55</v>
      </c>
      <c r="F129" t="s">
        <v>53</v>
      </c>
      <c r="G129" t="s">
        <v>14</v>
      </c>
      <c r="H129" s="8">
        <v>88</v>
      </c>
      <c r="I129" s="9">
        <v>95437.03</v>
      </c>
      <c r="J129" s="9">
        <v>6214.19</v>
      </c>
      <c r="K129" s="9">
        <v>998.92</v>
      </c>
      <c r="L129" s="9">
        <v>88223.92</v>
      </c>
      <c r="M129" s="9">
        <v>91939.35</v>
      </c>
      <c r="N129" s="6" t="str">
        <f>_xlfn.XLOOKUP(tblSales[[#This Row],[ProductID]],tblProducts[ProductID],tblProducts[ProductName],"Not Found")</f>
        <v>NeuroCalm</v>
      </c>
      <c r="O129" s="8">
        <f>YEAR(tblSales[[#This Row],[Month]])</f>
        <v>2024</v>
      </c>
      <c r="P129" s="8">
        <f>MONTH(tblSales[[#This Row],[Month]])</f>
        <v>3</v>
      </c>
      <c r="Q129" s="6">
        <f>IFERROR(tblSales[[#This Row],[NetSalesTRY]]/tblSales[[#This Row],[Units]],0)</f>
        <v>1002.5445454545454</v>
      </c>
      <c r="R129" s="17">
        <f>IFERROR(tblSales[[#This Row],[NetSalesTRY]]/tblSales[[#This Row],[TargetTRY]],0)</f>
        <v>0.95958825029761463</v>
      </c>
      <c r="S129" s="6">
        <f>tblSales[[#This Row],[NetSalesTRY]]-tblSales[[#This Row],[TargetTRY]]</f>
        <v>-3715.4300000000076</v>
      </c>
      <c r="T129" s="6">
        <f>MAX(tblSales[[#This Row],[TargetTRY]]-tblSales[[#This Row],[NetSalesTRY]],0)</f>
        <v>3715.4300000000076</v>
      </c>
    </row>
    <row r="130" spans="1:20">
      <c r="A130" t="s">
        <v>518</v>
      </c>
      <c r="B130" s="15">
        <v>45352</v>
      </c>
      <c r="C130" t="s">
        <v>23</v>
      </c>
      <c r="D130" t="s">
        <v>24</v>
      </c>
      <c r="E130" t="s">
        <v>58</v>
      </c>
      <c r="F130" t="s">
        <v>56</v>
      </c>
      <c r="G130" t="s">
        <v>5</v>
      </c>
      <c r="H130" s="8">
        <v>123</v>
      </c>
      <c r="I130" s="9">
        <v>118860.62</v>
      </c>
      <c r="J130" s="9">
        <v>7584.48</v>
      </c>
      <c r="K130" s="9">
        <v>1400.27</v>
      </c>
      <c r="L130" s="9">
        <v>109875.87</v>
      </c>
      <c r="M130" s="9">
        <v>109952.61</v>
      </c>
      <c r="N130" s="6" t="str">
        <f>_xlfn.XLOOKUP(tblSales[[#This Row],[ProductID]],tblProducts[ProductID],tblProducts[ProductName],"Not Found")</f>
        <v>Cardiovan</v>
      </c>
      <c r="O130" s="8">
        <f>YEAR(tblSales[[#This Row],[Month]])</f>
        <v>2024</v>
      </c>
      <c r="P130" s="8">
        <f>MONTH(tblSales[[#This Row],[Month]])</f>
        <v>3</v>
      </c>
      <c r="Q130" s="6">
        <f>IFERROR(tblSales[[#This Row],[NetSalesTRY]]/tblSales[[#This Row],[Units]],0)</f>
        <v>893.29975609756093</v>
      </c>
      <c r="R130" s="17">
        <f>IFERROR(tblSales[[#This Row],[NetSalesTRY]]/tblSales[[#This Row],[TargetTRY]],0)</f>
        <v>0.99930206295239377</v>
      </c>
      <c r="S130" s="6">
        <f>tblSales[[#This Row],[NetSalesTRY]]-tblSales[[#This Row],[TargetTRY]]</f>
        <v>-76.740000000005239</v>
      </c>
      <c r="T130" s="6">
        <f>MAX(tblSales[[#This Row],[TargetTRY]]-tblSales[[#This Row],[NetSalesTRY]],0)</f>
        <v>76.740000000005239</v>
      </c>
    </row>
    <row r="131" spans="1:20">
      <c r="A131" t="s">
        <v>519</v>
      </c>
      <c r="B131" s="15">
        <v>45352</v>
      </c>
      <c r="C131" t="s">
        <v>23</v>
      </c>
      <c r="D131" t="s">
        <v>24</v>
      </c>
      <c r="E131" t="s">
        <v>58</v>
      </c>
      <c r="F131" t="s">
        <v>56</v>
      </c>
      <c r="G131" t="s">
        <v>8</v>
      </c>
      <c r="H131" s="8">
        <v>151</v>
      </c>
      <c r="I131" s="9">
        <v>113706.59</v>
      </c>
      <c r="J131" s="9">
        <v>7700.94</v>
      </c>
      <c r="K131" s="9">
        <v>823</v>
      </c>
      <c r="L131" s="9">
        <v>105182.65</v>
      </c>
      <c r="M131" s="9">
        <v>101067.02</v>
      </c>
      <c r="N131" s="6" t="str">
        <f>_xlfn.XLOOKUP(tblSales[[#This Row],[ProductID]],tblProducts[ProductID],tblProducts[ProductName],"Not Found")</f>
        <v>GlucoRelief</v>
      </c>
      <c r="O131" s="8">
        <f>YEAR(tblSales[[#This Row],[Month]])</f>
        <v>2024</v>
      </c>
      <c r="P131" s="8">
        <f>MONTH(tblSales[[#This Row],[Month]])</f>
        <v>3</v>
      </c>
      <c r="Q131" s="6">
        <f>IFERROR(tblSales[[#This Row],[NetSalesTRY]]/tblSales[[#This Row],[Units]],0)</f>
        <v>696.57384105960261</v>
      </c>
      <c r="R131" s="17">
        <f>IFERROR(tblSales[[#This Row],[NetSalesTRY]]/tblSales[[#This Row],[TargetTRY]],0)</f>
        <v>1.0407217903525798</v>
      </c>
      <c r="S131" s="6">
        <f>tblSales[[#This Row],[NetSalesTRY]]-tblSales[[#This Row],[TargetTRY]]</f>
        <v>4115.6299999999901</v>
      </c>
      <c r="T131" s="6">
        <f>MAX(tblSales[[#This Row],[TargetTRY]]-tblSales[[#This Row],[NetSalesTRY]],0)</f>
        <v>0</v>
      </c>
    </row>
    <row r="132" spans="1:20">
      <c r="A132" t="s">
        <v>520</v>
      </c>
      <c r="B132" s="15">
        <v>45352</v>
      </c>
      <c r="C132" t="s">
        <v>23</v>
      </c>
      <c r="D132" t="s">
        <v>24</v>
      </c>
      <c r="E132" t="s">
        <v>58</v>
      </c>
      <c r="F132" t="s">
        <v>56</v>
      </c>
      <c r="G132" t="s">
        <v>11</v>
      </c>
      <c r="H132" s="8">
        <v>182</v>
      </c>
      <c r="I132" s="9">
        <v>113588.88</v>
      </c>
      <c r="J132" s="9">
        <v>7637.43</v>
      </c>
      <c r="K132" s="9">
        <v>891.88</v>
      </c>
      <c r="L132" s="9">
        <v>105059.57</v>
      </c>
      <c r="M132" s="9">
        <v>102156.94</v>
      </c>
      <c r="N132" s="6" t="str">
        <f>_xlfn.XLOOKUP(tblSales[[#This Row],[ProductID]],tblProducts[ProductID],tblProducts[ProductName],"Not Found")</f>
        <v>RespiraX</v>
      </c>
      <c r="O132" s="8">
        <f>YEAR(tblSales[[#This Row],[Month]])</f>
        <v>2024</v>
      </c>
      <c r="P132" s="8">
        <f>MONTH(tblSales[[#This Row],[Month]])</f>
        <v>3</v>
      </c>
      <c r="Q132" s="6">
        <f>IFERROR(tblSales[[#This Row],[NetSalesTRY]]/tblSales[[#This Row],[Units]],0)</f>
        <v>577.25038461538463</v>
      </c>
      <c r="R132" s="17">
        <f>IFERROR(tblSales[[#This Row],[NetSalesTRY]]/tblSales[[#This Row],[TargetTRY]],0)</f>
        <v>1.0284134391652686</v>
      </c>
      <c r="S132" s="6">
        <f>tblSales[[#This Row],[NetSalesTRY]]-tblSales[[#This Row],[TargetTRY]]</f>
        <v>2902.6300000000047</v>
      </c>
      <c r="T132" s="6">
        <f>MAX(tblSales[[#This Row],[TargetTRY]]-tblSales[[#This Row],[NetSalesTRY]],0)</f>
        <v>0</v>
      </c>
    </row>
    <row r="133" spans="1:20">
      <c r="A133" t="s">
        <v>521</v>
      </c>
      <c r="B133" s="15">
        <v>45352</v>
      </c>
      <c r="C133" t="s">
        <v>23</v>
      </c>
      <c r="D133" t="s">
        <v>24</v>
      </c>
      <c r="E133" t="s">
        <v>58</v>
      </c>
      <c r="F133" t="s">
        <v>56</v>
      </c>
      <c r="G133" t="s">
        <v>14</v>
      </c>
      <c r="H133" s="8">
        <v>94</v>
      </c>
      <c r="I133" s="9">
        <v>102398.25</v>
      </c>
      <c r="J133" s="9">
        <v>6108.91</v>
      </c>
      <c r="K133" s="9">
        <v>670.92</v>
      </c>
      <c r="L133" s="9">
        <v>95618.42</v>
      </c>
      <c r="M133" s="9">
        <v>93981.75</v>
      </c>
      <c r="N133" s="6" t="str">
        <f>_xlfn.XLOOKUP(tblSales[[#This Row],[ProductID]],tblProducts[ProductID],tblProducts[ProductName],"Not Found")</f>
        <v>NeuroCalm</v>
      </c>
      <c r="O133" s="8">
        <f>YEAR(tblSales[[#This Row],[Month]])</f>
        <v>2024</v>
      </c>
      <c r="P133" s="8">
        <f>MONTH(tblSales[[#This Row],[Month]])</f>
        <v>3</v>
      </c>
      <c r="Q133" s="6">
        <f>IFERROR(tblSales[[#This Row],[NetSalesTRY]]/tblSales[[#This Row],[Units]],0)</f>
        <v>1017.2172340425532</v>
      </c>
      <c r="R133" s="17">
        <f>IFERROR(tblSales[[#This Row],[NetSalesTRY]]/tblSales[[#This Row],[TargetTRY]],0)</f>
        <v>1.0174147640366347</v>
      </c>
      <c r="S133" s="6">
        <f>tblSales[[#This Row],[NetSalesTRY]]-tblSales[[#This Row],[TargetTRY]]</f>
        <v>1636.6699999999983</v>
      </c>
      <c r="T133" s="6">
        <f>MAX(tblSales[[#This Row],[TargetTRY]]-tblSales[[#This Row],[NetSalesTRY]],0)</f>
        <v>0</v>
      </c>
    </row>
    <row r="134" spans="1:20">
      <c r="A134" t="s">
        <v>522</v>
      </c>
      <c r="B134" s="15">
        <v>45352</v>
      </c>
      <c r="C134" t="s">
        <v>25</v>
      </c>
      <c r="D134" t="s">
        <v>26</v>
      </c>
      <c r="E134" t="s">
        <v>61</v>
      </c>
      <c r="F134" t="s">
        <v>59</v>
      </c>
      <c r="G134" t="s">
        <v>5</v>
      </c>
      <c r="H134" s="8">
        <v>90</v>
      </c>
      <c r="I134" s="9">
        <v>89344.27</v>
      </c>
      <c r="J134" s="9">
        <v>5102.0600000000004</v>
      </c>
      <c r="K134" s="9">
        <v>599.19000000000005</v>
      </c>
      <c r="L134" s="9">
        <v>83643.02</v>
      </c>
      <c r="M134" s="9">
        <v>85251.41</v>
      </c>
      <c r="N134" s="6" t="str">
        <f>_xlfn.XLOOKUP(tblSales[[#This Row],[ProductID]],tblProducts[ProductID],tblProducts[ProductName],"Not Found")</f>
        <v>Cardiovan</v>
      </c>
      <c r="O134" s="8">
        <f>YEAR(tblSales[[#This Row],[Month]])</f>
        <v>2024</v>
      </c>
      <c r="P134" s="8">
        <f>MONTH(tblSales[[#This Row],[Month]])</f>
        <v>3</v>
      </c>
      <c r="Q134" s="6">
        <f>IFERROR(tblSales[[#This Row],[NetSalesTRY]]/tblSales[[#This Row],[Units]],0)</f>
        <v>929.36688888888898</v>
      </c>
      <c r="R134" s="17">
        <f>IFERROR(tblSales[[#This Row],[NetSalesTRY]]/tblSales[[#This Row],[TargetTRY]],0)</f>
        <v>0.98113356717501798</v>
      </c>
      <c r="S134" s="6">
        <f>tblSales[[#This Row],[NetSalesTRY]]-tblSales[[#This Row],[TargetTRY]]</f>
        <v>-1608.3899999999994</v>
      </c>
      <c r="T134" s="6">
        <f>MAX(tblSales[[#This Row],[TargetTRY]]-tblSales[[#This Row],[NetSalesTRY]],0)</f>
        <v>1608.3899999999994</v>
      </c>
    </row>
    <row r="135" spans="1:20">
      <c r="A135" t="s">
        <v>523</v>
      </c>
      <c r="B135" s="15">
        <v>45352</v>
      </c>
      <c r="C135" t="s">
        <v>25</v>
      </c>
      <c r="D135" t="s">
        <v>26</v>
      </c>
      <c r="E135" t="s">
        <v>61</v>
      </c>
      <c r="F135" t="s">
        <v>59</v>
      </c>
      <c r="G135" t="s">
        <v>8</v>
      </c>
      <c r="H135" s="8">
        <v>113</v>
      </c>
      <c r="I135" s="9">
        <v>86192.52</v>
      </c>
      <c r="J135" s="9">
        <v>5563.91</v>
      </c>
      <c r="K135" s="9">
        <v>1078.83</v>
      </c>
      <c r="L135" s="9">
        <v>79549.78</v>
      </c>
      <c r="M135" s="9">
        <v>81539.149999999994</v>
      </c>
      <c r="N135" s="6" t="str">
        <f>_xlfn.XLOOKUP(tblSales[[#This Row],[ProductID]],tblProducts[ProductID],tblProducts[ProductName],"Not Found")</f>
        <v>GlucoRelief</v>
      </c>
      <c r="O135" s="8">
        <f>YEAR(tblSales[[#This Row],[Month]])</f>
        <v>2024</v>
      </c>
      <c r="P135" s="8">
        <f>MONTH(tblSales[[#This Row],[Month]])</f>
        <v>3</v>
      </c>
      <c r="Q135" s="6">
        <f>IFERROR(tblSales[[#This Row],[NetSalesTRY]]/tblSales[[#This Row],[Units]],0)</f>
        <v>703.98035398230093</v>
      </c>
      <c r="R135" s="17">
        <f>IFERROR(tblSales[[#This Row],[NetSalesTRY]]/tblSales[[#This Row],[TargetTRY]],0)</f>
        <v>0.97560227203742012</v>
      </c>
      <c r="S135" s="6">
        <f>tblSales[[#This Row],[NetSalesTRY]]-tblSales[[#This Row],[TargetTRY]]</f>
        <v>-1989.3699999999953</v>
      </c>
      <c r="T135" s="6">
        <f>MAX(tblSales[[#This Row],[TargetTRY]]-tblSales[[#This Row],[NetSalesTRY]],0)</f>
        <v>1989.3699999999953</v>
      </c>
    </row>
    <row r="136" spans="1:20">
      <c r="A136" t="s">
        <v>524</v>
      </c>
      <c r="B136" s="15">
        <v>45352</v>
      </c>
      <c r="C136" t="s">
        <v>25</v>
      </c>
      <c r="D136" t="s">
        <v>26</v>
      </c>
      <c r="E136" t="s">
        <v>61</v>
      </c>
      <c r="F136" t="s">
        <v>59</v>
      </c>
      <c r="G136" t="s">
        <v>11</v>
      </c>
      <c r="H136" s="8">
        <v>135</v>
      </c>
      <c r="I136" s="9">
        <v>83963.56</v>
      </c>
      <c r="J136" s="9">
        <v>3926.01</v>
      </c>
      <c r="K136" s="9">
        <v>996.36</v>
      </c>
      <c r="L136" s="9">
        <v>79041.19</v>
      </c>
      <c r="M136" s="9">
        <v>79701.89</v>
      </c>
      <c r="N136" s="6" t="str">
        <f>_xlfn.XLOOKUP(tblSales[[#This Row],[ProductID]],tblProducts[ProductID],tblProducts[ProductName],"Not Found")</f>
        <v>RespiraX</v>
      </c>
      <c r="O136" s="8">
        <f>YEAR(tblSales[[#This Row],[Month]])</f>
        <v>2024</v>
      </c>
      <c r="P136" s="8">
        <f>MONTH(tblSales[[#This Row],[Month]])</f>
        <v>3</v>
      </c>
      <c r="Q136" s="6">
        <f>IFERROR(tblSales[[#This Row],[NetSalesTRY]]/tblSales[[#This Row],[Units]],0)</f>
        <v>585.49029629629626</v>
      </c>
      <c r="R136" s="17">
        <f>IFERROR(tblSales[[#This Row],[NetSalesTRY]]/tblSales[[#This Row],[TargetTRY]],0)</f>
        <v>0.99171035969159582</v>
      </c>
      <c r="S136" s="6">
        <f>tblSales[[#This Row],[NetSalesTRY]]-tblSales[[#This Row],[TargetTRY]]</f>
        <v>-660.69999999999709</v>
      </c>
      <c r="T136" s="6">
        <f>MAX(tblSales[[#This Row],[TargetTRY]]-tblSales[[#This Row],[NetSalesTRY]],0)</f>
        <v>660.69999999999709</v>
      </c>
    </row>
    <row r="137" spans="1:20">
      <c r="A137" t="s">
        <v>525</v>
      </c>
      <c r="B137" s="15">
        <v>45352</v>
      </c>
      <c r="C137" t="s">
        <v>25</v>
      </c>
      <c r="D137" t="s">
        <v>26</v>
      </c>
      <c r="E137" t="s">
        <v>61</v>
      </c>
      <c r="F137" t="s">
        <v>59</v>
      </c>
      <c r="G137" t="s">
        <v>14</v>
      </c>
      <c r="H137" s="8">
        <v>74</v>
      </c>
      <c r="I137" s="9">
        <v>81056.3</v>
      </c>
      <c r="J137" s="9">
        <v>4893.5200000000004</v>
      </c>
      <c r="K137" s="9">
        <v>372.01</v>
      </c>
      <c r="L137" s="9">
        <v>75790.77</v>
      </c>
      <c r="M137" s="9">
        <v>73921.02</v>
      </c>
      <c r="N137" s="6" t="str">
        <f>_xlfn.XLOOKUP(tblSales[[#This Row],[ProductID]],tblProducts[ProductID],tblProducts[ProductName],"Not Found")</f>
        <v>NeuroCalm</v>
      </c>
      <c r="O137" s="8">
        <f>YEAR(tblSales[[#This Row],[Month]])</f>
        <v>2024</v>
      </c>
      <c r="P137" s="8">
        <f>MONTH(tblSales[[#This Row],[Month]])</f>
        <v>3</v>
      </c>
      <c r="Q137" s="6">
        <f>IFERROR(tblSales[[#This Row],[NetSalesTRY]]/tblSales[[#This Row],[Units]],0)</f>
        <v>1024.1995945945946</v>
      </c>
      <c r="R137" s="17">
        <f>IFERROR(tblSales[[#This Row],[NetSalesTRY]]/tblSales[[#This Row],[TargetTRY]],0)</f>
        <v>1.0252938879901821</v>
      </c>
      <c r="S137" s="6">
        <f>tblSales[[#This Row],[NetSalesTRY]]-tblSales[[#This Row],[TargetTRY]]</f>
        <v>1869.75</v>
      </c>
      <c r="T137" s="6">
        <f>MAX(tblSales[[#This Row],[TargetTRY]]-tblSales[[#This Row],[NetSalesTRY]],0)</f>
        <v>0</v>
      </c>
    </row>
    <row r="138" spans="1:20">
      <c r="A138" t="s">
        <v>526</v>
      </c>
      <c r="B138" s="15">
        <v>45352</v>
      </c>
      <c r="C138" t="s">
        <v>25</v>
      </c>
      <c r="D138" t="s">
        <v>26</v>
      </c>
      <c r="E138" t="s">
        <v>64</v>
      </c>
      <c r="F138" t="s">
        <v>62</v>
      </c>
      <c r="G138" t="s">
        <v>5</v>
      </c>
      <c r="H138" s="8">
        <v>95</v>
      </c>
      <c r="I138" s="9">
        <v>93930.59</v>
      </c>
      <c r="J138" s="9">
        <v>3506.06</v>
      </c>
      <c r="K138" s="9">
        <v>1264.26</v>
      </c>
      <c r="L138" s="9">
        <v>89160.27</v>
      </c>
      <c r="M138" s="9">
        <v>86640.34</v>
      </c>
      <c r="N138" s="6" t="str">
        <f>_xlfn.XLOOKUP(tblSales[[#This Row],[ProductID]],tblProducts[ProductID],tblProducts[ProductName],"Not Found")</f>
        <v>Cardiovan</v>
      </c>
      <c r="O138" s="8">
        <f>YEAR(tblSales[[#This Row],[Month]])</f>
        <v>2024</v>
      </c>
      <c r="P138" s="8">
        <f>MONTH(tblSales[[#This Row],[Month]])</f>
        <v>3</v>
      </c>
      <c r="Q138" s="6">
        <f>IFERROR(tblSales[[#This Row],[NetSalesTRY]]/tblSales[[#This Row],[Units]],0)</f>
        <v>938.52915789473684</v>
      </c>
      <c r="R138" s="17">
        <f>IFERROR(tblSales[[#This Row],[NetSalesTRY]]/tblSales[[#This Row],[TargetTRY]],0)</f>
        <v>1.0290849504976551</v>
      </c>
      <c r="S138" s="6">
        <f>tblSales[[#This Row],[NetSalesTRY]]-tblSales[[#This Row],[TargetTRY]]</f>
        <v>2519.9300000000076</v>
      </c>
      <c r="T138" s="6">
        <f>MAX(tblSales[[#This Row],[TargetTRY]]-tblSales[[#This Row],[NetSalesTRY]],0)</f>
        <v>0</v>
      </c>
    </row>
    <row r="139" spans="1:20">
      <c r="A139" t="s">
        <v>527</v>
      </c>
      <c r="B139" s="15">
        <v>45352</v>
      </c>
      <c r="C139" t="s">
        <v>25</v>
      </c>
      <c r="D139" t="s">
        <v>26</v>
      </c>
      <c r="E139" t="s">
        <v>64</v>
      </c>
      <c r="F139" t="s">
        <v>62</v>
      </c>
      <c r="G139" t="s">
        <v>8</v>
      </c>
      <c r="H139" s="8">
        <v>115</v>
      </c>
      <c r="I139" s="9">
        <v>86855.24</v>
      </c>
      <c r="J139" s="9">
        <v>5653.39</v>
      </c>
      <c r="K139" s="9">
        <v>621.16</v>
      </c>
      <c r="L139" s="9">
        <v>80580.69</v>
      </c>
      <c r="M139" s="9">
        <v>80846.14</v>
      </c>
      <c r="N139" s="6" t="str">
        <f>_xlfn.XLOOKUP(tblSales[[#This Row],[ProductID]],tblProducts[ProductID],tblProducts[ProductName],"Not Found")</f>
        <v>GlucoRelief</v>
      </c>
      <c r="O139" s="8">
        <f>YEAR(tblSales[[#This Row],[Month]])</f>
        <v>2024</v>
      </c>
      <c r="P139" s="8">
        <f>MONTH(tblSales[[#This Row],[Month]])</f>
        <v>3</v>
      </c>
      <c r="Q139" s="6">
        <f>IFERROR(tblSales[[#This Row],[NetSalesTRY]]/tblSales[[#This Row],[Units]],0)</f>
        <v>700.70165217391309</v>
      </c>
      <c r="R139" s="17">
        <f>IFERROR(tblSales[[#This Row],[NetSalesTRY]]/tblSales[[#This Row],[TargetTRY]],0)</f>
        <v>0.9967166026726817</v>
      </c>
      <c r="S139" s="6">
        <f>tblSales[[#This Row],[NetSalesTRY]]-tblSales[[#This Row],[TargetTRY]]</f>
        <v>-265.44999999999709</v>
      </c>
      <c r="T139" s="6">
        <f>MAX(tblSales[[#This Row],[TargetTRY]]-tblSales[[#This Row],[NetSalesTRY]],0)</f>
        <v>265.44999999999709</v>
      </c>
    </row>
    <row r="140" spans="1:20">
      <c r="A140" t="s">
        <v>528</v>
      </c>
      <c r="B140" s="15">
        <v>45352</v>
      </c>
      <c r="C140" t="s">
        <v>25</v>
      </c>
      <c r="D140" t="s">
        <v>26</v>
      </c>
      <c r="E140" t="s">
        <v>64</v>
      </c>
      <c r="F140" t="s">
        <v>62</v>
      </c>
      <c r="G140" t="s">
        <v>11</v>
      </c>
      <c r="H140" s="8">
        <v>130</v>
      </c>
      <c r="I140" s="9">
        <v>79475.59</v>
      </c>
      <c r="J140" s="9">
        <v>5738.59</v>
      </c>
      <c r="K140" s="9">
        <v>793.76</v>
      </c>
      <c r="L140" s="9">
        <v>72943.25</v>
      </c>
      <c r="M140" s="9">
        <v>79146.25</v>
      </c>
      <c r="N140" s="6" t="str">
        <f>_xlfn.XLOOKUP(tblSales[[#This Row],[ProductID]],tblProducts[ProductID],tblProducts[ProductName],"Not Found")</f>
        <v>RespiraX</v>
      </c>
      <c r="O140" s="8">
        <f>YEAR(tblSales[[#This Row],[Month]])</f>
        <v>2024</v>
      </c>
      <c r="P140" s="8">
        <f>MONTH(tblSales[[#This Row],[Month]])</f>
        <v>3</v>
      </c>
      <c r="Q140" s="6">
        <f>IFERROR(tblSales[[#This Row],[NetSalesTRY]]/tblSales[[#This Row],[Units]],0)</f>
        <v>561.10192307692307</v>
      </c>
      <c r="R140" s="17">
        <f>IFERROR(tblSales[[#This Row],[NetSalesTRY]]/tblSales[[#This Row],[TargetTRY]],0)</f>
        <v>0.92162610357407959</v>
      </c>
      <c r="S140" s="6">
        <f>tblSales[[#This Row],[NetSalesTRY]]-tblSales[[#This Row],[TargetTRY]]</f>
        <v>-6203</v>
      </c>
      <c r="T140" s="6">
        <f>MAX(tblSales[[#This Row],[TargetTRY]]-tblSales[[#This Row],[NetSalesTRY]],0)</f>
        <v>6203</v>
      </c>
    </row>
    <row r="141" spans="1:20">
      <c r="A141" t="s">
        <v>529</v>
      </c>
      <c r="B141" s="15">
        <v>45352</v>
      </c>
      <c r="C141" t="s">
        <v>25</v>
      </c>
      <c r="D141" t="s">
        <v>26</v>
      </c>
      <c r="E141" t="s">
        <v>64</v>
      </c>
      <c r="F141" t="s">
        <v>62</v>
      </c>
      <c r="G141" t="s">
        <v>14</v>
      </c>
      <c r="H141" s="8">
        <v>69</v>
      </c>
      <c r="I141" s="9">
        <v>75630.53</v>
      </c>
      <c r="J141" s="9">
        <v>5558.28</v>
      </c>
      <c r="K141" s="9">
        <v>338.83</v>
      </c>
      <c r="L141" s="9">
        <v>69733.41</v>
      </c>
      <c r="M141" s="9">
        <v>74397.37</v>
      </c>
      <c r="N141" s="6" t="str">
        <f>_xlfn.XLOOKUP(tblSales[[#This Row],[ProductID]],tblProducts[ProductID],tblProducts[ProductName],"Not Found")</f>
        <v>NeuroCalm</v>
      </c>
      <c r="O141" s="8">
        <f>YEAR(tblSales[[#This Row],[Month]])</f>
        <v>2024</v>
      </c>
      <c r="P141" s="8">
        <f>MONTH(tblSales[[#This Row],[Month]])</f>
        <v>3</v>
      </c>
      <c r="Q141" s="6">
        <f>IFERROR(tblSales[[#This Row],[NetSalesTRY]]/tblSales[[#This Row],[Units]],0)</f>
        <v>1010.6291304347826</v>
      </c>
      <c r="R141" s="17">
        <f>IFERROR(tblSales[[#This Row],[NetSalesTRY]]/tblSales[[#This Row],[TargetTRY]],0)</f>
        <v>0.93731014953888836</v>
      </c>
      <c r="S141" s="6">
        <f>tblSales[[#This Row],[NetSalesTRY]]-tblSales[[#This Row],[TargetTRY]]</f>
        <v>-4663.9599999999919</v>
      </c>
      <c r="T141" s="6">
        <f>MAX(tblSales[[#This Row],[TargetTRY]]-tblSales[[#This Row],[NetSalesTRY]],0)</f>
        <v>4663.9599999999919</v>
      </c>
    </row>
    <row r="142" spans="1:20">
      <c r="A142" t="s">
        <v>530</v>
      </c>
      <c r="B142" s="15">
        <v>45352</v>
      </c>
      <c r="C142" t="s">
        <v>25</v>
      </c>
      <c r="D142" t="s">
        <v>26</v>
      </c>
      <c r="E142" t="s">
        <v>67</v>
      </c>
      <c r="F142" t="s">
        <v>65</v>
      </c>
      <c r="G142" t="s">
        <v>5</v>
      </c>
      <c r="H142" s="8">
        <v>101</v>
      </c>
      <c r="I142" s="9">
        <v>98666.68</v>
      </c>
      <c r="J142" s="9">
        <v>5177.74</v>
      </c>
      <c r="K142" s="9">
        <v>945.66</v>
      </c>
      <c r="L142" s="9">
        <v>92543.28</v>
      </c>
      <c r="M142" s="9">
        <v>96585.41</v>
      </c>
      <c r="N142" s="6" t="str">
        <f>_xlfn.XLOOKUP(tblSales[[#This Row],[ProductID]],tblProducts[ProductID],tblProducts[ProductName],"Not Found")</f>
        <v>Cardiovan</v>
      </c>
      <c r="O142" s="8">
        <f>YEAR(tblSales[[#This Row],[Month]])</f>
        <v>2024</v>
      </c>
      <c r="P142" s="8">
        <f>MONTH(tblSales[[#This Row],[Month]])</f>
        <v>3</v>
      </c>
      <c r="Q142" s="6">
        <f>IFERROR(tblSales[[#This Row],[NetSalesTRY]]/tblSales[[#This Row],[Units]],0)</f>
        <v>916.27009900990095</v>
      </c>
      <c r="R142" s="17">
        <f>IFERROR(tblSales[[#This Row],[NetSalesTRY]]/tblSales[[#This Row],[TargetTRY]],0)</f>
        <v>0.95814968326996797</v>
      </c>
      <c r="S142" s="6">
        <f>tblSales[[#This Row],[NetSalesTRY]]-tblSales[[#This Row],[TargetTRY]]</f>
        <v>-4042.1300000000047</v>
      </c>
      <c r="T142" s="6">
        <f>MAX(tblSales[[#This Row],[TargetTRY]]-tblSales[[#This Row],[NetSalesTRY]],0)</f>
        <v>4042.1300000000047</v>
      </c>
    </row>
    <row r="143" spans="1:20">
      <c r="A143" t="s">
        <v>531</v>
      </c>
      <c r="B143" s="15">
        <v>45352</v>
      </c>
      <c r="C143" t="s">
        <v>25</v>
      </c>
      <c r="D143" t="s">
        <v>26</v>
      </c>
      <c r="E143" t="s">
        <v>67</v>
      </c>
      <c r="F143" t="s">
        <v>65</v>
      </c>
      <c r="G143" t="s">
        <v>8</v>
      </c>
      <c r="H143" s="8">
        <v>123</v>
      </c>
      <c r="I143" s="9">
        <v>93867.56</v>
      </c>
      <c r="J143" s="9">
        <v>6577.08</v>
      </c>
      <c r="K143" s="9">
        <v>1098.8499999999999</v>
      </c>
      <c r="L143" s="9">
        <v>86191.62</v>
      </c>
      <c r="M143" s="9">
        <v>89597.48</v>
      </c>
      <c r="N143" s="6" t="str">
        <f>_xlfn.XLOOKUP(tblSales[[#This Row],[ProductID]],tblProducts[ProductID],tblProducts[ProductName],"Not Found")</f>
        <v>GlucoRelief</v>
      </c>
      <c r="O143" s="8">
        <f>YEAR(tblSales[[#This Row],[Month]])</f>
        <v>2024</v>
      </c>
      <c r="P143" s="8">
        <f>MONTH(tblSales[[#This Row],[Month]])</f>
        <v>3</v>
      </c>
      <c r="Q143" s="6">
        <f>IFERROR(tblSales[[#This Row],[NetSalesTRY]]/tblSales[[#This Row],[Units]],0)</f>
        <v>700.74487804878049</v>
      </c>
      <c r="R143" s="17">
        <f>IFERROR(tblSales[[#This Row],[NetSalesTRY]]/tblSales[[#This Row],[TargetTRY]],0)</f>
        <v>0.96198710053005954</v>
      </c>
      <c r="S143" s="6">
        <f>tblSales[[#This Row],[NetSalesTRY]]-tblSales[[#This Row],[TargetTRY]]</f>
        <v>-3405.8600000000006</v>
      </c>
      <c r="T143" s="6">
        <f>MAX(tblSales[[#This Row],[TargetTRY]]-tblSales[[#This Row],[NetSalesTRY]],0)</f>
        <v>3405.8600000000006</v>
      </c>
    </row>
    <row r="144" spans="1:20">
      <c r="A144" t="s">
        <v>532</v>
      </c>
      <c r="B144" s="15">
        <v>45352</v>
      </c>
      <c r="C144" t="s">
        <v>25</v>
      </c>
      <c r="D144" t="s">
        <v>26</v>
      </c>
      <c r="E144" t="s">
        <v>67</v>
      </c>
      <c r="F144" t="s">
        <v>65</v>
      </c>
      <c r="G144" t="s">
        <v>11</v>
      </c>
      <c r="H144" s="8">
        <v>151</v>
      </c>
      <c r="I144" s="9">
        <v>93091.11</v>
      </c>
      <c r="J144" s="9">
        <v>6829.05</v>
      </c>
      <c r="K144" s="9">
        <v>1125.8399999999999</v>
      </c>
      <c r="L144" s="9">
        <v>85136.22</v>
      </c>
      <c r="M144" s="9">
        <v>90641.31</v>
      </c>
      <c r="N144" s="6" t="str">
        <f>_xlfn.XLOOKUP(tblSales[[#This Row],[ProductID]],tblProducts[ProductID],tblProducts[ProductName],"Not Found")</f>
        <v>RespiraX</v>
      </c>
      <c r="O144" s="8">
        <f>YEAR(tblSales[[#This Row],[Month]])</f>
        <v>2024</v>
      </c>
      <c r="P144" s="8">
        <f>MONTH(tblSales[[#This Row],[Month]])</f>
        <v>3</v>
      </c>
      <c r="Q144" s="6">
        <f>IFERROR(tblSales[[#This Row],[NetSalesTRY]]/tblSales[[#This Row],[Units]],0)</f>
        <v>563.81602649006618</v>
      </c>
      <c r="R144" s="17">
        <f>IFERROR(tblSales[[#This Row],[NetSalesTRY]]/tblSales[[#This Row],[TargetTRY]],0)</f>
        <v>0.93926510991511492</v>
      </c>
      <c r="S144" s="6">
        <f>tblSales[[#This Row],[NetSalesTRY]]-tblSales[[#This Row],[TargetTRY]]</f>
        <v>-5505.0899999999965</v>
      </c>
      <c r="T144" s="6">
        <f>MAX(tblSales[[#This Row],[TargetTRY]]-tblSales[[#This Row],[NetSalesTRY]],0)</f>
        <v>5505.0899999999965</v>
      </c>
    </row>
    <row r="145" spans="1:20">
      <c r="A145" t="s">
        <v>533</v>
      </c>
      <c r="B145" s="15">
        <v>45352</v>
      </c>
      <c r="C145" t="s">
        <v>25</v>
      </c>
      <c r="D145" t="s">
        <v>26</v>
      </c>
      <c r="E145" t="s">
        <v>67</v>
      </c>
      <c r="F145" t="s">
        <v>65</v>
      </c>
      <c r="G145" t="s">
        <v>14</v>
      </c>
      <c r="H145" s="8">
        <v>76</v>
      </c>
      <c r="I145" s="9">
        <v>83491.58</v>
      </c>
      <c r="J145" s="9">
        <v>4181.2299999999996</v>
      </c>
      <c r="K145" s="9">
        <v>397.32</v>
      </c>
      <c r="L145" s="9">
        <v>78913.02</v>
      </c>
      <c r="M145" s="9">
        <v>83550.37</v>
      </c>
      <c r="N145" s="6" t="str">
        <f>_xlfn.XLOOKUP(tblSales[[#This Row],[ProductID]],tblProducts[ProductID],tblProducts[ProductName],"Not Found")</f>
        <v>NeuroCalm</v>
      </c>
      <c r="O145" s="8">
        <f>YEAR(tblSales[[#This Row],[Month]])</f>
        <v>2024</v>
      </c>
      <c r="P145" s="8">
        <f>MONTH(tblSales[[#This Row],[Month]])</f>
        <v>3</v>
      </c>
      <c r="Q145" s="6">
        <f>IFERROR(tblSales[[#This Row],[NetSalesTRY]]/tblSales[[#This Row],[Units]],0)</f>
        <v>1038.3292105263158</v>
      </c>
      <c r="R145" s="17">
        <f>IFERROR(tblSales[[#This Row],[NetSalesTRY]]/tblSales[[#This Row],[TargetTRY]],0)</f>
        <v>0.94449635591081171</v>
      </c>
      <c r="S145" s="6">
        <f>tblSales[[#This Row],[NetSalesTRY]]-tblSales[[#This Row],[TargetTRY]]</f>
        <v>-4637.3499999999913</v>
      </c>
      <c r="T145" s="6">
        <f>MAX(tblSales[[#This Row],[TargetTRY]]-tblSales[[#This Row],[NetSalesTRY]],0)</f>
        <v>4637.3499999999913</v>
      </c>
    </row>
    <row r="146" spans="1:20">
      <c r="A146" t="s">
        <v>534</v>
      </c>
      <c r="B146" s="15">
        <v>45383</v>
      </c>
      <c r="C146" t="s">
        <v>19</v>
      </c>
      <c r="D146" t="s">
        <v>20</v>
      </c>
      <c r="E146" t="s">
        <v>34</v>
      </c>
      <c r="F146" t="s">
        <v>32</v>
      </c>
      <c r="G146" t="s">
        <v>5</v>
      </c>
      <c r="H146" s="8">
        <v>155</v>
      </c>
      <c r="I146" s="9">
        <v>153113.03</v>
      </c>
      <c r="J146" s="9">
        <v>7358.74</v>
      </c>
      <c r="K146" s="9">
        <v>1625.68</v>
      </c>
      <c r="L146" s="9">
        <v>144128.60999999999</v>
      </c>
      <c r="M146" s="9">
        <v>136387</v>
      </c>
      <c r="N146" s="6" t="str">
        <f>_xlfn.XLOOKUP(tblSales[[#This Row],[ProductID]],tblProducts[ProductID],tblProducts[ProductName],"Not Found")</f>
        <v>Cardiovan</v>
      </c>
      <c r="O146" s="8">
        <f>YEAR(tblSales[[#This Row],[Month]])</f>
        <v>2024</v>
      </c>
      <c r="P146" s="8">
        <f>MONTH(tblSales[[#This Row],[Month]])</f>
        <v>4</v>
      </c>
      <c r="Q146" s="6">
        <f>IFERROR(tblSales[[#This Row],[NetSalesTRY]]/tblSales[[#This Row],[Units]],0)</f>
        <v>929.86199999999997</v>
      </c>
      <c r="R146" s="17">
        <f>IFERROR(tblSales[[#This Row],[NetSalesTRY]]/tblSales[[#This Row],[TargetTRY]],0)</f>
        <v>1.0567620814300482</v>
      </c>
      <c r="S146" s="6">
        <f>tblSales[[#This Row],[NetSalesTRY]]-tblSales[[#This Row],[TargetTRY]]</f>
        <v>7741.609999999986</v>
      </c>
      <c r="T146" s="6">
        <f>MAX(tblSales[[#This Row],[TargetTRY]]-tblSales[[#This Row],[NetSalesTRY]],0)</f>
        <v>0</v>
      </c>
    </row>
    <row r="147" spans="1:20">
      <c r="A147" t="s">
        <v>535</v>
      </c>
      <c r="B147" s="15">
        <v>45383</v>
      </c>
      <c r="C147" t="s">
        <v>19</v>
      </c>
      <c r="D147" t="s">
        <v>20</v>
      </c>
      <c r="E147" t="s">
        <v>34</v>
      </c>
      <c r="F147" t="s">
        <v>32</v>
      </c>
      <c r="G147" t="s">
        <v>8</v>
      </c>
      <c r="H147" s="8">
        <v>175</v>
      </c>
      <c r="I147" s="9">
        <v>132801.66</v>
      </c>
      <c r="J147" s="9">
        <v>5940.5</v>
      </c>
      <c r="K147" s="9">
        <v>1096.69</v>
      </c>
      <c r="L147" s="9">
        <v>125764.47</v>
      </c>
      <c r="M147" s="9">
        <v>128899.15</v>
      </c>
      <c r="N147" s="6" t="str">
        <f>_xlfn.XLOOKUP(tblSales[[#This Row],[ProductID]],tblProducts[ProductID],tblProducts[ProductName],"Not Found")</f>
        <v>GlucoRelief</v>
      </c>
      <c r="O147" s="8">
        <f>YEAR(tblSales[[#This Row],[Month]])</f>
        <v>2024</v>
      </c>
      <c r="P147" s="8">
        <f>MONTH(tblSales[[#This Row],[Month]])</f>
        <v>4</v>
      </c>
      <c r="Q147" s="6">
        <f>IFERROR(tblSales[[#This Row],[NetSalesTRY]]/tblSales[[#This Row],[Units]],0)</f>
        <v>718.65411428571429</v>
      </c>
      <c r="R147" s="17">
        <f>IFERROR(tblSales[[#This Row],[NetSalesTRY]]/tblSales[[#This Row],[TargetTRY]],0)</f>
        <v>0.97568114297107478</v>
      </c>
      <c r="S147" s="6">
        <f>tblSales[[#This Row],[NetSalesTRY]]-tblSales[[#This Row],[TargetTRY]]</f>
        <v>-3134.679999999993</v>
      </c>
      <c r="T147" s="6">
        <f>MAX(tblSales[[#This Row],[TargetTRY]]-tblSales[[#This Row],[NetSalesTRY]],0)</f>
        <v>3134.679999999993</v>
      </c>
    </row>
    <row r="148" spans="1:20">
      <c r="A148" t="s">
        <v>536</v>
      </c>
      <c r="B148" s="15">
        <v>45383</v>
      </c>
      <c r="C148" t="s">
        <v>19</v>
      </c>
      <c r="D148" t="s">
        <v>20</v>
      </c>
      <c r="E148" t="s">
        <v>34</v>
      </c>
      <c r="F148" t="s">
        <v>32</v>
      </c>
      <c r="G148" t="s">
        <v>11</v>
      </c>
      <c r="H148" s="8">
        <v>216</v>
      </c>
      <c r="I148" s="9">
        <v>132665.26999999999</v>
      </c>
      <c r="J148" s="9">
        <v>5350.41</v>
      </c>
      <c r="K148" s="9">
        <v>1680.66</v>
      </c>
      <c r="L148" s="9">
        <v>125634.19</v>
      </c>
      <c r="M148" s="9">
        <v>125537.01</v>
      </c>
      <c r="N148" s="6" t="str">
        <f>_xlfn.XLOOKUP(tblSales[[#This Row],[ProductID]],tblProducts[ProductID],tblProducts[ProductName],"Not Found")</f>
        <v>RespiraX</v>
      </c>
      <c r="O148" s="8">
        <f>YEAR(tblSales[[#This Row],[Month]])</f>
        <v>2024</v>
      </c>
      <c r="P148" s="8">
        <f>MONTH(tblSales[[#This Row],[Month]])</f>
        <v>4</v>
      </c>
      <c r="Q148" s="6">
        <f>IFERROR(tblSales[[#This Row],[NetSalesTRY]]/tblSales[[#This Row],[Units]],0)</f>
        <v>581.63976851851851</v>
      </c>
      <c r="R148" s="17">
        <f>IFERROR(tblSales[[#This Row],[NetSalesTRY]]/tblSales[[#This Row],[TargetTRY]],0)</f>
        <v>1.0007741143428539</v>
      </c>
      <c r="S148" s="6">
        <f>tblSales[[#This Row],[NetSalesTRY]]-tblSales[[#This Row],[TargetTRY]]</f>
        <v>97.180000000007567</v>
      </c>
      <c r="T148" s="6">
        <f>MAX(tblSales[[#This Row],[TargetTRY]]-tblSales[[#This Row],[NetSalesTRY]],0)</f>
        <v>0</v>
      </c>
    </row>
    <row r="149" spans="1:20">
      <c r="A149" t="s">
        <v>537</v>
      </c>
      <c r="B149" s="15">
        <v>45383</v>
      </c>
      <c r="C149" t="s">
        <v>19</v>
      </c>
      <c r="D149" t="s">
        <v>20</v>
      </c>
      <c r="E149" t="s">
        <v>34</v>
      </c>
      <c r="F149" t="s">
        <v>32</v>
      </c>
      <c r="G149" t="s">
        <v>14</v>
      </c>
      <c r="H149" s="8">
        <v>116</v>
      </c>
      <c r="I149" s="9">
        <v>127295.54</v>
      </c>
      <c r="J149" s="9">
        <v>7948.48</v>
      </c>
      <c r="K149" s="9">
        <v>1176.31</v>
      </c>
      <c r="L149" s="9">
        <v>118170.76</v>
      </c>
      <c r="M149" s="9">
        <v>117970.72</v>
      </c>
      <c r="N149" s="6" t="str">
        <f>_xlfn.XLOOKUP(tblSales[[#This Row],[ProductID]],tblProducts[ProductID],tblProducts[ProductName],"Not Found")</f>
        <v>NeuroCalm</v>
      </c>
      <c r="O149" s="8">
        <f>YEAR(tblSales[[#This Row],[Month]])</f>
        <v>2024</v>
      </c>
      <c r="P149" s="8">
        <f>MONTH(tblSales[[#This Row],[Month]])</f>
        <v>4</v>
      </c>
      <c r="Q149" s="6">
        <f>IFERROR(tblSales[[#This Row],[NetSalesTRY]]/tblSales[[#This Row],[Units]],0)</f>
        <v>1018.713448275862</v>
      </c>
      <c r="R149" s="17">
        <f>IFERROR(tblSales[[#This Row],[NetSalesTRY]]/tblSales[[#This Row],[TargetTRY]],0)</f>
        <v>1.0016956749946089</v>
      </c>
      <c r="S149" s="6">
        <f>tblSales[[#This Row],[NetSalesTRY]]-tblSales[[#This Row],[TargetTRY]]</f>
        <v>200.0399999999936</v>
      </c>
      <c r="T149" s="6">
        <f>MAX(tblSales[[#This Row],[TargetTRY]]-tblSales[[#This Row],[NetSalesTRY]],0)</f>
        <v>0</v>
      </c>
    </row>
    <row r="150" spans="1:20">
      <c r="A150" t="s">
        <v>538</v>
      </c>
      <c r="B150" s="15">
        <v>45383</v>
      </c>
      <c r="C150" t="s">
        <v>19</v>
      </c>
      <c r="D150" t="s">
        <v>20</v>
      </c>
      <c r="E150" t="s">
        <v>37</v>
      </c>
      <c r="F150" t="s">
        <v>35</v>
      </c>
      <c r="G150" t="s">
        <v>5</v>
      </c>
      <c r="H150" s="8">
        <v>141</v>
      </c>
      <c r="I150" s="9">
        <v>140018.42000000001</v>
      </c>
      <c r="J150" s="9">
        <v>8718.65</v>
      </c>
      <c r="K150" s="9">
        <v>1211.07</v>
      </c>
      <c r="L150" s="9">
        <v>130088.7</v>
      </c>
      <c r="M150" s="9">
        <v>136433.46</v>
      </c>
      <c r="N150" s="6" t="str">
        <f>_xlfn.XLOOKUP(tblSales[[#This Row],[ProductID]],tblProducts[ProductID],tblProducts[ProductName],"Not Found")</f>
        <v>Cardiovan</v>
      </c>
      <c r="O150" s="8">
        <f>YEAR(tblSales[[#This Row],[Month]])</f>
        <v>2024</v>
      </c>
      <c r="P150" s="8">
        <f>MONTH(tblSales[[#This Row],[Month]])</f>
        <v>4</v>
      </c>
      <c r="Q150" s="6">
        <f>IFERROR(tblSales[[#This Row],[NetSalesTRY]]/tblSales[[#This Row],[Units]],0)</f>
        <v>922.61489361702127</v>
      </c>
      <c r="R150" s="17">
        <f>IFERROR(tblSales[[#This Row],[NetSalesTRY]]/tblSales[[#This Row],[TargetTRY]],0)</f>
        <v>0.953495572127248</v>
      </c>
      <c r="S150" s="6">
        <f>tblSales[[#This Row],[NetSalesTRY]]-tblSales[[#This Row],[TargetTRY]]</f>
        <v>-6344.7599999999948</v>
      </c>
      <c r="T150" s="6">
        <f>MAX(tblSales[[#This Row],[TargetTRY]]-tblSales[[#This Row],[NetSalesTRY]],0)</f>
        <v>6344.7599999999948</v>
      </c>
    </row>
    <row r="151" spans="1:20">
      <c r="A151" t="s">
        <v>539</v>
      </c>
      <c r="B151" s="15">
        <v>45383</v>
      </c>
      <c r="C151" t="s">
        <v>19</v>
      </c>
      <c r="D151" t="s">
        <v>20</v>
      </c>
      <c r="E151" t="s">
        <v>37</v>
      </c>
      <c r="F151" t="s">
        <v>35</v>
      </c>
      <c r="G151" t="s">
        <v>8</v>
      </c>
      <c r="H151" s="8">
        <v>183</v>
      </c>
      <c r="I151" s="9">
        <v>139670.43</v>
      </c>
      <c r="J151" s="9">
        <v>7581.2</v>
      </c>
      <c r="K151" s="9">
        <v>789.19</v>
      </c>
      <c r="L151" s="9">
        <v>131300.04</v>
      </c>
      <c r="M151" s="9">
        <v>128440.03</v>
      </c>
      <c r="N151" s="6" t="str">
        <f>_xlfn.XLOOKUP(tblSales[[#This Row],[ProductID]],tblProducts[ProductID],tblProducts[ProductName],"Not Found")</f>
        <v>GlucoRelief</v>
      </c>
      <c r="O151" s="8">
        <f>YEAR(tblSales[[#This Row],[Month]])</f>
        <v>2024</v>
      </c>
      <c r="P151" s="8">
        <f>MONTH(tblSales[[#This Row],[Month]])</f>
        <v>4</v>
      </c>
      <c r="Q151" s="6">
        <f>IFERROR(tblSales[[#This Row],[NetSalesTRY]]/tblSales[[#This Row],[Units]],0)</f>
        <v>717.48655737704928</v>
      </c>
      <c r="R151" s="17">
        <f>IFERROR(tblSales[[#This Row],[NetSalesTRY]]/tblSales[[#This Row],[TargetTRY]],0)</f>
        <v>1.0222672791340832</v>
      </c>
      <c r="S151" s="6">
        <f>tblSales[[#This Row],[NetSalesTRY]]-tblSales[[#This Row],[TargetTRY]]</f>
        <v>2860.0100000000093</v>
      </c>
      <c r="T151" s="6">
        <f>MAX(tblSales[[#This Row],[TargetTRY]]-tblSales[[#This Row],[NetSalesTRY]],0)</f>
        <v>0</v>
      </c>
    </row>
    <row r="152" spans="1:20">
      <c r="A152" t="s">
        <v>540</v>
      </c>
      <c r="B152" s="15">
        <v>45383</v>
      </c>
      <c r="C152" t="s">
        <v>19</v>
      </c>
      <c r="D152" t="s">
        <v>20</v>
      </c>
      <c r="E152" t="s">
        <v>37</v>
      </c>
      <c r="F152" t="s">
        <v>35</v>
      </c>
      <c r="G152" t="s">
        <v>11</v>
      </c>
      <c r="H152" s="8">
        <v>212</v>
      </c>
      <c r="I152" s="9">
        <v>132954.97</v>
      </c>
      <c r="J152" s="9">
        <v>5149.18</v>
      </c>
      <c r="K152" s="9">
        <v>1684.34</v>
      </c>
      <c r="L152" s="9">
        <v>126121.46</v>
      </c>
      <c r="M152" s="9">
        <v>127494.28</v>
      </c>
      <c r="N152" s="6" t="str">
        <f>_xlfn.XLOOKUP(tblSales[[#This Row],[ProductID]],tblProducts[ProductID],tblProducts[ProductName],"Not Found")</f>
        <v>RespiraX</v>
      </c>
      <c r="O152" s="8">
        <f>YEAR(tblSales[[#This Row],[Month]])</f>
        <v>2024</v>
      </c>
      <c r="P152" s="8">
        <f>MONTH(tblSales[[#This Row],[Month]])</f>
        <v>4</v>
      </c>
      <c r="Q152" s="6">
        <f>IFERROR(tblSales[[#This Row],[NetSalesTRY]]/tblSales[[#This Row],[Units]],0)</f>
        <v>594.91254716981132</v>
      </c>
      <c r="R152" s="17">
        <f>IFERROR(tblSales[[#This Row],[NetSalesTRY]]/tblSales[[#This Row],[TargetTRY]],0)</f>
        <v>0.98923230124520101</v>
      </c>
      <c r="S152" s="6">
        <f>tblSales[[#This Row],[NetSalesTRY]]-tblSales[[#This Row],[TargetTRY]]</f>
        <v>-1372.8199999999924</v>
      </c>
      <c r="T152" s="6">
        <f>MAX(tblSales[[#This Row],[TargetTRY]]-tblSales[[#This Row],[NetSalesTRY]],0)</f>
        <v>1372.8199999999924</v>
      </c>
    </row>
    <row r="153" spans="1:20">
      <c r="A153" t="s">
        <v>541</v>
      </c>
      <c r="B153" s="15">
        <v>45383</v>
      </c>
      <c r="C153" t="s">
        <v>19</v>
      </c>
      <c r="D153" t="s">
        <v>20</v>
      </c>
      <c r="E153" t="s">
        <v>37</v>
      </c>
      <c r="F153" t="s">
        <v>35</v>
      </c>
      <c r="G153" t="s">
        <v>14</v>
      </c>
      <c r="H153" s="8">
        <v>118</v>
      </c>
      <c r="I153" s="9">
        <v>129915.37</v>
      </c>
      <c r="J153" s="9">
        <v>5620.27</v>
      </c>
      <c r="K153" s="9">
        <v>625.96</v>
      </c>
      <c r="L153" s="9">
        <v>123669.14</v>
      </c>
      <c r="M153" s="9">
        <v>119204.73</v>
      </c>
      <c r="N153" s="6" t="str">
        <f>_xlfn.XLOOKUP(tblSales[[#This Row],[ProductID]],tblProducts[ProductID],tblProducts[ProductName],"Not Found")</f>
        <v>NeuroCalm</v>
      </c>
      <c r="O153" s="8">
        <f>YEAR(tblSales[[#This Row],[Month]])</f>
        <v>2024</v>
      </c>
      <c r="P153" s="8">
        <f>MONTH(tblSales[[#This Row],[Month]])</f>
        <v>4</v>
      </c>
      <c r="Q153" s="6">
        <f>IFERROR(tblSales[[#This Row],[NetSalesTRY]]/tblSales[[#This Row],[Units]],0)</f>
        <v>1048.0435593220338</v>
      </c>
      <c r="R153" s="17">
        <f>IFERROR(tblSales[[#This Row],[NetSalesTRY]]/tblSales[[#This Row],[TargetTRY]],0)</f>
        <v>1.0374516179014037</v>
      </c>
      <c r="S153" s="6">
        <f>tblSales[[#This Row],[NetSalesTRY]]-tblSales[[#This Row],[TargetTRY]]</f>
        <v>4464.4100000000035</v>
      </c>
      <c r="T153" s="6">
        <f>MAX(tblSales[[#This Row],[TargetTRY]]-tblSales[[#This Row],[NetSalesTRY]],0)</f>
        <v>0</v>
      </c>
    </row>
    <row r="154" spans="1:20">
      <c r="A154" t="s">
        <v>542</v>
      </c>
      <c r="B154" s="15">
        <v>45383</v>
      </c>
      <c r="C154" t="s">
        <v>19</v>
      </c>
      <c r="D154" t="s">
        <v>20</v>
      </c>
      <c r="E154" t="s">
        <v>40</v>
      </c>
      <c r="F154" t="s">
        <v>38</v>
      </c>
      <c r="G154" t="s">
        <v>5</v>
      </c>
      <c r="H154" s="8">
        <v>164</v>
      </c>
      <c r="I154" s="9">
        <v>159065.21</v>
      </c>
      <c r="J154" s="9">
        <v>11845.77</v>
      </c>
      <c r="K154" s="9">
        <v>1440.69</v>
      </c>
      <c r="L154" s="9">
        <v>145778.75</v>
      </c>
      <c r="M154" s="9">
        <v>149809.17000000001</v>
      </c>
      <c r="N154" s="6" t="str">
        <f>_xlfn.XLOOKUP(tblSales[[#This Row],[ProductID]],tblProducts[ProductID],tblProducts[ProductName],"Not Found")</f>
        <v>Cardiovan</v>
      </c>
      <c r="O154" s="8">
        <f>YEAR(tblSales[[#This Row],[Month]])</f>
        <v>2024</v>
      </c>
      <c r="P154" s="8">
        <f>MONTH(tblSales[[#This Row],[Month]])</f>
        <v>4</v>
      </c>
      <c r="Q154" s="6">
        <f>IFERROR(tblSales[[#This Row],[NetSalesTRY]]/tblSales[[#This Row],[Units]],0)</f>
        <v>888.89481707317077</v>
      </c>
      <c r="R154" s="17">
        <f>IFERROR(tblSales[[#This Row],[NetSalesTRY]]/tblSales[[#This Row],[TargetTRY]],0)</f>
        <v>0.97309630645440459</v>
      </c>
      <c r="S154" s="6">
        <f>tblSales[[#This Row],[NetSalesTRY]]-tblSales[[#This Row],[TargetTRY]]</f>
        <v>-4030.4200000000128</v>
      </c>
      <c r="T154" s="6">
        <f>MAX(tblSales[[#This Row],[TargetTRY]]-tblSales[[#This Row],[NetSalesTRY]],0)</f>
        <v>4030.4200000000128</v>
      </c>
    </row>
    <row r="155" spans="1:20">
      <c r="A155" t="s">
        <v>543</v>
      </c>
      <c r="B155" s="15">
        <v>45383</v>
      </c>
      <c r="C155" t="s">
        <v>19</v>
      </c>
      <c r="D155" t="s">
        <v>20</v>
      </c>
      <c r="E155" t="s">
        <v>40</v>
      </c>
      <c r="F155" t="s">
        <v>38</v>
      </c>
      <c r="G155" t="s">
        <v>8</v>
      </c>
      <c r="H155" s="8">
        <v>200</v>
      </c>
      <c r="I155" s="9">
        <v>150283.18</v>
      </c>
      <c r="J155" s="9">
        <v>9004.58</v>
      </c>
      <c r="K155" s="9">
        <v>2044.16</v>
      </c>
      <c r="L155" s="9">
        <v>139234.44</v>
      </c>
      <c r="M155" s="9">
        <v>141303.57</v>
      </c>
      <c r="N155" s="6" t="str">
        <f>_xlfn.XLOOKUP(tblSales[[#This Row],[ProductID]],tblProducts[ProductID],tblProducts[ProductName],"Not Found")</f>
        <v>GlucoRelief</v>
      </c>
      <c r="O155" s="8">
        <f>YEAR(tblSales[[#This Row],[Month]])</f>
        <v>2024</v>
      </c>
      <c r="P155" s="8">
        <f>MONTH(tblSales[[#This Row],[Month]])</f>
        <v>4</v>
      </c>
      <c r="Q155" s="6">
        <f>IFERROR(tblSales[[#This Row],[NetSalesTRY]]/tblSales[[#This Row],[Units]],0)</f>
        <v>696.17219999999998</v>
      </c>
      <c r="R155" s="17">
        <f>IFERROR(tblSales[[#This Row],[NetSalesTRY]]/tblSales[[#This Row],[TargetTRY]],0)</f>
        <v>0.9853568455489129</v>
      </c>
      <c r="S155" s="6">
        <f>tblSales[[#This Row],[NetSalesTRY]]-tblSales[[#This Row],[TargetTRY]]</f>
        <v>-2069.1300000000047</v>
      </c>
      <c r="T155" s="6">
        <f>MAX(tblSales[[#This Row],[TargetTRY]]-tblSales[[#This Row],[NetSalesTRY]],0)</f>
        <v>2069.1300000000047</v>
      </c>
    </row>
    <row r="156" spans="1:20">
      <c r="A156" t="s">
        <v>544</v>
      </c>
      <c r="B156" s="15">
        <v>45383</v>
      </c>
      <c r="C156" t="s">
        <v>19</v>
      </c>
      <c r="D156" t="s">
        <v>20</v>
      </c>
      <c r="E156" t="s">
        <v>40</v>
      </c>
      <c r="F156" t="s">
        <v>38</v>
      </c>
      <c r="G156" t="s">
        <v>11</v>
      </c>
      <c r="H156" s="8">
        <v>226</v>
      </c>
      <c r="I156" s="9">
        <v>140063.06</v>
      </c>
      <c r="J156" s="9">
        <v>10443.82</v>
      </c>
      <c r="K156" s="9">
        <v>620.30999999999995</v>
      </c>
      <c r="L156" s="9">
        <v>128998.94</v>
      </c>
      <c r="M156" s="9">
        <v>140205.34</v>
      </c>
      <c r="N156" s="6" t="str">
        <f>_xlfn.XLOOKUP(tblSales[[#This Row],[ProductID]],tblProducts[ProductID],tblProducts[ProductName],"Not Found")</f>
        <v>RespiraX</v>
      </c>
      <c r="O156" s="8">
        <f>YEAR(tblSales[[#This Row],[Month]])</f>
        <v>2024</v>
      </c>
      <c r="P156" s="8">
        <f>MONTH(tblSales[[#This Row],[Month]])</f>
        <v>4</v>
      </c>
      <c r="Q156" s="6">
        <f>IFERROR(tblSales[[#This Row],[NetSalesTRY]]/tblSales[[#This Row],[Units]],0)</f>
        <v>570.79176991150439</v>
      </c>
      <c r="R156" s="17">
        <f>IFERROR(tblSales[[#This Row],[NetSalesTRY]]/tblSales[[#This Row],[TargetTRY]],0)</f>
        <v>0.92007151796072817</v>
      </c>
      <c r="S156" s="6">
        <f>tblSales[[#This Row],[NetSalesTRY]]-tblSales[[#This Row],[TargetTRY]]</f>
        <v>-11206.399999999994</v>
      </c>
      <c r="T156" s="6">
        <f>MAX(tblSales[[#This Row],[TargetTRY]]-tblSales[[#This Row],[NetSalesTRY]],0)</f>
        <v>11206.399999999994</v>
      </c>
    </row>
    <row r="157" spans="1:20">
      <c r="A157" t="s">
        <v>545</v>
      </c>
      <c r="B157" s="15">
        <v>45383</v>
      </c>
      <c r="C157" t="s">
        <v>19</v>
      </c>
      <c r="D157" t="s">
        <v>20</v>
      </c>
      <c r="E157" t="s">
        <v>40</v>
      </c>
      <c r="F157" t="s">
        <v>38</v>
      </c>
      <c r="G157" t="s">
        <v>14</v>
      </c>
      <c r="H157" s="8">
        <v>122</v>
      </c>
      <c r="I157" s="9">
        <v>134499.47</v>
      </c>
      <c r="J157" s="9">
        <v>5461.91</v>
      </c>
      <c r="K157" s="9">
        <v>1863.13</v>
      </c>
      <c r="L157" s="9">
        <v>127174.42</v>
      </c>
      <c r="M157" s="9">
        <v>130383.8</v>
      </c>
      <c r="N157" s="6" t="str">
        <f>_xlfn.XLOOKUP(tblSales[[#This Row],[ProductID]],tblProducts[ProductID],tblProducts[ProductName],"Not Found")</f>
        <v>NeuroCalm</v>
      </c>
      <c r="O157" s="8">
        <f>YEAR(tblSales[[#This Row],[Month]])</f>
        <v>2024</v>
      </c>
      <c r="P157" s="8">
        <f>MONTH(tblSales[[#This Row],[Month]])</f>
        <v>4</v>
      </c>
      <c r="Q157" s="6">
        <f>IFERROR(tblSales[[#This Row],[NetSalesTRY]]/tblSales[[#This Row],[Units]],0)</f>
        <v>1042.4132786885245</v>
      </c>
      <c r="R157" s="17">
        <f>IFERROR(tblSales[[#This Row],[NetSalesTRY]]/tblSales[[#This Row],[TargetTRY]],0)</f>
        <v>0.97538513220200662</v>
      </c>
      <c r="S157" s="6">
        <f>tblSales[[#This Row],[NetSalesTRY]]-tblSales[[#This Row],[TargetTRY]]</f>
        <v>-3209.3800000000047</v>
      </c>
      <c r="T157" s="6">
        <f>MAX(tblSales[[#This Row],[TargetTRY]]-tblSales[[#This Row],[NetSalesTRY]],0)</f>
        <v>3209.3800000000047</v>
      </c>
    </row>
    <row r="158" spans="1:20">
      <c r="A158" t="s">
        <v>546</v>
      </c>
      <c r="B158" s="15">
        <v>45383</v>
      </c>
      <c r="C158" t="s">
        <v>21</v>
      </c>
      <c r="D158" t="s">
        <v>22</v>
      </c>
      <c r="E158" t="s">
        <v>43</v>
      </c>
      <c r="F158" t="s">
        <v>41</v>
      </c>
      <c r="G158" t="s">
        <v>5</v>
      </c>
      <c r="H158" s="8">
        <v>125</v>
      </c>
      <c r="I158" s="9">
        <v>122770.98</v>
      </c>
      <c r="J158" s="9">
        <v>7616.89</v>
      </c>
      <c r="K158" s="9">
        <v>1005.02</v>
      </c>
      <c r="L158" s="9">
        <v>114149.07</v>
      </c>
      <c r="M158" s="9">
        <v>108077.95</v>
      </c>
      <c r="N158" s="6" t="str">
        <f>_xlfn.XLOOKUP(tblSales[[#This Row],[ProductID]],tblProducts[ProductID],tblProducts[ProductName],"Not Found")</f>
        <v>Cardiovan</v>
      </c>
      <c r="O158" s="8">
        <f>YEAR(tblSales[[#This Row],[Month]])</f>
        <v>2024</v>
      </c>
      <c r="P158" s="8">
        <f>MONTH(tblSales[[#This Row],[Month]])</f>
        <v>4</v>
      </c>
      <c r="Q158" s="6">
        <f>IFERROR(tblSales[[#This Row],[NetSalesTRY]]/tblSales[[#This Row],[Units]],0)</f>
        <v>913.19256000000007</v>
      </c>
      <c r="R158" s="17">
        <f>IFERROR(tblSales[[#This Row],[NetSalesTRY]]/tblSales[[#This Row],[TargetTRY]],0)</f>
        <v>1.0561735303084487</v>
      </c>
      <c r="S158" s="6">
        <f>tblSales[[#This Row],[NetSalesTRY]]-tblSales[[#This Row],[TargetTRY]]</f>
        <v>6071.1200000000099</v>
      </c>
      <c r="T158" s="6">
        <f>MAX(tblSales[[#This Row],[TargetTRY]]-tblSales[[#This Row],[NetSalesTRY]],0)</f>
        <v>0</v>
      </c>
    </row>
    <row r="159" spans="1:20">
      <c r="A159" t="s">
        <v>547</v>
      </c>
      <c r="B159" s="15">
        <v>45383</v>
      </c>
      <c r="C159" t="s">
        <v>21</v>
      </c>
      <c r="D159" t="s">
        <v>22</v>
      </c>
      <c r="E159" t="s">
        <v>43</v>
      </c>
      <c r="F159" t="s">
        <v>41</v>
      </c>
      <c r="G159" t="s">
        <v>8</v>
      </c>
      <c r="H159" s="8">
        <v>138</v>
      </c>
      <c r="I159" s="9">
        <v>105502.02</v>
      </c>
      <c r="J159" s="9">
        <v>5575.05</v>
      </c>
      <c r="K159" s="9">
        <v>1395.54</v>
      </c>
      <c r="L159" s="9">
        <v>98531.43</v>
      </c>
      <c r="M159" s="9">
        <v>104018.35</v>
      </c>
      <c r="N159" s="6" t="str">
        <f>_xlfn.XLOOKUP(tblSales[[#This Row],[ProductID]],tblProducts[ProductID],tblProducts[ProductName],"Not Found")</f>
        <v>GlucoRelief</v>
      </c>
      <c r="O159" s="8">
        <f>YEAR(tblSales[[#This Row],[Month]])</f>
        <v>2024</v>
      </c>
      <c r="P159" s="8">
        <f>MONTH(tblSales[[#This Row],[Month]])</f>
        <v>4</v>
      </c>
      <c r="Q159" s="6">
        <f>IFERROR(tblSales[[#This Row],[NetSalesTRY]]/tblSales[[#This Row],[Units]],0)</f>
        <v>713.99586956521739</v>
      </c>
      <c r="R159" s="17">
        <f>IFERROR(tblSales[[#This Row],[NetSalesTRY]]/tblSales[[#This Row],[TargetTRY]],0)</f>
        <v>0.94725046109652755</v>
      </c>
      <c r="S159" s="6">
        <f>tblSales[[#This Row],[NetSalesTRY]]-tblSales[[#This Row],[TargetTRY]]</f>
        <v>-5486.9200000000128</v>
      </c>
      <c r="T159" s="6">
        <f>MAX(tblSales[[#This Row],[TargetTRY]]-tblSales[[#This Row],[NetSalesTRY]],0)</f>
        <v>5486.9200000000128</v>
      </c>
    </row>
    <row r="160" spans="1:20">
      <c r="A160" t="s">
        <v>548</v>
      </c>
      <c r="B160" s="15">
        <v>45383</v>
      </c>
      <c r="C160" t="s">
        <v>21</v>
      </c>
      <c r="D160" t="s">
        <v>22</v>
      </c>
      <c r="E160" t="s">
        <v>43</v>
      </c>
      <c r="F160" t="s">
        <v>41</v>
      </c>
      <c r="G160" t="s">
        <v>11</v>
      </c>
      <c r="H160" s="8">
        <v>176</v>
      </c>
      <c r="I160" s="9">
        <v>110019.92</v>
      </c>
      <c r="J160" s="9">
        <v>4742.08</v>
      </c>
      <c r="K160" s="9">
        <v>1024.22</v>
      </c>
      <c r="L160" s="9">
        <v>104253.62</v>
      </c>
      <c r="M160" s="9">
        <v>100460.21</v>
      </c>
      <c r="N160" s="6" t="str">
        <f>_xlfn.XLOOKUP(tblSales[[#This Row],[ProductID]],tblProducts[ProductID],tblProducts[ProductName],"Not Found")</f>
        <v>RespiraX</v>
      </c>
      <c r="O160" s="8">
        <f>YEAR(tblSales[[#This Row],[Month]])</f>
        <v>2024</v>
      </c>
      <c r="P160" s="8">
        <f>MONTH(tblSales[[#This Row],[Month]])</f>
        <v>4</v>
      </c>
      <c r="Q160" s="6">
        <f>IFERROR(tblSales[[#This Row],[NetSalesTRY]]/tblSales[[#This Row],[Units]],0)</f>
        <v>592.35011363636363</v>
      </c>
      <c r="R160" s="17">
        <f>IFERROR(tblSales[[#This Row],[NetSalesTRY]]/tblSales[[#This Row],[TargetTRY]],0)</f>
        <v>1.0377603232165251</v>
      </c>
      <c r="S160" s="6">
        <f>tblSales[[#This Row],[NetSalesTRY]]-tblSales[[#This Row],[TargetTRY]]</f>
        <v>3793.4099999999889</v>
      </c>
      <c r="T160" s="6">
        <f>MAX(tblSales[[#This Row],[TargetTRY]]-tblSales[[#This Row],[NetSalesTRY]],0)</f>
        <v>0</v>
      </c>
    </row>
    <row r="161" spans="1:20">
      <c r="A161" t="s">
        <v>549</v>
      </c>
      <c r="B161" s="15">
        <v>45383</v>
      </c>
      <c r="C161" t="s">
        <v>21</v>
      </c>
      <c r="D161" t="s">
        <v>22</v>
      </c>
      <c r="E161" t="s">
        <v>43</v>
      </c>
      <c r="F161" t="s">
        <v>41</v>
      </c>
      <c r="G161" t="s">
        <v>14</v>
      </c>
      <c r="H161" s="8">
        <v>95</v>
      </c>
      <c r="I161" s="9">
        <v>103782.18</v>
      </c>
      <c r="J161" s="9">
        <v>5916.3</v>
      </c>
      <c r="K161" s="9">
        <v>1312.35</v>
      </c>
      <c r="L161" s="9">
        <v>96553.53</v>
      </c>
      <c r="M161" s="9">
        <v>94334.62</v>
      </c>
      <c r="N161" s="6" t="str">
        <f>_xlfn.XLOOKUP(tblSales[[#This Row],[ProductID]],tblProducts[ProductID],tblProducts[ProductName],"Not Found")</f>
        <v>NeuroCalm</v>
      </c>
      <c r="O161" s="8">
        <f>YEAR(tblSales[[#This Row],[Month]])</f>
        <v>2024</v>
      </c>
      <c r="P161" s="8">
        <f>MONTH(tblSales[[#This Row],[Month]])</f>
        <v>4</v>
      </c>
      <c r="Q161" s="6">
        <f>IFERROR(tblSales[[#This Row],[NetSalesTRY]]/tblSales[[#This Row],[Units]],0)</f>
        <v>1016.352947368421</v>
      </c>
      <c r="R161" s="17">
        <f>IFERROR(tblSales[[#This Row],[NetSalesTRY]]/tblSales[[#This Row],[TargetTRY]],0)</f>
        <v>1.0235216933083529</v>
      </c>
      <c r="S161" s="6">
        <f>tblSales[[#This Row],[NetSalesTRY]]-tblSales[[#This Row],[TargetTRY]]</f>
        <v>2218.9100000000035</v>
      </c>
      <c r="T161" s="6">
        <f>MAX(tblSales[[#This Row],[TargetTRY]]-tblSales[[#This Row],[NetSalesTRY]],0)</f>
        <v>0</v>
      </c>
    </row>
    <row r="162" spans="1:20">
      <c r="A162" t="s">
        <v>550</v>
      </c>
      <c r="B162" s="15">
        <v>45383</v>
      </c>
      <c r="C162" t="s">
        <v>21</v>
      </c>
      <c r="D162" t="s">
        <v>22</v>
      </c>
      <c r="E162" t="s">
        <v>46</v>
      </c>
      <c r="F162" t="s">
        <v>44</v>
      </c>
      <c r="G162" t="s">
        <v>5</v>
      </c>
      <c r="H162" s="8">
        <v>106</v>
      </c>
      <c r="I162" s="9">
        <v>102607.51</v>
      </c>
      <c r="J162" s="9">
        <v>3649.68</v>
      </c>
      <c r="K162" s="9">
        <v>497.9</v>
      </c>
      <c r="L162" s="9">
        <v>98459.92</v>
      </c>
      <c r="M162" s="9">
        <v>97274.41</v>
      </c>
      <c r="N162" s="6" t="str">
        <f>_xlfn.XLOOKUP(tblSales[[#This Row],[ProductID]],tblProducts[ProductID],tblProducts[ProductName],"Not Found")</f>
        <v>Cardiovan</v>
      </c>
      <c r="O162" s="8">
        <f>YEAR(tblSales[[#This Row],[Month]])</f>
        <v>2024</v>
      </c>
      <c r="P162" s="8">
        <f>MONTH(tblSales[[#This Row],[Month]])</f>
        <v>4</v>
      </c>
      <c r="Q162" s="6">
        <f>IFERROR(tblSales[[#This Row],[NetSalesTRY]]/tblSales[[#This Row],[Units]],0)</f>
        <v>928.86716981132076</v>
      </c>
      <c r="R162" s="17">
        <f>IFERROR(tblSales[[#This Row],[NetSalesTRY]]/tblSales[[#This Row],[TargetTRY]],0)</f>
        <v>1.0121872751528382</v>
      </c>
      <c r="S162" s="6">
        <f>tblSales[[#This Row],[NetSalesTRY]]-tblSales[[#This Row],[TargetTRY]]</f>
        <v>1185.5099999999948</v>
      </c>
      <c r="T162" s="6">
        <f>MAX(tblSales[[#This Row],[TargetTRY]]-tblSales[[#This Row],[NetSalesTRY]],0)</f>
        <v>0</v>
      </c>
    </row>
    <row r="163" spans="1:20">
      <c r="A163" t="s">
        <v>551</v>
      </c>
      <c r="B163" s="15">
        <v>45383</v>
      </c>
      <c r="C163" t="s">
        <v>21</v>
      </c>
      <c r="D163" t="s">
        <v>22</v>
      </c>
      <c r="E163" t="s">
        <v>46</v>
      </c>
      <c r="F163" t="s">
        <v>44</v>
      </c>
      <c r="G163" t="s">
        <v>8</v>
      </c>
      <c r="H163" s="8">
        <v>132</v>
      </c>
      <c r="I163" s="9">
        <v>100130.8</v>
      </c>
      <c r="J163" s="9">
        <v>6644.82</v>
      </c>
      <c r="K163" s="9">
        <v>595.30999999999995</v>
      </c>
      <c r="L163" s="9">
        <v>92890.67</v>
      </c>
      <c r="M163" s="9">
        <v>92036.08</v>
      </c>
      <c r="N163" s="6" t="str">
        <f>_xlfn.XLOOKUP(tblSales[[#This Row],[ProductID]],tblProducts[ProductID],tblProducts[ProductName],"Not Found")</f>
        <v>GlucoRelief</v>
      </c>
      <c r="O163" s="8">
        <f>YEAR(tblSales[[#This Row],[Month]])</f>
        <v>2024</v>
      </c>
      <c r="P163" s="8">
        <f>MONTH(tblSales[[#This Row],[Month]])</f>
        <v>4</v>
      </c>
      <c r="Q163" s="6">
        <f>IFERROR(tblSales[[#This Row],[NetSalesTRY]]/tblSales[[#This Row],[Units]],0)</f>
        <v>703.71719696969694</v>
      </c>
      <c r="R163" s="17">
        <f>IFERROR(tblSales[[#This Row],[NetSalesTRY]]/tblSales[[#This Row],[TargetTRY]],0)</f>
        <v>1.0092853802552215</v>
      </c>
      <c r="S163" s="6">
        <f>tblSales[[#This Row],[NetSalesTRY]]-tblSales[[#This Row],[TargetTRY]]</f>
        <v>854.58999999999651</v>
      </c>
      <c r="T163" s="6">
        <f>MAX(tblSales[[#This Row],[TargetTRY]]-tblSales[[#This Row],[NetSalesTRY]],0)</f>
        <v>0</v>
      </c>
    </row>
    <row r="164" spans="1:20">
      <c r="A164" t="s">
        <v>552</v>
      </c>
      <c r="B164" s="15">
        <v>45383</v>
      </c>
      <c r="C164" t="s">
        <v>21</v>
      </c>
      <c r="D164" t="s">
        <v>22</v>
      </c>
      <c r="E164" t="s">
        <v>46</v>
      </c>
      <c r="F164" t="s">
        <v>44</v>
      </c>
      <c r="G164" t="s">
        <v>11</v>
      </c>
      <c r="H164" s="8">
        <v>157</v>
      </c>
      <c r="I164" s="9">
        <v>98063.84</v>
      </c>
      <c r="J164" s="9">
        <v>5606.24</v>
      </c>
      <c r="K164" s="9">
        <v>1161.78</v>
      </c>
      <c r="L164" s="9">
        <v>91295.82</v>
      </c>
      <c r="M164" s="9">
        <v>90186.63</v>
      </c>
      <c r="N164" s="6" t="str">
        <f>_xlfn.XLOOKUP(tblSales[[#This Row],[ProductID]],tblProducts[ProductID],tblProducts[ProductName],"Not Found")</f>
        <v>RespiraX</v>
      </c>
      <c r="O164" s="8">
        <f>YEAR(tblSales[[#This Row],[Month]])</f>
        <v>2024</v>
      </c>
      <c r="P164" s="8">
        <f>MONTH(tblSales[[#This Row],[Month]])</f>
        <v>4</v>
      </c>
      <c r="Q164" s="6">
        <f>IFERROR(tblSales[[#This Row],[NetSalesTRY]]/tblSales[[#This Row],[Units]],0)</f>
        <v>581.50203821656055</v>
      </c>
      <c r="R164" s="17">
        <f>IFERROR(tblSales[[#This Row],[NetSalesTRY]]/tblSales[[#This Row],[TargetTRY]],0)</f>
        <v>1.012298829660228</v>
      </c>
      <c r="S164" s="6">
        <f>tblSales[[#This Row],[NetSalesTRY]]-tblSales[[#This Row],[TargetTRY]]</f>
        <v>1109.1900000000023</v>
      </c>
      <c r="T164" s="6">
        <f>MAX(tblSales[[#This Row],[TargetTRY]]-tblSales[[#This Row],[NetSalesTRY]],0)</f>
        <v>0</v>
      </c>
    </row>
    <row r="165" spans="1:20">
      <c r="A165" t="s">
        <v>553</v>
      </c>
      <c r="B165" s="15">
        <v>45383</v>
      </c>
      <c r="C165" t="s">
        <v>21</v>
      </c>
      <c r="D165" t="s">
        <v>22</v>
      </c>
      <c r="E165" t="s">
        <v>46</v>
      </c>
      <c r="F165" t="s">
        <v>44</v>
      </c>
      <c r="G165" t="s">
        <v>14</v>
      </c>
      <c r="H165" s="8">
        <v>81</v>
      </c>
      <c r="I165" s="9">
        <v>88541.26</v>
      </c>
      <c r="J165" s="9">
        <v>3812.56</v>
      </c>
      <c r="K165" s="9">
        <v>687.66</v>
      </c>
      <c r="L165" s="9">
        <v>84041.04</v>
      </c>
      <c r="M165" s="9">
        <v>84419.520000000004</v>
      </c>
      <c r="N165" s="6" t="str">
        <f>_xlfn.XLOOKUP(tblSales[[#This Row],[ProductID]],tblProducts[ProductID],tblProducts[ProductName],"Not Found")</f>
        <v>NeuroCalm</v>
      </c>
      <c r="O165" s="8">
        <f>YEAR(tblSales[[#This Row],[Month]])</f>
        <v>2024</v>
      </c>
      <c r="P165" s="8">
        <f>MONTH(tblSales[[#This Row],[Month]])</f>
        <v>4</v>
      </c>
      <c r="Q165" s="6">
        <f>IFERROR(tblSales[[#This Row],[NetSalesTRY]]/tblSales[[#This Row],[Units]],0)</f>
        <v>1037.5437037037036</v>
      </c>
      <c r="R165" s="17">
        <f>IFERROR(tblSales[[#This Row],[NetSalesTRY]]/tblSales[[#This Row],[TargetTRY]],0)</f>
        <v>0.99551667671173671</v>
      </c>
      <c r="S165" s="6">
        <f>tblSales[[#This Row],[NetSalesTRY]]-tblSales[[#This Row],[TargetTRY]]</f>
        <v>-378.48000000001048</v>
      </c>
      <c r="T165" s="6">
        <f>MAX(tblSales[[#This Row],[TargetTRY]]-tblSales[[#This Row],[NetSalesTRY]],0)</f>
        <v>378.48000000001048</v>
      </c>
    </row>
    <row r="166" spans="1:20">
      <c r="A166" t="s">
        <v>554</v>
      </c>
      <c r="B166" s="15">
        <v>45383</v>
      </c>
      <c r="C166" t="s">
        <v>21</v>
      </c>
      <c r="D166" t="s">
        <v>22</v>
      </c>
      <c r="E166" t="s">
        <v>49</v>
      </c>
      <c r="F166" t="s">
        <v>47</v>
      </c>
      <c r="G166" t="s">
        <v>5</v>
      </c>
      <c r="H166" s="8">
        <v>122</v>
      </c>
      <c r="I166" s="9">
        <v>117801.08</v>
      </c>
      <c r="J166" s="9">
        <v>6024.84</v>
      </c>
      <c r="K166" s="9">
        <v>1141.54</v>
      </c>
      <c r="L166" s="9">
        <v>110634.7</v>
      </c>
      <c r="M166" s="9">
        <v>109901.95</v>
      </c>
      <c r="N166" s="6" t="str">
        <f>_xlfn.XLOOKUP(tblSales[[#This Row],[ProductID]],tblProducts[ProductID],tblProducts[ProductName],"Not Found")</f>
        <v>Cardiovan</v>
      </c>
      <c r="O166" s="8">
        <f>YEAR(tblSales[[#This Row],[Month]])</f>
        <v>2024</v>
      </c>
      <c r="P166" s="8">
        <f>MONTH(tblSales[[#This Row],[Month]])</f>
        <v>4</v>
      </c>
      <c r="Q166" s="6">
        <f>IFERROR(tblSales[[#This Row],[NetSalesTRY]]/tblSales[[#This Row],[Units]],0)</f>
        <v>906.84180327868853</v>
      </c>
      <c r="R166" s="17">
        <f>IFERROR(tblSales[[#This Row],[NetSalesTRY]]/tblSales[[#This Row],[TargetTRY]],0)</f>
        <v>1.006667306631047</v>
      </c>
      <c r="S166" s="6">
        <f>tblSales[[#This Row],[NetSalesTRY]]-tblSales[[#This Row],[TargetTRY]]</f>
        <v>732.75</v>
      </c>
      <c r="T166" s="6">
        <f>MAX(tblSales[[#This Row],[TargetTRY]]-tblSales[[#This Row],[NetSalesTRY]],0)</f>
        <v>0</v>
      </c>
    </row>
    <row r="167" spans="1:20">
      <c r="A167" t="s">
        <v>555</v>
      </c>
      <c r="B167" s="15">
        <v>45383</v>
      </c>
      <c r="C167" t="s">
        <v>21</v>
      </c>
      <c r="D167" t="s">
        <v>22</v>
      </c>
      <c r="E167" t="s">
        <v>49</v>
      </c>
      <c r="F167" t="s">
        <v>47</v>
      </c>
      <c r="G167" t="s">
        <v>8</v>
      </c>
      <c r="H167" s="8">
        <v>148</v>
      </c>
      <c r="I167" s="9">
        <v>111065.42</v>
      </c>
      <c r="J167" s="9">
        <v>6361.54</v>
      </c>
      <c r="K167" s="9">
        <v>1156.3</v>
      </c>
      <c r="L167" s="9">
        <v>103547.58</v>
      </c>
      <c r="M167" s="9">
        <v>101789.32</v>
      </c>
      <c r="N167" s="6" t="str">
        <f>_xlfn.XLOOKUP(tblSales[[#This Row],[ProductID]],tblProducts[ProductID],tblProducts[ProductName],"Not Found")</f>
        <v>GlucoRelief</v>
      </c>
      <c r="O167" s="8">
        <f>YEAR(tblSales[[#This Row],[Month]])</f>
        <v>2024</v>
      </c>
      <c r="P167" s="8">
        <f>MONTH(tblSales[[#This Row],[Month]])</f>
        <v>4</v>
      </c>
      <c r="Q167" s="6">
        <f>IFERROR(tblSales[[#This Row],[NetSalesTRY]]/tblSales[[#This Row],[Units]],0)</f>
        <v>699.64581081081087</v>
      </c>
      <c r="R167" s="17">
        <f>IFERROR(tblSales[[#This Row],[NetSalesTRY]]/tblSales[[#This Row],[TargetTRY]],0)</f>
        <v>1.0172735214264128</v>
      </c>
      <c r="S167" s="6">
        <f>tblSales[[#This Row],[NetSalesTRY]]-tblSales[[#This Row],[TargetTRY]]</f>
        <v>1758.2599999999948</v>
      </c>
      <c r="T167" s="6">
        <f>MAX(tblSales[[#This Row],[TargetTRY]]-tblSales[[#This Row],[NetSalesTRY]],0)</f>
        <v>0</v>
      </c>
    </row>
    <row r="168" spans="1:20">
      <c r="A168" t="s">
        <v>556</v>
      </c>
      <c r="B168" s="15">
        <v>45383</v>
      </c>
      <c r="C168" t="s">
        <v>21</v>
      </c>
      <c r="D168" t="s">
        <v>22</v>
      </c>
      <c r="E168" t="s">
        <v>49</v>
      </c>
      <c r="F168" t="s">
        <v>47</v>
      </c>
      <c r="G168" t="s">
        <v>11</v>
      </c>
      <c r="H168" s="8">
        <v>169</v>
      </c>
      <c r="I168" s="9">
        <v>105951.03999999999</v>
      </c>
      <c r="J168" s="9">
        <v>7613.7</v>
      </c>
      <c r="K168" s="9">
        <v>674.02</v>
      </c>
      <c r="L168" s="9">
        <v>97663.31</v>
      </c>
      <c r="M168" s="9">
        <v>100739.76</v>
      </c>
      <c r="N168" s="6" t="str">
        <f>_xlfn.XLOOKUP(tblSales[[#This Row],[ProductID]],tblProducts[ProductID],tblProducts[ProductName],"Not Found")</f>
        <v>RespiraX</v>
      </c>
      <c r="O168" s="8">
        <f>YEAR(tblSales[[#This Row],[Month]])</f>
        <v>2024</v>
      </c>
      <c r="P168" s="8">
        <f>MONTH(tblSales[[#This Row],[Month]])</f>
        <v>4</v>
      </c>
      <c r="Q168" s="6">
        <f>IFERROR(tblSales[[#This Row],[NetSalesTRY]]/tblSales[[#This Row],[Units]],0)</f>
        <v>577.8894082840236</v>
      </c>
      <c r="R168" s="17">
        <f>IFERROR(tblSales[[#This Row],[NetSalesTRY]]/tblSales[[#This Row],[TargetTRY]],0)</f>
        <v>0.96946141225668991</v>
      </c>
      <c r="S168" s="6">
        <f>tblSales[[#This Row],[NetSalesTRY]]-tblSales[[#This Row],[TargetTRY]]</f>
        <v>-3076.4499999999971</v>
      </c>
      <c r="T168" s="6">
        <f>MAX(tblSales[[#This Row],[TargetTRY]]-tblSales[[#This Row],[NetSalesTRY]],0)</f>
        <v>3076.4499999999971</v>
      </c>
    </row>
    <row r="169" spans="1:20">
      <c r="A169" t="s">
        <v>557</v>
      </c>
      <c r="B169" s="15">
        <v>45383</v>
      </c>
      <c r="C169" t="s">
        <v>21</v>
      </c>
      <c r="D169" t="s">
        <v>22</v>
      </c>
      <c r="E169" t="s">
        <v>49</v>
      </c>
      <c r="F169" t="s">
        <v>47</v>
      </c>
      <c r="G169" t="s">
        <v>14</v>
      </c>
      <c r="H169" s="8">
        <v>90</v>
      </c>
      <c r="I169" s="9">
        <v>99923.66</v>
      </c>
      <c r="J169" s="9">
        <v>6346.8</v>
      </c>
      <c r="K169" s="9">
        <v>575.41</v>
      </c>
      <c r="L169" s="9">
        <v>93001.45</v>
      </c>
      <c r="M169" s="9">
        <v>93539.69</v>
      </c>
      <c r="N169" s="6" t="str">
        <f>_xlfn.XLOOKUP(tblSales[[#This Row],[ProductID]],tblProducts[ProductID],tblProducts[ProductName],"Not Found")</f>
        <v>NeuroCalm</v>
      </c>
      <c r="O169" s="8">
        <f>YEAR(tblSales[[#This Row],[Month]])</f>
        <v>2024</v>
      </c>
      <c r="P169" s="8">
        <f>MONTH(tblSales[[#This Row],[Month]])</f>
        <v>4</v>
      </c>
      <c r="Q169" s="6">
        <f>IFERROR(tblSales[[#This Row],[NetSalesTRY]]/tblSales[[#This Row],[Units]],0)</f>
        <v>1033.3494444444443</v>
      </c>
      <c r="R169" s="17">
        <f>IFERROR(tblSales[[#This Row],[NetSalesTRY]]/tblSales[[#This Row],[TargetTRY]],0)</f>
        <v>0.99424586504402568</v>
      </c>
      <c r="S169" s="6">
        <f>tblSales[[#This Row],[NetSalesTRY]]-tblSales[[#This Row],[TargetTRY]]</f>
        <v>-538.24000000000524</v>
      </c>
      <c r="T169" s="6">
        <f>MAX(tblSales[[#This Row],[TargetTRY]]-tblSales[[#This Row],[NetSalesTRY]],0)</f>
        <v>538.24000000000524</v>
      </c>
    </row>
    <row r="170" spans="1:20">
      <c r="A170" t="s">
        <v>558</v>
      </c>
      <c r="B170" s="15">
        <v>45383</v>
      </c>
      <c r="C170" t="s">
        <v>23</v>
      </c>
      <c r="D170" t="s">
        <v>24</v>
      </c>
      <c r="E170" t="s">
        <v>52</v>
      </c>
      <c r="F170" t="s">
        <v>50</v>
      </c>
      <c r="G170" t="s">
        <v>5</v>
      </c>
      <c r="H170" s="8">
        <v>123</v>
      </c>
      <c r="I170" s="9">
        <v>120562.68</v>
      </c>
      <c r="J170" s="9">
        <v>6189.62</v>
      </c>
      <c r="K170" s="9">
        <v>1448.05</v>
      </c>
      <c r="L170" s="9">
        <v>112925.01</v>
      </c>
      <c r="M170" s="9">
        <v>108717.36</v>
      </c>
      <c r="N170" s="6" t="str">
        <f>_xlfn.XLOOKUP(tblSales[[#This Row],[ProductID]],tblProducts[ProductID],tblProducts[ProductName],"Not Found")</f>
        <v>Cardiovan</v>
      </c>
      <c r="O170" s="8">
        <f>YEAR(tblSales[[#This Row],[Month]])</f>
        <v>2024</v>
      </c>
      <c r="P170" s="8">
        <f>MONTH(tblSales[[#This Row],[Month]])</f>
        <v>4</v>
      </c>
      <c r="Q170" s="6">
        <f>IFERROR(tblSales[[#This Row],[NetSalesTRY]]/tblSales[[#This Row],[Units]],0)</f>
        <v>918.08951219512187</v>
      </c>
      <c r="R170" s="17">
        <f>IFERROR(tblSales[[#This Row],[NetSalesTRY]]/tblSales[[#This Row],[TargetTRY]],0)</f>
        <v>1.03870265061624</v>
      </c>
      <c r="S170" s="6">
        <f>tblSales[[#This Row],[NetSalesTRY]]-tblSales[[#This Row],[TargetTRY]]</f>
        <v>4207.6499999999942</v>
      </c>
      <c r="T170" s="6">
        <f>MAX(tblSales[[#This Row],[TargetTRY]]-tblSales[[#This Row],[NetSalesTRY]],0)</f>
        <v>0</v>
      </c>
    </row>
    <row r="171" spans="1:20">
      <c r="A171" t="s">
        <v>559</v>
      </c>
      <c r="B171" s="15">
        <v>45383</v>
      </c>
      <c r="C171" t="s">
        <v>23</v>
      </c>
      <c r="D171" t="s">
        <v>24</v>
      </c>
      <c r="E171" t="s">
        <v>52</v>
      </c>
      <c r="F171" t="s">
        <v>50</v>
      </c>
      <c r="G171" t="s">
        <v>8</v>
      </c>
      <c r="H171" s="8">
        <v>143</v>
      </c>
      <c r="I171" s="9">
        <v>107527.98</v>
      </c>
      <c r="J171" s="9">
        <v>5439.34</v>
      </c>
      <c r="K171" s="9">
        <v>1203.24</v>
      </c>
      <c r="L171" s="9">
        <v>100885.4</v>
      </c>
      <c r="M171" s="9">
        <v>101693.2</v>
      </c>
      <c r="N171" s="6" t="str">
        <f>_xlfn.XLOOKUP(tblSales[[#This Row],[ProductID]],tblProducts[ProductID],tblProducts[ProductName],"Not Found")</f>
        <v>GlucoRelief</v>
      </c>
      <c r="O171" s="8">
        <f>YEAR(tblSales[[#This Row],[Month]])</f>
        <v>2024</v>
      </c>
      <c r="P171" s="8">
        <f>MONTH(tblSales[[#This Row],[Month]])</f>
        <v>4</v>
      </c>
      <c r="Q171" s="6">
        <f>IFERROR(tblSales[[#This Row],[NetSalesTRY]]/tblSales[[#This Row],[Units]],0)</f>
        <v>705.49230769230769</v>
      </c>
      <c r="R171" s="17">
        <f>IFERROR(tblSales[[#This Row],[NetSalesTRY]]/tblSales[[#This Row],[TargetTRY]],0)</f>
        <v>0.9920564993529557</v>
      </c>
      <c r="S171" s="6">
        <f>tblSales[[#This Row],[NetSalesTRY]]-tblSales[[#This Row],[TargetTRY]]</f>
        <v>-807.80000000000291</v>
      </c>
      <c r="T171" s="6">
        <f>MAX(tblSales[[#This Row],[TargetTRY]]-tblSales[[#This Row],[NetSalesTRY]],0)</f>
        <v>807.80000000000291</v>
      </c>
    </row>
    <row r="172" spans="1:20">
      <c r="A172" t="s">
        <v>560</v>
      </c>
      <c r="B172" s="15">
        <v>45383</v>
      </c>
      <c r="C172" t="s">
        <v>23</v>
      </c>
      <c r="D172" t="s">
        <v>24</v>
      </c>
      <c r="E172" t="s">
        <v>52</v>
      </c>
      <c r="F172" t="s">
        <v>50</v>
      </c>
      <c r="G172" t="s">
        <v>11</v>
      </c>
      <c r="H172" s="8">
        <v>174</v>
      </c>
      <c r="I172" s="9">
        <v>106766.22</v>
      </c>
      <c r="J172" s="9">
        <v>3800.16</v>
      </c>
      <c r="K172" s="9">
        <v>1293.52</v>
      </c>
      <c r="L172" s="9">
        <v>101672.54</v>
      </c>
      <c r="M172" s="9">
        <v>99974.19</v>
      </c>
      <c r="N172" s="6" t="str">
        <f>_xlfn.XLOOKUP(tblSales[[#This Row],[ProductID]],tblProducts[ProductID],tblProducts[ProductName],"Not Found")</f>
        <v>RespiraX</v>
      </c>
      <c r="O172" s="8">
        <f>YEAR(tblSales[[#This Row],[Month]])</f>
        <v>2024</v>
      </c>
      <c r="P172" s="8">
        <f>MONTH(tblSales[[#This Row],[Month]])</f>
        <v>4</v>
      </c>
      <c r="Q172" s="6">
        <f>IFERROR(tblSales[[#This Row],[NetSalesTRY]]/tblSales[[#This Row],[Units]],0)</f>
        <v>584.32494252873562</v>
      </c>
      <c r="R172" s="17">
        <f>IFERROR(tblSales[[#This Row],[NetSalesTRY]]/tblSales[[#This Row],[TargetTRY]],0)</f>
        <v>1.0169878845730083</v>
      </c>
      <c r="S172" s="6">
        <f>tblSales[[#This Row],[NetSalesTRY]]-tblSales[[#This Row],[TargetTRY]]</f>
        <v>1698.3499999999913</v>
      </c>
      <c r="T172" s="6">
        <f>MAX(tblSales[[#This Row],[TargetTRY]]-tblSales[[#This Row],[NetSalesTRY]],0)</f>
        <v>0</v>
      </c>
    </row>
    <row r="173" spans="1:20">
      <c r="A173" t="s">
        <v>561</v>
      </c>
      <c r="B173" s="15">
        <v>45383</v>
      </c>
      <c r="C173" t="s">
        <v>23</v>
      </c>
      <c r="D173" t="s">
        <v>24</v>
      </c>
      <c r="E173" t="s">
        <v>52</v>
      </c>
      <c r="F173" t="s">
        <v>50</v>
      </c>
      <c r="G173" t="s">
        <v>14</v>
      </c>
      <c r="H173" s="8">
        <v>88</v>
      </c>
      <c r="I173" s="9">
        <v>98230.18</v>
      </c>
      <c r="J173" s="9">
        <v>3586.42</v>
      </c>
      <c r="K173" s="9">
        <v>472.01</v>
      </c>
      <c r="L173" s="9">
        <v>94171.75</v>
      </c>
      <c r="M173" s="9">
        <v>94872.7</v>
      </c>
      <c r="N173" s="6" t="str">
        <f>_xlfn.XLOOKUP(tblSales[[#This Row],[ProductID]],tblProducts[ProductID],tblProducts[ProductName],"Not Found")</f>
        <v>NeuroCalm</v>
      </c>
      <c r="O173" s="8">
        <f>YEAR(tblSales[[#This Row],[Month]])</f>
        <v>2024</v>
      </c>
      <c r="P173" s="8">
        <f>MONTH(tblSales[[#This Row],[Month]])</f>
        <v>4</v>
      </c>
      <c r="Q173" s="6">
        <f>IFERROR(tblSales[[#This Row],[NetSalesTRY]]/tblSales[[#This Row],[Units]],0)</f>
        <v>1070.1335227272727</v>
      </c>
      <c r="R173" s="17">
        <f>IFERROR(tblSales[[#This Row],[NetSalesTRY]]/tblSales[[#This Row],[TargetTRY]],0)</f>
        <v>0.99261167859668797</v>
      </c>
      <c r="S173" s="6">
        <f>tblSales[[#This Row],[NetSalesTRY]]-tblSales[[#This Row],[TargetTRY]]</f>
        <v>-700.94999999999709</v>
      </c>
      <c r="T173" s="6">
        <f>MAX(tblSales[[#This Row],[TargetTRY]]-tblSales[[#This Row],[NetSalesTRY]],0)</f>
        <v>700.94999999999709</v>
      </c>
    </row>
    <row r="174" spans="1:20">
      <c r="A174" t="s">
        <v>562</v>
      </c>
      <c r="B174" s="15">
        <v>45383</v>
      </c>
      <c r="C174" t="s">
        <v>23</v>
      </c>
      <c r="D174" t="s">
        <v>24</v>
      </c>
      <c r="E174" t="s">
        <v>55</v>
      </c>
      <c r="F174" t="s">
        <v>53</v>
      </c>
      <c r="G174" t="s">
        <v>5</v>
      </c>
      <c r="H174" s="8">
        <v>114</v>
      </c>
      <c r="I174" s="9">
        <v>110895.11</v>
      </c>
      <c r="J174" s="9">
        <v>4342.3999999999996</v>
      </c>
      <c r="K174" s="9">
        <v>854.69</v>
      </c>
      <c r="L174" s="9">
        <v>105698.03</v>
      </c>
      <c r="M174" s="9">
        <v>111022.17</v>
      </c>
      <c r="N174" s="6" t="str">
        <f>_xlfn.XLOOKUP(tblSales[[#This Row],[ProductID]],tblProducts[ProductID],tblProducts[ProductName],"Not Found")</f>
        <v>Cardiovan</v>
      </c>
      <c r="O174" s="8">
        <f>YEAR(tblSales[[#This Row],[Month]])</f>
        <v>2024</v>
      </c>
      <c r="P174" s="8">
        <f>MONTH(tblSales[[#This Row],[Month]])</f>
        <v>4</v>
      </c>
      <c r="Q174" s="6">
        <f>IFERROR(tblSales[[#This Row],[NetSalesTRY]]/tblSales[[#This Row],[Units]],0)</f>
        <v>927.17570175438595</v>
      </c>
      <c r="R174" s="17">
        <f>IFERROR(tblSales[[#This Row],[NetSalesTRY]]/tblSales[[#This Row],[TargetTRY]],0)</f>
        <v>0.95204435294320044</v>
      </c>
      <c r="S174" s="6">
        <f>tblSales[[#This Row],[NetSalesTRY]]-tblSales[[#This Row],[TargetTRY]]</f>
        <v>-5324.1399999999994</v>
      </c>
      <c r="T174" s="6">
        <f>MAX(tblSales[[#This Row],[TargetTRY]]-tblSales[[#This Row],[NetSalesTRY]],0)</f>
        <v>5324.1399999999994</v>
      </c>
    </row>
    <row r="175" spans="1:20">
      <c r="A175" t="s">
        <v>563</v>
      </c>
      <c r="B175" s="15">
        <v>45383</v>
      </c>
      <c r="C175" t="s">
        <v>23</v>
      </c>
      <c r="D175" t="s">
        <v>24</v>
      </c>
      <c r="E175" t="s">
        <v>55</v>
      </c>
      <c r="F175" t="s">
        <v>53</v>
      </c>
      <c r="G175" t="s">
        <v>8</v>
      </c>
      <c r="H175" s="8">
        <v>150</v>
      </c>
      <c r="I175" s="9">
        <v>114128.79</v>
      </c>
      <c r="J175" s="9">
        <v>5094.59</v>
      </c>
      <c r="K175" s="9">
        <v>1192.67</v>
      </c>
      <c r="L175" s="9">
        <v>107841.53</v>
      </c>
      <c r="M175" s="9">
        <v>103526.55</v>
      </c>
      <c r="N175" s="6" t="str">
        <f>_xlfn.XLOOKUP(tblSales[[#This Row],[ProductID]],tblProducts[ProductID],tblProducts[ProductName],"Not Found")</f>
        <v>GlucoRelief</v>
      </c>
      <c r="O175" s="8">
        <f>YEAR(tblSales[[#This Row],[Month]])</f>
        <v>2024</v>
      </c>
      <c r="P175" s="8">
        <f>MONTH(tblSales[[#This Row],[Month]])</f>
        <v>4</v>
      </c>
      <c r="Q175" s="6">
        <f>IFERROR(tblSales[[#This Row],[NetSalesTRY]]/tblSales[[#This Row],[Units]],0)</f>
        <v>718.94353333333333</v>
      </c>
      <c r="R175" s="17">
        <f>IFERROR(tblSales[[#This Row],[NetSalesTRY]]/tblSales[[#This Row],[TargetTRY]],0)</f>
        <v>1.0416799362096003</v>
      </c>
      <c r="S175" s="6">
        <f>tblSales[[#This Row],[NetSalesTRY]]-tblSales[[#This Row],[TargetTRY]]</f>
        <v>4314.9799999999959</v>
      </c>
      <c r="T175" s="6">
        <f>MAX(tblSales[[#This Row],[TargetTRY]]-tblSales[[#This Row],[NetSalesTRY]],0)</f>
        <v>0</v>
      </c>
    </row>
    <row r="176" spans="1:20">
      <c r="A176" t="s">
        <v>564</v>
      </c>
      <c r="B176" s="15">
        <v>45383</v>
      </c>
      <c r="C176" t="s">
        <v>23</v>
      </c>
      <c r="D176" t="s">
        <v>24</v>
      </c>
      <c r="E176" t="s">
        <v>55</v>
      </c>
      <c r="F176" t="s">
        <v>53</v>
      </c>
      <c r="G176" t="s">
        <v>11</v>
      </c>
      <c r="H176" s="8">
        <v>169</v>
      </c>
      <c r="I176" s="9">
        <v>104616.73</v>
      </c>
      <c r="J176" s="9">
        <v>6991.9</v>
      </c>
      <c r="K176" s="9">
        <v>1172.43</v>
      </c>
      <c r="L176" s="9">
        <v>96452.4</v>
      </c>
      <c r="M176" s="9">
        <v>100946.41</v>
      </c>
      <c r="N176" s="6" t="str">
        <f>_xlfn.XLOOKUP(tblSales[[#This Row],[ProductID]],tblProducts[ProductID],tblProducts[ProductName],"Not Found")</f>
        <v>RespiraX</v>
      </c>
      <c r="O176" s="8">
        <f>YEAR(tblSales[[#This Row],[Month]])</f>
        <v>2024</v>
      </c>
      <c r="P176" s="8">
        <f>MONTH(tblSales[[#This Row],[Month]])</f>
        <v>4</v>
      </c>
      <c r="Q176" s="6">
        <f>IFERROR(tblSales[[#This Row],[NetSalesTRY]]/tblSales[[#This Row],[Units]],0)</f>
        <v>570.72426035502951</v>
      </c>
      <c r="R176" s="17">
        <f>IFERROR(tblSales[[#This Row],[NetSalesTRY]]/tblSales[[#This Row],[TargetTRY]],0)</f>
        <v>0.95548123009030228</v>
      </c>
      <c r="S176" s="6">
        <f>tblSales[[#This Row],[NetSalesTRY]]-tblSales[[#This Row],[TargetTRY]]</f>
        <v>-4494.0100000000093</v>
      </c>
      <c r="T176" s="6">
        <f>MAX(tblSales[[#This Row],[TargetTRY]]-tblSales[[#This Row],[NetSalesTRY]],0)</f>
        <v>4494.0100000000093</v>
      </c>
    </row>
    <row r="177" spans="1:20">
      <c r="A177" t="s">
        <v>565</v>
      </c>
      <c r="B177" s="15">
        <v>45383</v>
      </c>
      <c r="C177" t="s">
        <v>23</v>
      </c>
      <c r="D177" t="s">
        <v>24</v>
      </c>
      <c r="E177" t="s">
        <v>55</v>
      </c>
      <c r="F177" t="s">
        <v>53</v>
      </c>
      <c r="G177" t="s">
        <v>14</v>
      </c>
      <c r="H177" s="8">
        <v>94</v>
      </c>
      <c r="I177" s="9">
        <v>103505.22</v>
      </c>
      <c r="J177" s="9">
        <v>5111.6499999999996</v>
      </c>
      <c r="K177" s="9">
        <v>1011.7</v>
      </c>
      <c r="L177" s="9">
        <v>97381.87</v>
      </c>
      <c r="M177" s="9">
        <v>93981.89</v>
      </c>
      <c r="N177" s="6" t="str">
        <f>_xlfn.XLOOKUP(tblSales[[#This Row],[ProductID]],tblProducts[ProductID],tblProducts[ProductName],"Not Found")</f>
        <v>NeuroCalm</v>
      </c>
      <c r="O177" s="8">
        <f>YEAR(tblSales[[#This Row],[Month]])</f>
        <v>2024</v>
      </c>
      <c r="P177" s="8">
        <f>MONTH(tblSales[[#This Row],[Month]])</f>
        <v>4</v>
      </c>
      <c r="Q177" s="6">
        <f>IFERROR(tblSales[[#This Row],[NetSalesTRY]]/tblSales[[#This Row],[Units]],0)</f>
        <v>1035.9773404255318</v>
      </c>
      <c r="R177" s="17">
        <f>IFERROR(tblSales[[#This Row],[NetSalesTRY]]/tblSales[[#This Row],[TargetTRY]],0)</f>
        <v>1.0361769698396148</v>
      </c>
      <c r="S177" s="6">
        <f>tblSales[[#This Row],[NetSalesTRY]]-tblSales[[#This Row],[TargetTRY]]</f>
        <v>3399.9799999999959</v>
      </c>
      <c r="T177" s="6">
        <f>MAX(tblSales[[#This Row],[TargetTRY]]-tblSales[[#This Row],[NetSalesTRY]],0)</f>
        <v>0</v>
      </c>
    </row>
    <row r="178" spans="1:20">
      <c r="A178" t="s">
        <v>566</v>
      </c>
      <c r="B178" s="15">
        <v>45383</v>
      </c>
      <c r="C178" t="s">
        <v>23</v>
      </c>
      <c r="D178" t="s">
        <v>24</v>
      </c>
      <c r="E178" t="s">
        <v>58</v>
      </c>
      <c r="F178" t="s">
        <v>56</v>
      </c>
      <c r="G178" t="s">
        <v>5</v>
      </c>
      <c r="H178" s="8">
        <v>116</v>
      </c>
      <c r="I178" s="9">
        <v>112342.25</v>
      </c>
      <c r="J178" s="9">
        <v>7389.97</v>
      </c>
      <c r="K178" s="9">
        <v>1319.66</v>
      </c>
      <c r="L178" s="9">
        <v>103632.62</v>
      </c>
      <c r="M178" s="9">
        <v>113564.12</v>
      </c>
      <c r="N178" s="6" t="str">
        <f>_xlfn.XLOOKUP(tblSales[[#This Row],[ProductID]],tblProducts[ProductID],tblProducts[ProductName],"Not Found")</f>
        <v>Cardiovan</v>
      </c>
      <c r="O178" s="8">
        <f>YEAR(tblSales[[#This Row],[Month]])</f>
        <v>2024</v>
      </c>
      <c r="P178" s="8">
        <f>MONTH(tblSales[[#This Row],[Month]])</f>
        <v>4</v>
      </c>
      <c r="Q178" s="6">
        <f>IFERROR(tblSales[[#This Row],[NetSalesTRY]]/tblSales[[#This Row],[Units]],0)</f>
        <v>893.38465517241377</v>
      </c>
      <c r="R178" s="17">
        <f>IFERROR(tblSales[[#This Row],[NetSalesTRY]]/tblSales[[#This Row],[TargetTRY]],0)</f>
        <v>0.91254720240864806</v>
      </c>
      <c r="S178" s="6">
        <f>tblSales[[#This Row],[NetSalesTRY]]-tblSales[[#This Row],[TargetTRY]]</f>
        <v>-9931.5</v>
      </c>
      <c r="T178" s="6">
        <f>MAX(tblSales[[#This Row],[TargetTRY]]-tblSales[[#This Row],[NetSalesTRY]],0)</f>
        <v>9931.5</v>
      </c>
    </row>
    <row r="179" spans="1:20">
      <c r="A179" t="s">
        <v>567</v>
      </c>
      <c r="B179" s="15">
        <v>45383</v>
      </c>
      <c r="C179" t="s">
        <v>23</v>
      </c>
      <c r="D179" t="s">
        <v>24</v>
      </c>
      <c r="E179" t="s">
        <v>58</v>
      </c>
      <c r="F179" t="s">
        <v>56</v>
      </c>
      <c r="G179" t="s">
        <v>8</v>
      </c>
      <c r="H179" s="8">
        <v>155</v>
      </c>
      <c r="I179" s="9">
        <v>116440.34</v>
      </c>
      <c r="J179" s="9">
        <v>5141.1000000000004</v>
      </c>
      <c r="K179" s="9">
        <v>648.25</v>
      </c>
      <c r="L179" s="9">
        <v>110650.99</v>
      </c>
      <c r="M179" s="9">
        <v>106765.58</v>
      </c>
      <c r="N179" s="6" t="str">
        <f>_xlfn.XLOOKUP(tblSales[[#This Row],[ProductID]],tblProducts[ProductID],tblProducts[ProductName],"Not Found")</f>
        <v>GlucoRelief</v>
      </c>
      <c r="O179" s="8">
        <f>YEAR(tblSales[[#This Row],[Month]])</f>
        <v>2024</v>
      </c>
      <c r="P179" s="8">
        <f>MONTH(tblSales[[#This Row],[Month]])</f>
        <v>4</v>
      </c>
      <c r="Q179" s="6">
        <f>IFERROR(tblSales[[#This Row],[NetSalesTRY]]/tblSales[[#This Row],[Units]],0)</f>
        <v>713.87735483870972</v>
      </c>
      <c r="R179" s="17">
        <f>IFERROR(tblSales[[#This Row],[NetSalesTRY]]/tblSales[[#This Row],[TargetTRY]],0)</f>
        <v>1.0363919720194468</v>
      </c>
      <c r="S179" s="6">
        <f>tblSales[[#This Row],[NetSalesTRY]]-tblSales[[#This Row],[TargetTRY]]</f>
        <v>3885.4100000000035</v>
      </c>
      <c r="T179" s="6">
        <f>MAX(tblSales[[#This Row],[TargetTRY]]-tblSales[[#This Row],[NetSalesTRY]],0)</f>
        <v>0</v>
      </c>
    </row>
    <row r="180" spans="1:20">
      <c r="A180" t="s">
        <v>568</v>
      </c>
      <c r="B180" s="15">
        <v>45383</v>
      </c>
      <c r="C180" t="s">
        <v>23</v>
      </c>
      <c r="D180" t="s">
        <v>24</v>
      </c>
      <c r="E180" t="s">
        <v>58</v>
      </c>
      <c r="F180" t="s">
        <v>56</v>
      </c>
      <c r="G180" t="s">
        <v>11</v>
      </c>
      <c r="H180" s="8">
        <v>182</v>
      </c>
      <c r="I180" s="9">
        <v>111552.48</v>
      </c>
      <c r="J180" s="9">
        <v>4311.33</v>
      </c>
      <c r="K180" s="9">
        <v>862.38</v>
      </c>
      <c r="L180" s="9">
        <v>106378.77</v>
      </c>
      <c r="M180" s="9">
        <v>103076.89</v>
      </c>
      <c r="N180" s="6" t="str">
        <f>_xlfn.XLOOKUP(tblSales[[#This Row],[ProductID]],tblProducts[ProductID],tblProducts[ProductName],"Not Found")</f>
        <v>RespiraX</v>
      </c>
      <c r="O180" s="8">
        <f>YEAR(tblSales[[#This Row],[Month]])</f>
        <v>2024</v>
      </c>
      <c r="P180" s="8">
        <f>MONTH(tblSales[[#This Row],[Month]])</f>
        <v>4</v>
      </c>
      <c r="Q180" s="6">
        <f>IFERROR(tblSales[[#This Row],[NetSalesTRY]]/tblSales[[#This Row],[Units]],0)</f>
        <v>584.4987362637363</v>
      </c>
      <c r="R180" s="17">
        <f>IFERROR(tblSales[[#This Row],[NetSalesTRY]]/tblSales[[#This Row],[TargetTRY]],0)</f>
        <v>1.0320331744584068</v>
      </c>
      <c r="S180" s="6">
        <f>tblSales[[#This Row],[NetSalesTRY]]-tblSales[[#This Row],[TargetTRY]]</f>
        <v>3301.8800000000047</v>
      </c>
      <c r="T180" s="6">
        <f>MAX(tblSales[[#This Row],[TargetTRY]]-tblSales[[#This Row],[NetSalesTRY]],0)</f>
        <v>0</v>
      </c>
    </row>
    <row r="181" spans="1:20">
      <c r="A181" t="s">
        <v>569</v>
      </c>
      <c r="B181" s="15">
        <v>45383</v>
      </c>
      <c r="C181" t="s">
        <v>23</v>
      </c>
      <c r="D181" t="s">
        <v>24</v>
      </c>
      <c r="E181" t="s">
        <v>58</v>
      </c>
      <c r="F181" t="s">
        <v>56</v>
      </c>
      <c r="G181" t="s">
        <v>14</v>
      </c>
      <c r="H181" s="8">
        <v>92</v>
      </c>
      <c r="I181" s="9">
        <v>99727.94</v>
      </c>
      <c r="J181" s="9">
        <v>6619.01</v>
      </c>
      <c r="K181" s="9">
        <v>738.55</v>
      </c>
      <c r="L181" s="9">
        <v>92370.38</v>
      </c>
      <c r="M181" s="9">
        <v>97235.13</v>
      </c>
      <c r="N181" s="6" t="str">
        <f>_xlfn.XLOOKUP(tblSales[[#This Row],[ProductID]],tblProducts[ProductID],tblProducts[ProductName],"Not Found")</f>
        <v>NeuroCalm</v>
      </c>
      <c r="O181" s="8">
        <f>YEAR(tblSales[[#This Row],[Month]])</f>
        <v>2024</v>
      </c>
      <c r="P181" s="8">
        <f>MONTH(tblSales[[#This Row],[Month]])</f>
        <v>4</v>
      </c>
      <c r="Q181" s="6">
        <f>IFERROR(tblSales[[#This Row],[NetSalesTRY]]/tblSales[[#This Row],[Units]],0)</f>
        <v>1004.0258695652175</v>
      </c>
      <c r="R181" s="17">
        <f>IFERROR(tblSales[[#This Row],[NetSalesTRY]]/tblSales[[#This Row],[TargetTRY]],0)</f>
        <v>0.94996921380163735</v>
      </c>
      <c r="S181" s="6">
        <f>tblSales[[#This Row],[NetSalesTRY]]-tblSales[[#This Row],[TargetTRY]]</f>
        <v>-4864.75</v>
      </c>
      <c r="T181" s="6">
        <f>MAX(tblSales[[#This Row],[TargetTRY]]-tblSales[[#This Row],[NetSalesTRY]],0)</f>
        <v>4864.75</v>
      </c>
    </row>
    <row r="182" spans="1:20">
      <c r="A182" t="s">
        <v>570</v>
      </c>
      <c r="B182" s="15">
        <v>45383</v>
      </c>
      <c r="C182" t="s">
        <v>25</v>
      </c>
      <c r="D182" t="s">
        <v>26</v>
      </c>
      <c r="E182" t="s">
        <v>61</v>
      </c>
      <c r="F182" t="s">
        <v>59</v>
      </c>
      <c r="G182" t="s">
        <v>5</v>
      </c>
      <c r="H182" s="8">
        <v>99</v>
      </c>
      <c r="I182" s="9">
        <v>96528.97</v>
      </c>
      <c r="J182" s="9">
        <v>7224.68</v>
      </c>
      <c r="K182" s="9">
        <v>1007.34</v>
      </c>
      <c r="L182" s="9">
        <v>88296.960000000006</v>
      </c>
      <c r="M182" s="9">
        <v>87806.54</v>
      </c>
      <c r="N182" s="6" t="str">
        <f>_xlfn.XLOOKUP(tblSales[[#This Row],[ProductID]],tblProducts[ProductID],tblProducts[ProductName],"Not Found")</f>
        <v>Cardiovan</v>
      </c>
      <c r="O182" s="8">
        <f>YEAR(tblSales[[#This Row],[Month]])</f>
        <v>2024</v>
      </c>
      <c r="P182" s="8">
        <f>MONTH(tblSales[[#This Row],[Month]])</f>
        <v>4</v>
      </c>
      <c r="Q182" s="6">
        <f>IFERROR(tblSales[[#This Row],[NetSalesTRY]]/tblSales[[#This Row],[Units]],0)</f>
        <v>891.88848484848495</v>
      </c>
      <c r="R182" s="17">
        <f>IFERROR(tblSales[[#This Row],[NetSalesTRY]]/tblSales[[#This Row],[TargetTRY]],0)</f>
        <v>1.0055852331728368</v>
      </c>
      <c r="S182" s="6">
        <f>tblSales[[#This Row],[NetSalesTRY]]-tblSales[[#This Row],[TargetTRY]]</f>
        <v>490.42000000001281</v>
      </c>
      <c r="T182" s="6">
        <f>MAX(tblSales[[#This Row],[TargetTRY]]-tblSales[[#This Row],[NetSalesTRY]],0)</f>
        <v>0</v>
      </c>
    </row>
    <row r="183" spans="1:20">
      <c r="A183" t="s">
        <v>571</v>
      </c>
      <c r="B183" s="15">
        <v>45383</v>
      </c>
      <c r="C183" t="s">
        <v>25</v>
      </c>
      <c r="D183" t="s">
        <v>26</v>
      </c>
      <c r="E183" t="s">
        <v>61</v>
      </c>
      <c r="F183" t="s">
        <v>59</v>
      </c>
      <c r="G183" t="s">
        <v>8</v>
      </c>
      <c r="H183" s="8">
        <v>114</v>
      </c>
      <c r="I183" s="9">
        <v>87225.32</v>
      </c>
      <c r="J183" s="9">
        <v>3699.18</v>
      </c>
      <c r="K183" s="9">
        <v>705.5</v>
      </c>
      <c r="L183" s="9">
        <v>82820.639999999999</v>
      </c>
      <c r="M183" s="9">
        <v>82261.94</v>
      </c>
      <c r="N183" s="6" t="str">
        <f>_xlfn.XLOOKUP(tblSales[[#This Row],[ProductID]],tblProducts[ProductID],tblProducts[ProductName],"Not Found")</f>
        <v>GlucoRelief</v>
      </c>
      <c r="O183" s="8">
        <f>YEAR(tblSales[[#This Row],[Month]])</f>
        <v>2024</v>
      </c>
      <c r="P183" s="8">
        <f>MONTH(tblSales[[#This Row],[Month]])</f>
        <v>4</v>
      </c>
      <c r="Q183" s="6">
        <f>IFERROR(tblSales[[#This Row],[NetSalesTRY]]/tblSales[[#This Row],[Units]],0)</f>
        <v>726.49684210526311</v>
      </c>
      <c r="R183" s="17">
        <f>IFERROR(tblSales[[#This Row],[NetSalesTRY]]/tblSales[[#This Row],[TargetTRY]],0)</f>
        <v>1.0067917192324907</v>
      </c>
      <c r="S183" s="6">
        <f>tblSales[[#This Row],[NetSalesTRY]]-tblSales[[#This Row],[TargetTRY]]</f>
        <v>558.69999999999709</v>
      </c>
      <c r="T183" s="6">
        <f>MAX(tblSales[[#This Row],[TargetTRY]]-tblSales[[#This Row],[NetSalesTRY]],0)</f>
        <v>0</v>
      </c>
    </row>
    <row r="184" spans="1:20">
      <c r="A184" t="s">
        <v>572</v>
      </c>
      <c r="B184" s="15">
        <v>45383</v>
      </c>
      <c r="C184" t="s">
        <v>25</v>
      </c>
      <c r="D184" t="s">
        <v>26</v>
      </c>
      <c r="E184" t="s">
        <v>61</v>
      </c>
      <c r="F184" t="s">
        <v>59</v>
      </c>
      <c r="G184" t="s">
        <v>11</v>
      </c>
      <c r="H184" s="8">
        <v>140</v>
      </c>
      <c r="I184" s="9">
        <v>85923.54</v>
      </c>
      <c r="J184" s="9">
        <v>4836.5</v>
      </c>
      <c r="K184" s="9">
        <v>951.55</v>
      </c>
      <c r="L184" s="9">
        <v>80135.5</v>
      </c>
      <c r="M184" s="9">
        <v>81735.570000000007</v>
      </c>
      <c r="N184" s="6" t="str">
        <f>_xlfn.XLOOKUP(tblSales[[#This Row],[ProductID]],tblProducts[ProductID],tblProducts[ProductName],"Not Found")</f>
        <v>RespiraX</v>
      </c>
      <c r="O184" s="8">
        <f>YEAR(tblSales[[#This Row],[Month]])</f>
        <v>2024</v>
      </c>
      <c r="P184" s="8">
        <f>MONTH(tblSales[[#This Row],[Month]])</f>
        <v>4</v>
      </c>
      <c r="Q184" s="6">
        <f>IFERROR(tblSales[[#This Row],[NetSalesTRY]]/tblSales[[#This Row],[Units]],0)</f>
        <v>572.3964285714286</v>
      </c>
      <c r="R184" s="17">
        <f>IFERROR(tblSales[[#This Row],[NetSalesTRY]]/tblSales[[#This Row],[TargetTRY]],0)</f>
        <v>0.98042382282279295</v>
      </c>
      <c r="S184" s="6">
        <f>tblSales[[#This Row],[NetSalesTRY]]-tblSales[[#This Row],[TargetTRY]]</f>
        <v>-1600.070000000007</v>
      </c>
      <c r="T184" s="6">
        <f>MAX(tblSales[[#This Row],[TargetTRY]]-tblSales[[#This Row],[NetSalesTRY]],0)</f>
        <v>1600.070000000007</v>
      </c>
    </row>
    <row r="185" spans="1:20">
      <c r="A185" t="s">
        <v>573</v>
      </c>
      <c r="B185" s="15">
        <v>45383</v>
      </c>
      <c r="C185" t="s">
        <v>25</v>
      </c>
      <c r="D185" t="s">
        <v>26</v>
      </c>
      <c r="E185" t="s">
        <v>61</v>
      </c>
      <c r="F185" t="s">
        <v>59</v>
      </c>
      <c r="G185" t="s">
        <v>14</v>
      </c>
      <c r="H185" s="8">
        <v>77</v>
      </c>
      <c r="I185" s="9">
        <v>85884.14</v>
      </c>
      <c r="J185" s="9">
        <v>4468.42</v>
      </c>
      <c r="K185" s="9">
        <v>1183.5899999999999</v>
      </c>
      <c r="L185" s="9">
        <v>80232.13</v>
      </c>
      <c r="M185" s="9">
        <v>75354.89</v>
      </c>
      <c r="N185" s="6" t="str">
        <f>_xlfn.XLOOKUP(tblSales[[#This Row],[ProductID]],tblProducts[ProductID],tblProducts[ProductName],"Not Found")</f>
        <v>NeuroCalm</v>
      </c>
      <c r="O185" s="8">
        <f>YEAR(tblSales[[#This Row],[Month]])</f>
        <v>2024</v>
      </c>
      <c r="P185" s="8">
        <f>MONTH(tblSales[[#This Row],[Month]])</f>
        <v>4</v>
      </c>
      <c r="Q185" s="6">
        <f>IFERROR(tblSales[[#This Row],[NetSalesTRY]]/tblSales[[#This Row],[Units]],0)</f>
        <v>1041.9757142857143</v>
      </c>
      <c r="R185" s="17">
        <f>IFERROR(tblSales[[#This Row],[NetSalesTRY]]/tblSales[[#This Row],[TargetTRY]],0)</f>
        <v>1.0647236032061091</v>
      </c>
      <c r="S185" s="6">
        <f>tblSales[[#This Row],[NetSalesTRY]]-tblSales[[#This Row],[TargetTRY]]</f>
        <v>4877.2400000000052</v>
      </c>
      <c r="T185" s="6">
        <f>MAX(tblSales[[#This Row],[TargetTRY]]-tblSales[[#This Row],[NetSalesTRY]],0)</f>
        <v>0</v>
      </c>
    </row>
    <row r="186" spans="1:20">
      <c r="A186" t="s">
        <v>574</v>
      </c>
      <c r="B186" s="15">
        <v>45383</v>
      </c>
      <c r="C186" t="s">
        <v>25</v>
      </c>
      <c r="D186" t="s">
        <v>26</v>
      </c>
      <c r="E186" t="s">
        <v>64</v>
      </c>
      <c r="F186" t="s">
        <v>62</v>
      </c>
      <c r="G186" t="s">
        <v>5</v>
      </c>
      <c r="H186" s="8">
        <v>100</v>
      </c>
      <c r="I186" s="9">
        <v>98274.89</v>
      </c>
      <c r="J186" s="9">
        <v>5660.95</v>
      </c>
      <c r="K186" s="9">
        <v>843.52</v>
      </c>
      <c r="L186" s="9">
        <v>91770.42</v>
      </c>
      <c r="M186" s="9">
        <v>88925.13</v>
      </c>
      <c r="N186" s="6" t="str">
        <f>_xlfn.XLOOKUP(tblSales[[#This Row],[ProductID]],tblProducts[ProductID],tblProducts[ProductName],"Not Found")</f>
        <v>Cardiovan</v>
      </c>
      <c r="O186" s="8">
        <f>YEAR(tblSales[[#This Row],[Month]])</f>
        <v>2024</v>
      </c>
      <c r="P186" s="8">
        <f>MONTH(tblSales[[#This Row],[Month]])</f>
        <v>4</v>
      </c>
      <c r="Q186" s="6">
        <f>IFERROR(tblSales[[#This Row],[NetSalesTRY]]/tblSales[[#This Row],[Units]],0)</f>
        <v>917.70420000000001</v>
      </c>
      <c r="R186" s="17">
        <f>IFERROR(tblSales[[#This Row],[NetSalesTRY]]/tblSales[[#This Row],[TargetTRY]],0)</f>
        <v>1.0319964671403909</v>
      </c>
      <c r="S186" s="6">
        <f>tblSales[[#This Row],[NetSalesTRY]]-tblSales[[#This Row],[TargetTRY]]</f>
        <v>2845.2899999999936</v>
      </c>
      <c r="T186" s="6">
        <f>MAX(tblSales[[#This Row],[TargetTRY]]-tblSales[[#This Row],[NetSalesTRY]],0)</f>
        <v>0</v>
      </c>
    </row>
    <row r="187" spans="1:20">
      <c r="A187" t="s">
        <v>575</v>
      </c>
      <c r="B187" s="15">
        <v>45383</v>
      </c>
      <c r="C187" t="s">
        <v>25</v>
      </c>
      <c r="D187" t="s">
        <v>26</v>
      </c>
      <c r="E187" t="s">
        <v>64</v>
      </c>
      <c r="F187" t="s">
        <v>62</v>
      </c>
      <c r="G187" t="s">
        <v>8</v>
      </c>
      <c r="H187" s="8">
        <v>112</v>
      </c>
      <c r="I187" s="9">
        <v>84102.18</v>
      </c>
      <c r="J187" s="9">
        <v>4460.26</v>
      </c>
      <c r="K187" s="9">
        <v>1117.95</v>
      </c>
      <c r="L187" s="9">
        <v>78523.97</v>
      </c>
      <c r="M187" s="9">
        <v>82463.45</v>
      </c>
      <c r="N187" s="6" t="str">
        <f>_xlfn.XLOOKUP(tblSales[[#This Row],[ProductID]],tblProducts[ProductID],tblProducts[ProductName],"Not Found")</f>
        <v>GlucoRelief</v>
      </c>
      <c r="O187" s="8">
        <f>YEAR(tblSales[[#This Row],[Month]])</f>
        <v>2024</v>
      </c>
      <c r="P187" s="8">
        <f>MONTH(tblSales[[#This Row],[Month]])</f>
        <v>4</v>
      </c>
      <c r="Q187" s="6">
        <f>IFERROR(tblSales[[#This Row],[NetSalesTRY]]/tblSales[[#This Row],[Units]],0)</f>
        <v>701.10687500000006</v>
      </c>
      <c r="R187" s="17">
        <f>IFERROR(tblSales[[#This Row],[NetSalesTRY]]/tblSales[[#This Row],[TargetTRY]],0)</f>
        <v>0.95222756263532515</v>
      </c>
      <c r="S187" s="6">
        <f>tblSales[[#This Row],[NetSalesTRY]]-tblSales[[#This Row],[TargetTRY]]</f>
        <v>-3939.4799999999959</v>
      </c>
      <c r="T187" s="6">
        <f>MAX(tblSales[[#This Row],[TargetTRY]]-tblSales[[#This Row],[NetSalesTRY]],0)</f>
        <v>3939.4799999999959</v>
      </c>
    </row>
    <row r="188" spans="1:20">
      <c r="A188" t="s">
        <v>576</v>
      </c>
      <c r="B188" s="15">
        <v>45383</v>
      </c>
      <c r="C188" t="s">
        <v>25</v>
      </c>
      <c r="D188" t="s">
        <v>26</v>
      </c>
      <c r="E188" t="s">
        <v>64</v>
      </c>
      <c r="F188" t="s">
        <v>62</v>
      </c>
      <c r="G188" t="s">
        <v>11</v>
      </c>
      <c r="H188" s="8">
        <v>143</v>
      </c>
      <c r="I188" s="9">
        <v>89687.53</v>
      </c>
      <c r="J188" s="9">
        <v>5391.91</v>
      </c>
      <c r="K188" s="9">
        <v>520.32000000000005</v>
      </c>
      <c r="L188" s="9">
        <v>83775.289999999994</v>
      </c>
      <c r="M188" s="9">
        <v>82501.240000000005</v>
      </c>
      <c r="N188" s="6" t="str">
        <f>_xlfn.XLOOKUP(tblSales[[#This Row],[ProductID]],tblProducts[ProductID],tblProducts[ProductName],"Not Found")</f>
        <v>RespiraX</v>
      </c>
      <c r="O188" s="8">
        <f>YEAR(tblSales[[#This Row],[Month]])</f>
        <v>2024</v>
      </c>
      <c r="P188" s="8">
        <f>MONTH(tblSales[[#This Row],[Month]])</f>
        <v>4</v>
      </c>
      <c r="Q188" s="6">
        <f>IFERROR(tblSales[[#This Row],[NetSalesTRY]]/tblSales[[#This Row],[Units]],0)</f>
        <v>585.84118881118877</v>
      </c>
      <c r="R188" s="17">
        <f>IFERROR(tblSales[[#This Row],[NetSalesTRY]]/tblSales[[#This Row],[TargetTRY]],0)</f>
        <v>1.0154427981930936</v>
      </c>
      <c r="S188" s="6">
        <f>tblSales[[#This Row],[NetSalesTRY]]-tblSales[[#This Row],[TargetTRY]]</f>
        <v>1274.0499999999884</v>
      </c>
      <c r="T188" s="6">
        <f>MAX(tblSales[[#This Row],[TargetTRY]]-tblSales[[#This Row],[NetSalesTRY]],0)</f>
        <v>0</v>
      </c>
    </row>
    <row r="189" spans="1:20">
      <c r="A189" t="s">
        <v>577</v>
      </c>
      <c r="B189" s="15">
        <v>45383</v>
      </c>
      <c r="C189" t="s">
        <v>25</v>
      </c>
      <c r="D189" t="s">
        <v>26</v>
      </c>
      <c r="E189" t="s">
        <v>64</v>
      </c>
      <c r="F189" t="s">
        <v>62</v>
      </c>
      <c r="G189" t="s">
        <v>14</v>
      </c>
      <c r="H189" s="8">
        <v>70</v>
      </c>
      <c r="I189" s="9">
        <v>76469.84</v>
      </c>
      <c r="J189" s="9">
        <v>4098.83</v>
      </c>
      <c r="K189" s="9">
        <v>475.16</v>
      </c>
      <c r="L189" s="9">
        <v>71895.850000000006</v>
      </c>
      <c r="M189" s="9">
        <v>75578.5</v>
      </c>
      <c r="N189" s="6" t="str">
        <f>_xlfn.XLOOKUP(tblSales[[#This Row],[ProductID]],tblProducts[ProductID],tblProducts[ProductName],"Not Found")</f>
        <v>NeuroCalm</v>
      </c>
      <c r="O189" s="8">
        <f>YEAR(tblSales[[#This Row],[Month]])</f>
        <v>2024</v>
      </c>
      <c r="P189" s="8">
        <f>MONTH(tblSales[[#This Row],[Month]])</f>
        <v>4</v>
      </c>
      <c r="Q189" s="6">
        <f>IFERROR(tblSales[[#This Row],[NetSalesTRY]]/tblSales[[#This Row],[Units]],0)</f>
        <v>1027.0835714285715</v>
      </c>
      <c r="R189" s="17">
        <f>IFERROR(tblSales[[#This Row],[NetSalesTRY]]/tblSales[[#This Row],[TargetTRY]],0)</f>
        <v>0.95127384110560553</v>
      </c>
      <c r="S189" s="6">
        <f>tblSales[[#This Row],[NetSalesTRY]]-tblSales[[#This Row],[TargetTRY]]</f>
        <v>-3682.6499999999942</v>
      </c>
      <c r="T189" s="6">
        <f>MAX(tblSales[[#This Row],[TargetTRY]]-tblSales[[#This Row],[NetSalesTRY]],0)</f>
        <v>3682.6499999999942</v>
      </c>
    </row>
    <row r="190" spans="1:20">
      <c r="A190" t="s">
        <v>578</v>
      </c>
      <c r="B190" s="15">
        <v>45383</v>
      </c>
      <c r="C190" t="s">
        <v>25</v>
      </c>
      <c r="D190" t="s">
        <v>26</v>
      </c>
      <c r="E190" t="s">
        <v>67</v>
      </c>
      <c r="F190" t="s">
        <v>65</v>
      </c>
      <c r="G190" t="s">
        <v>5</v>
      </c>
      <c r="H190" s="8">
        <v>104</v>
      </c>
      <c r="I190" s="9">
        <v>100489.56</v>
      </c>
      <c r="J190" s="9">
        <v>5389.65</v>
      </c>
      <c r="K190" s="9">
        <v>1390.67</v>
      </c>
      <c r="L190" s="9">
        <v>93709.24</v>
      </c>
      <c r="M190" s="9">
        <v>100278.58</v>
      </c>
      <c r="N190" s="6" t="str">
        <f>_xlfn.XLOOKUP(tblSales[[#This Row],[ProductID]],tblProducts[ProductID],tblProducts[ProductName],"Not Found")</f>
        <v>Cardiovan</v>
      </c>
      <c r="O190" s="8">
        <f>YEAR(tblSales[[#This Row],[Month]])</f>
        <v>2024</v>
      </c>
      <c r="P190" s="8">
        <f>MONTH(tblSales[[#This Row],[Month]])</f>
        <v>4</v>
      </c>
      <c r="Q190" s="6">
        <f>IFERROR(tblSales[[#This Row],[NetSalesTRY]]/tblSales[[#This Row],[Units]],0)</f>
        <v>901.0503846153847</v>
      </c>
      <c r="R190" s="17">
        <f>IFERROR(tblSales[[#This Row],[NetSalesTRY]]/tblSales[[#This Row],[TargetTRY]],0)</f>
        <v>0.93448910026448329</v>
      </c>
      <c r="S190" s="6">
        <f>tblSales[[#This Row],[NetSalesTRY]]-tblSales[[#This Row],[TargetTRY]]</f>
        <v>-6569.3399999999965</v>
      </c>
      <c r="T190" s="6">
        <f>MAX(tblSales[[#This Row],[TargetTRY]]-tblSales[[#This Row],[NetSalesTRY]],0)</f>
        <v>6569.3399999999965</v>
      </c>
    </row>
    <row r="191" spans="1:20">
      <c r="A191" t="s">
        <v>579</v>
      </c>
      <c r="B191" s="15">
        <v>45383</v>
      </c>
      <c r="C191" t="s">
        <v>25</v>
      </c>
      <c r="D191" t="s">
        <v>26</v>
      </c>
      <c r="E191" t="s">
        <v>67</v>
      </c>
      <c r="F191" t="s">
        <v>65</v>
      </c>
      <c r="G191" t="s">
        <v>8</v>
      </c>
      <c r="H191" s="8">
        <v>123</v>
      </c>
      <c r="I191" s="9">
        <v>93268.14</v>
      </c>
      <c r="J191" s="9">
        <v>4486.3100000000004</v>
      </c>
      <c r="K191" s="9">
        <v>377.01</v>
      </c>
      <c r="L191" s="9">
        <v>88404.82</v>
      </c>
      <c r="M191" s="9">
        <v>94608.3</v>
      </c>
      <c r="N191" s="6" t="str">
        <f>_xlfn.XLOOKUP(tblSales[[#This Row],[ProductID]],tblProducts[ProductID],tblProducts[ProductName],"Not Found")</f>
        <v>GlucoRelief</v>
      </c>
      <c r="O191" s="8">
        <f>YEAR(tblSales[[#This Row],[Month]])</f>
        <v>2024</v>
      </c>
      <c r="P191" s="8">
        <f>MONTH(tblSales[[#This Row],[Month]])</f>
        <v>4</v>
      </c>
      <c r="Q191" s="6">
        <f>IFERROR(tblSales[[#This Row],[NetSalesTRY]]/tblSales[[#This Row],[Units]],0)</f>
        <v>718.73837398373985</v>
      </c>
      <c r="R191" s="17">
        <f>IFERROR(tblSales[[#This Row],[NetSalesTRY]]/tblSales[[#This Row],[TargetTRY]],0)</f>
        <v>0.93442985446308624</v>
      </c>
      <c r="S191" s="6">
        <f>tblSales[[#This Row],[NetSalesTRY]]-tblSales[[#This Row],[TargetTRY]]</f>
        <v>-6203.4799999999959</v>
      </c>
      <c r="T191" s="6">
        <f>MAX(tblSales[[#This Row],[TargetTRY]]-tblSales[[#This Row],[NetSalesTRY]],0)</f>
        <v>6203.4799999999959</v>
      </c>
    </row>
    <row r="192" spans="1:20">
      <c r="A192" t="s">
        <v>580</v>
      </c>
      <c r="B192" s="15">
        <v>45383</v>
      </c>
      <c r="C192" t="s">
        <v>25</v>
      </c>
      <c r="D192" t="s">
        <v>26</v>
      </c>
      <c r="E192" t="s">
        <v>67</v>
      </c>
      <c r="F192" t="s">
        <v>65</v>
      </c>
      <c r="G192" t="s">
        <v>11</v>
      </c>
      <c r="H192" s="8">
        <v>151</v>
      </c>
      <c r="I192" s="9">
        <v>93524.31</v>
      </c>
      <c r="J192" s="9">
        <v>6178.95</v>
      </c>
      <c r="K192" s="9">
        <v>885.5</v>
      </c>
      <c r="L192" s="9">
        <v>86459.86</v>
      </c>
      <c r="M192" s="9">
        <v>91805.18</v>
      </c>
      <c r="N192" s="6" t="str">
        <f>_xlfn.XLOOKUP(tblSales[[#This Row],[ProductID]],tblProducts[ProductID],tblProducts[ProductName],"Not Found")</f>
        <v>RespiraX</v>
      </c>
      <c r="O192" s="8">
        <f>YEAR(tblSales[[#This Row],[Month]])</f>
        <v>2024</v>
      </c>
      <c r="P192" s="8">
        <f>MONTH(tblSales[[#This Row],[Month]])</f>
        <v>4</v>
      </c>
      <c r="Q192" s="6">
        <f>IFERROR(tblSales[[#This Row],[NetSalesTRY]]/tblSales[[#This Row],[Units]],0)</f>
        <v>572.58185430463573</v>
      </c>
      <c r="R192" s="17">
        <f>IFERROR(tblSales[[#This Row],[NetSalesTRY]]/tblSales[[#This Row],[TargetTRY]],0)</f>
        <v>0.9417753987302242</v>
      </c>
      <c r="S192" s="6">
        <f>tblSales[[#This Row],[NetSalesTRY]]-tblSales[[#This Row],[TargetTRY]]</f>
        <v>-5345.3199999999924</v>
      </c>
      <c r="T192" s="6">
        <f>MAX(tblSales[[#This Row],[TargetTRY]]-tblSales[[#This Row],[NetSalesTRY]],0)</f>
        <v>5345.3199999999924</v>
      </c>
    </row>
    <row r="193" spans="1:20">
      <c r="A193" t="s">
        <v>581</v>
      </c>
      <c r="B193" s="15">
        <v>45383</v>
      </c>
      <c r="C193" t="s">
        <v>25</v>
      </c>
      <c r="D193" t="s">
        <v>26</v>
      </c>
      <c r="E193" t="s">
        <v>67</v>
      </c>
      <c r="F193" t="s">
        <v>65</v>
      </c>
      <c r="G193" t="s">
        <v>14</v>
      </c>
      <c r="H193" s="8">
        <v>82</v>
      </c>
      <c r="I193" s="9">
        <v>90134.64</v>
      </c>
      <c r="J193" s="9">
        <v>5172.76</v>
      </c>
      <c r="K193" s="9">
        <v>1183.32</v>
      </c>
      <c r="L193" s="9">
        <v>83778.559999999998</v>
      </c>
      <c r="M193" s="9">
        <v>86061.34</v>
      </c>
      <c r="N193" s="6" t="str">
        <f>_xlfn.XLOOKUP(tblSales[[#This Row],[ProductID]],tblProducts[ProductID],tblProducts[ProductName],"Not Found")</f>
        <v>NeuroCalm</v>
      </c>
      <c r="O193" s="8">
        <f>YEAR(tblSales[[#This Row],[Month]])</f>
        <v>2024</v>
      </c>
      <c r="P193" s="8">
        <f>MONTH(tblSales[[#This Row],[Month]])</f>
        <v>4</v>
      </c>
      <c r="Q193" s="6">
        <f>IFERROR(tblSales[[#This Row],[NetSalesTRY]]/tblSales[[#This Row],[Units]],0)</f>
        <v>1021.6897560975609</v>
      </c>
      <c r="R193" s="17">
        <f>IFERROR(tblSales[[#This Row],[NetSalesTRY]]/tblSales[[#This Row],[TargetTRY]],0)</f>
        <v>0.97347496564659575</v>
      </c>
      <c r="S193" s="6">
        <f>tblSales[[#This Row],[NetSalesTRY]]-tblSales[[#This Row],[TargetTRY]]</f>
        <v>-2282.7799999999988</v>
      </c>
      <c r="T193" s="6">
        <f>MAX(tblSales[[#This Row],[TargetTRY]]-tblSales[[#This Row],[NetSalesTRY]],0)</f>
        <v>2282.7799999999988</v>
      </c>
    </row>
    <row r="194" spans="1:20">
      <c r="A194" t="s">
        <v>582</v>
      </c>
      <c r="B194" s="15">
        <v>45413</v>
      </c>
      <c r="C194" t="s">
        <v>19</v>
      </c>
      <c r="D194" t="s">
        <v>20</v>
      </c>
      <c r="E194" t="s">
        <v>34</v>
      </c>
      <c r="F194" t="s">
        <v>32</v>
      </c>
      <c r="G194" t="s">
        <v>5</v>
      </c>
      <c r="H194" s="8">
        <v>152</v>
      </c>
      <c r="I194" s="9">
        <v>148547.35999999999</v>
      </c>
      <c r="J194" s="9">
        <v>5611.26</v>
      </c>
      <c r="K194" s="9">
        <v>1927.59</v>
      </c>
      <c r="L194" s="9">
        <v>141008.51</v>
      </c>
      <c r="M194" s="9">
        <v>138723.35</v>
      </c>
      <c r="N194" s="6" t="str">
        <f>_xlfn.XLOOKUP(tblSales[[#This Row],[ProductID]],tblProducts[ProductID],tblProducts[ProductName],"Not Found")</f>
        <v>Cardiovan</v>
      </c>
      <c r="O194" s="8">
        <f>YEAR(tblSales[[#This Row],[Month]])</f>
        <v>2024</v>
      </c>
      <c r="P194" s="8">
        <f>MONTH(tblSales[[#This Row],[Month]])</f>
        <v>5</v>
      </c>
      <c r="Q194" s="6">
        <f>IFERROR(tblSales[[#This Row],[NetSalesTRY]]/tblSales[[#This Row],[Units]],0)</f>
        <v>927.68756578947375</v>
      </c>
      <c r="R194" s="17">
        <f>IFERROR(tblSales[[#This Row],[NetSalesTRY]]/tblSales[[#This Row],[TargetTRY]],0)</f>
        <v>1.0164727855836815</v>
      </c>
      <c r="S194" s="6">
        <f>tblSales[[#This Row],[NetSalesTRY]]-tblSales[[#This Row],[TargetTRY]]</f>
        <v>2285.1600000000035</v>
      </c>
      <c r="T194" s="6">
        <f>MAX(tblSales[[#This Row],[TargetTRY]]-tblSales[[#This Row],[NetSalesTRY]],0)</f>
        <v>0</v>
      </c>
    </row>
    <row r="195" spans="1:20">
      <c r="A195" t="s">
        <v>583</v>
      </c>
      <c r="B195" s="15">
        <v>45413</v>
      </c>
      <c r="C195" t="s">
        <v>19</v>
      </c>
      <c r="D195" t="s">
        <v>20</v>
      </c>
      <c r="E195" t="s">
        <v>34</v>
      </c>
      <c r="F195" t="s">
        <v>32</v>
      </c>
      <c r="G195" t="s">
        <v>8</v>
      </c>
      <c r="H195" s="8">
        <v>185</v>
      </c>
      <c r="I195" s="9">
        <v>142544.93</v>
      </c>
      <c r="J195" s="9">
        <v>5473.2</v>
      </c>
      <c r="K195" s="9">
        <v>1980.69</v>
      </c>
      <c r="L195" s="9">
        <v>135091.03</v>
      </c>
      <c r="M195" s="9">
        <v>129395.6</v>
      </c>
      <c r="N195" s="6" t="str">
        <f>_xlfn.XLOOKUP(tblSales[[#This Row],[ProductID]],tblProducts[ProductID],tblProducts[ProductName],"Not Found")</f>
        <v>GlucoRelief</v>
      </c>
      <c r="O195" s="8">
        <f>YEAR(tblSales[[#This Row],[Month]])</f>
        <v>2024</v>
      </c>
      <c r="P195" s="8">
        <f>MONTH(tblSales[[#This Row],[Month]])</f>
        <v>5</v>
      </c>
      <c r="Q195" s="6">
        <f>IFERROR(tblSales[[#This Row],[NetSalesTRY]]/tblSales[[#This Row],[Units]],0)</f>
        <v>730.22178378378374</v>
      </c>
      <c r="R195" s="17">
        <f>IFERROR(tblSales[[#This Row],[NetSalesTRY]]/tblSales[[#This Row],[TargetTRY]],0)</f>
        <v>1.044015638862527</v>
      </c>
      <c r="S195" s="6">
        <f>tblSales[[#This Row],[NetSalesTRY]]-tblSales[[#This Row],[TargetTRY]]</f>
        <v>5695.429999999993</v>
      </c>
      <c r="T195" s="6">
        <f>MAX(tblSales[[#This Row],[TargetTRY]]-tblSales[[#This Row],[NetSalesTRY]],0)</f>
        <v>0</v>
      </c>
    </row>
    <row r="196" spans="1:20">
      <c r="A196" t="s">
        <v>584</v>
      </c>
      <c r="B196" s="15">
        <v>45413</v>
      </c>
      <c r="C196" t="s">
        <v>19</v>
      </c>
      <c r="D196" t="s">
        <v>20</v>
      </c>
      <c r="E196" t="s">
        <v>34</v>
      </c>
      <c r="F196" t="s">
        <v>32</v>
      </c>
      <c r="G196" t="s">
        <v>11</v>
      </c>
      <c r="H196" s="8">
        <v>228</v>
      </c>
      <c r="I196" s="9">
        <v>140714.23999999999</v>
      </c>
      <c r="J196" s="9">
        <v>10375.870000000001</v>
      </c>
      <c r="K196" s="9">
        <v>877.5</v>
      </c>
      <c r="L196" s="9">
        <v>129460.87</v>
      </c>
      <c r="M196" s="9">
        <v>124943.39</v>
      </c>
      <c r="N196" s="6" t="str">
        <f>_xlfn.XLOOKUP(tblSales[[#This Row],[ProductID]],tblProducts[ProductID],tblProducts[ProductName],"Not Found")</f>
        <v>RespiraX</v>
      </c>
      <c r="O196" s="8">
        <f>YEAR(tblSales[[#This Row],[Month]])</f>
        <v>2024</v>
      </c>
      <c r="P196" s="8">
        <f>MONTH(tblSales[[#This Row],[Month]])</f>
        <v>5</v>
      </c>
      <c r="Q196" s="6">
        <f>IFERROR(tblSales[[#This Row],[NetSalesTRY]]/tblSales[[#This Row],[Units]],0)</f>
        <v>567.81083333333333</v>
      </c>
      <c r="R196" s="17">
        <f>IFERROR(tblSales[[#This Row],[NetSalesTRY]]/tblSales[[#This Row],[TargetTRY]],0)</f>
        <v>1.0361562144263894</v>
      </c>
      <c r="S196" s="6">
        <f>tblSales[[#This Row],[NetSalesTRY]]-tblSales[[#This Row],[TargetTRY]]</f>
        <v>4517.4799999999959</v>
      </c>
      <c r="T196" s="6">
        <f>MAX(tblSales[[#This Row],[TargetTRY]]-tblSales[[#This Row],[NetSalesTRY]],0)</f>
        <v>0</v>
      </c>
    </row>
    <row r="197" spans="1:20">
      <c r="A197" t="s">
        <v>585</v>
      </c>
      <c r="B197" s="15">
        <v>45413</v>
      </c>
      <c r="C197" t="s">
        <v>19</v>
      </c>
      <c r="D197" t="s">
        <v>20</v>
      </c>
      <c r="E197" t="s">
        <v>34</v>
      </c>
      <c r="F197" t="s">
        <v>32</v>
      </c>
      <c r="G197" t="s">
        <v>14</v>
      </c>
      <c r="H197" s="8">
        <v>118</v>
      </c>
      <c r="I197" s="9">
        <v>130860.91</v>
      </c>
      <c r="J197" s="9">
        <v>5890.53</v>
      </c>
      <c r="K197" s="9">
        <v>550.15</v>
      </c>
      <c r="L197" s="9">
        <v>124420.23</v>
      </c>
      <c r="M197" s="9">
        <v>118669.06</v>
      </c>
      <c r="N197" s="6" t="str">
        <f>_xlfn.XLOOKUP(tblSales[[#This Row],[ProductID]],tblProducts[ProductID],tblProducts[ProductName],"Not Found")</f>
        <v>NeuroCalm</v>
      </c>
      <c r="O197" s="8">
        <f>YEAR(tblSales[[#This Row],[Month]])</f>
        <v>2024</v>
      </c>
      <c r="P197" s="8">
        <f>MONTH(tblSales[[#This Row],[Month]])</f>
        <v>5</v>
      </c>
      <c r="Q197" s="6">
        <f>IFERROR(tblSales[[#This Row],[NetSalesTRY]]/tblSales[[#This Row],[Units]],0)</f>
        <v>1054.4087288135593</v>
      </c>
      <c r="R197" s="17">
        <f>IFERROR(tblSales[[#This Row],[NetSalesTRY]]/tblSales[[#This Row],[TargetTRY]],0)</f>
        <v>1.0484639382834919</v>
      </c>
      <c r="S197" s="6">
        <f>tblSales[[#This Row],[NetSalesTRY]]-tblSales[[#This Row],[TargetTRY]]</f>
        <v>5751.1699999999983</v>
      </c>
      <c r="T197" s="6">
        <f>MAX(tblSales[[#This Row],[TargetTRY]]-tblSales[[#This Row],[NetSalesTRY]],0)</f>
        <v>0</v>
      </c>
    </row>
    <row r="198" spans="1:20">
      <c r="A198" t="s">
        <v>586</v>
      </c>
      <c r="B198" s="15">
        <v>45413</v>
      </c>
      <c r="C198" t="s">
        <v>19</v>
      </c>
      <c r="D198" t="s">
        <v>20</v>
      </c>
      <c r="E198" t="s">
        <v>37</v>
      </c>
      <c r="F198" t="s">
        <v>35</v>
      </c>
      <c r="G198" t="s">
        <v>5</v>
      </c>
      <c r="H198" s="8">
        <v>150</v>
      </c>
      <c r="I198" s="9">
        <v>145354.75</v>
      </c>
      <c r="J198" s="9">
        <v>8004.46</v>
      </c>
      <c r="K198" s="9">
        <v>781.61</v>
      </c>
      <c r="L198" s="9">
        <v>136568.68</v>
      </c>
      <c r="M198" s="9">
        <v>136670.79999999999</v>
      </c>
      <c r="N198" s="6" t="str">
        <f>_xlfn.XLOOKUP(tblSales[[#This Row],[ProductID]],tblProducts[ProductID],tblProducts[ProductName],"Not Found")</f>
        <v>Cardiovan</v>
      </c>
      <c r="O198" s="8">
        <f>YEAR(tblSales[[#This Row],[Month]])</f>
        <v>2024</v>
      </c>
      <c r="P198" s="8">
        <f>MONTH(tblSales[[#This Row],[Month]])</f>
        <v>5</v>
      </c>
      <c r="Q198" s="6">
        <f>IFERROR(tblSales[[#This Row],[NetSalesTRY]]/tblSales[[#This Row],[Units]],0)</f>
        <v>910.45786666666663</v>
      </c>
      <c r="R198" s="17">
        <f>IFERROR(tblSales[[#This Row],[NetSalesTRY]]/tblSales[[#This Row],[TargetTRY]],0)</f>
        <v>0.99925280308595543</v>
      </c>
      <c r="S198" s="6">
        <f>tblSales[[#This Row],[NetSalesTRY]]-tblSales[[#This Row],[TargetTRY]]</f>
        <v>-102.11999999999534</v>
      </c>
      <c r="T198" s="6">
        <f>MAX(tblSales[[#This Row],[TargetTRY]]-tblSales[[#This Row],[NetSalesTRY]],0)</f>
        <v>102.11999999999534</v>
      </c>
    </row>
    <row r="199" spans="1:20">
      <c r="A199" t="s">
        <v>587</v>
      </c>
      <c r="B199" s="15">
        <v>45413</v>
      </c>
      <c r="C199" t="s">
        <v>19</v>
      </c>
      <c r="D199" t="s">
        <v>20</v>
      </c>
      <c r="E199" t="s">
        <v>37</v>
      </c>
      <c r="F199" t="s">
        <v>35</v>
      </c>
      <c r="G199" t="s">
        <v>8</v>
      </c>
      <c r="H199" s="8">
        <v>180</v>
      </c>
      <c r="I199" s="9">
        <v>138715.54</v>
      </c>
      <c r="J199" s="9">
        <v>10186.23</v>
      </c>
      <c r="K199" s="9">
        <v>1580.78</v>
      </c>
      <c r="L199" s="9">
        <v>126948.53</v>
      </c>
      <c r="M199" s="9">
        <v>129986.84</v>
      </c>
      <c r="N199" s="6" t="str">
        <f>_xlfn.XLOOKUP(tblSales[[#This Row],[ProductID]],tblProducts[ProductID],tblProducts[ProductName],"Not Found")</f>
        <v>GlucoRelief</v>
      </c>
      <c r="O199" s="8">
        <f>YEAR(tblSales[[#This Row],[Month]])</f>
        <v>2024</v>
      </c>
      <c r="P199" s="8">
        <f>MONTH(tblSales[[#This Row],[Month]])</f>
        <v>5</v>
      </c>
      <c r="Q199" s="6">
        <f>IFERROR(tblSales[[#This Row],[NetSalesTRY]]/tblSales[[#This Row],[Units]],0)</f>
        <v>705.26961111111109</v>
      </c>
      <c r="R199" s="17">
        <f>IFERROR(tblSales[[#This Row],[NetSalesTRY]]/tblSales[[#This Row],[TargetTRY]],0)</f>
        <v>0.97662601844925223</v>
      </c>
      <c r="S199" s="6">
        <f>tblSales[[#This Row],[NetSalesTRY]]-tblSales[[#This Row],[TargetTRY]]</f>
        <v>-3038.3099999999977</v>
      </c>
      <c r="T199" s="6">
        <f>MAX(tblSales[[#This Row],[TargetTRY]]-tblSales[[#This Row],[NetSalesTRY]],0)</f>
        <v>3038.3099999999977</v>
      </c>
    </row>
    <row r="200" spans="1:20">
      <c r="A200" t="s">
        <v>588</v>
      </c>
      <c r="B200" s="15">
        <v>45413</v>
      </c>
      <c r="C200" t="s">
        <v>19</v>
      </c>
      <c r="D200" t="s">
        <v>20</v>
      </c>
      <c r="E200" t="s">
        <v>37</v>
      </c>
      <c r="F200" t="s">
        <v>35</v>
      </c>
      <c r="G200" t="s">
        <v>11</v>
      </c>
      <c r="H200" s="8">
        <v>210</v>
      </c>
      <c r="I200" s="9">
        <v>130058.68</v>
      </c>
      <c r="J200" s="9">
        <v>7332.65</v>
      </c>
      <c r="K200" s="9">
        <v>1481.48</v>
      </c>
      <c r="L200" s="9">
        <v>121244.56</v>
      </c>
      <c r="M200" s="9">
        <v>126478.95</v>
      </c>
      <c r="N200" s="6" t="str">
        <f>_xlfn.XLOOKUP(tblSales[[#This Row],[ProductID]],tblProducts[ProductID],tblProducts[ProductName],"Not Found")</f>
        <v>RespiraX</v>
      </c>
      <c r="O200" s="8">
        <f>YEAR(tblSales[[#This Row],[Month]])</f>
        <v>2024</v>
      </c>
      <c r="P200" s="8">
        <f>MONTH(tblSales[[#This Row],[Month]])</f>
        <v>5</v>
      </c>
      <c r="Q200" s="6">
        <f>IFERROR(tblSales[[#This Row],[NetSalesTRY]]/tblSales[[#This Row],[Units]],0)</f>
        <v>577.35504761904758</v>
      </c>
      <c r="R200" s="17">
        <f>IFERROR(tblSales[[#This Row],[NetSalesTRY]]/tblSales[[#This Row],[TargetTRY]],0)</f>
        <v>0.95861453625287052</v>
      </c>
      <c r="S200" s="6">
        <f>tblSales[[#This Row],[NetSalesTRY]]-tblSales[[#This Row],[TargetTRY]]</f>
        <v>-5234.3899999999994</v>
      </c>
      <c r="T200" s="6">
        <f>MAX(tblSales[[#This Row],[TargetTRY]]-tblSales[[#This Row],[NetSalesTRY]],0)</f>
        <v>5234.3899999999994</v>
      </c>
    </row>
    <row r="201" spans="1:20">
      <c r="A201" t="s">
        <v>589</v>
      </c>
      <c r="B201" s="15">
        <v>45413</v>
      </c>
      <c r="C201" t="s">
        <v>19</v>
      </c>
      <c r="D201" t="s">
        <v>20</v>
      </c>
      <c r="E201" t="s">
        <v>37</v>
      </c>
      <c r="F201" t="s">
        <v>35</v>
      </c>
      <c r="G201" t="s">
        <v>14</v>
      </c>
      <c r="H201" s="8">
        <v>115</v>
      </c>
      <c r="I201" s="9">
        <v>128153.84</v>
      </c>
      <c r="J201" s="9">
        <v>8186.51</v>
      </c>
      <c r="K201" s="9">
        <v>764.55</v>
      </c>
      <c r="L201" s="9">
        <v>119202.79</v>
      </c>
      <c r="M201" s="9">
        <v>120395.5</v>
      </c>
      <c r="N201" s="6" t="str">
        <f>_xlfn.XLOOKUP(tblSales[[#This Row],[ProductID]],tblProducts[ProductID],tblProducts[ProductName],"Not Found")</f>
        <v>NeuroCalm</v>
      </c>
      <c r="O201" s="8">
        <f>YEAR(tblSales[[#This Row],[Month]])</f>
        <v>2024</v>
      </c>
      <c r="P201" s="8">
        <f>MONTH(tblSales[[#This Row],[Month]])</f>
        <v>5</v>
      </c>
      <c r="Q201" s="6">
        <f>IFERROR(tblSales[[#This Row],[NetSalesTRY]]/tblSales[[#This Row],[Units]],0)</f>
        <v>1036.546</v>
      </c>
      <c r="R201" s="17">
        <f>IFERROR(tblSales[[#This Row],[NetSalesTRY]]/tblSales[[#This Row],[TargetTRY]],0)</f>
        <v>0.99009340050084926</v>
      </c>
      <c r="S201" s="6">
        <f>tblSales[[#This Row],[NetSalesTRY]]-tblSales[[#This Row],[TargetTRY]]</f>
        <v>-1192.7100000000064</v>
      </c>
      <c r="T201" s="6">
        <f>MAX(tblSales[[#This Row],[TargetTRY]]-tblSales[[#This Row],[NetSalesTRY]],0)</f>
        <v>1192.7100000000064</v>
      </c>
    </row>
    <row r="202" spans="1:20">
      <c r="A202" t="s">
        <v>590</v>
      </c>
      <c r="B202" s="15">
        <v>45413</v>
      </c>
      <c r="C202" t="s">
        <v>19</v>
      </c>
      <c r="D202" t="s">
        <v>20</v>
      </c>
      <c r="E202" t="s">
        <v>40</v>
      </c>
      <c r="F202" t="s">
        <v>38</v>
      </c>
      <c r="G202" t="s">
        <v>5</v>
      </c>
      <c r="H202" s="8">
        <v>173</v>
      </c>
      <c r="I202" s="9">
        <v>168036.69</v>
      </c>
      <c r="J202" s="9">
        <v>8513.44</v>
      </c>
      <c r="K202" s="9">
        <v>936.71</v>
      </c>
      <c r="L202" s="9">
        <v>158586.54</v>
      </c>
      <c r="M202" s="9">
        <v>150195.94</v>
      </c>
      <c r="N202" s="6" t="str">
        <f>_xlfn.XLOOKUP(tblSales[[#This Row],[ProductID]],tblProducts[ProductID],tblProducts[ProductName],"Not Found")</f>
        <v>Cardiovan</v>
      </c>
      <c r="O202" s="8">
        <f>YEAR(tblSales[[#This Row],[Month]])</f>
        <v>2024</v>
      </c>
      <c r="P202" s="8">
        <f>MONTH(tblSales[[#This Row],[Month]])</f>
        <v>5</v>
      </c>
      <c r="Q202" s="6">
        <f>IFERROR(tblSales[[#This Row],[NetSalesTRY]]/tblSales[[#This Row],[Units]],0)</f>
        <v>916.68520231213881</v>
      </c>
      <c r="R202" s="17">
        <f>IFERROR(tblSales[[#This Row],[NetSalesTRY]]/tblSales[[#This Row],[TargetTRY]],0)</f>
        <v>1.0558643595825561</v>
      </c>
      <c r="S202" s="6">
        <f>tblSales[[#This Row],[NetSalesTRY]]-tblSales[[#This Row],[TargetTRY]]</f>
        <v>8390.6000000000058</v>
      </c>
      <c r="T202" s="6">
        <f>MAX(tblSales[[#This Row],[TargetTRY]]-tblSales[[#This Row],[NetSalesTRY]],0)</f>
        <v>0</v>
      </c>
    </row>
    <row r="203" spans="1:20">
      <c r="A203" t="s">
        <v>591</v>
      </c>
      <c r="B203" s="15">
        <v>45413</v>
      </c>
      <c r="C203" t="s">
        <v>19</v>
      </c>
      <c r="D203" t="s">
        <v>20</v>
      </c>
      <c r="E203" t="s">
        <v>40</v>
      </c>
      <c r="F203" t="s">
        <v>38</v>
      </c>
      <c r="G203" t="s">
        <v>8</v>
      </c>
      <c r="H203" s="8">
        <v>199</v>
      </c>
      <c r="I203" s="9">
        <v>151409.85</v>
      </c>
      <c r="J203" s="9">
        <v>7866.81</v>
      </c>
      <c r="K203" s="9">
        <v>1438</v>
      </c>
      <c r="L203" s="9">
        <v>142105.04</v>
      </c>
      <c r="M203" s="9">
        <v>139944.97</v>
      </c>
      <c r="N203" s="6" t="str">
        <f>_xlfn.XLOOKUP(tblSales[[#This Row],[ProductID]],tblProducts[ProductID],tblProducts[ProductName],"Not Found")</f>
        <v>GlucoRelief</v>
      </c>
      <c r="O203" s="8">
        <f>YEAR(tblSales[[#This Row],[Month]])</f>
        <v>2024</v>
      </c>
      <c r="P203" s="8">
        <f>MONTH(tblSales[[#This Row],[Month]])</f>
        <v>5</v>
      </c>
      <c r="Q203" s="6">
        <f>IFERROR(tblSales[[#This Row],[NetSalesTRY]]/tblSales[[#This Row],[Units]],0)</f>
        <v>714.09567839195984</v>
      </c>
      <c r="R203" s="17">
        <f>IFERROR(tblSales[[#This Row],[NetSalesTRY]]/tblSales[[#This Row],[TargetTRY]],0)</f>
        <v>1.0154351385405278</v>
      </c>
      <c r="S203" s="6">
        <f>tblSales[[#This Row],[NetSalesTRY]]-tblSales[[#This Row],[TargetTRY]]</f>
        <v>2160.070000000007</v>
      </c>
      <c r="T203" s="6">
        <f>MAX(tblSales[[#This Row],[TargetTRY]]-tblSales[[#This Row],[NetSalesTRY]],0)</f>
        <v>0</v>
      </c>
    </row>
    <row r="204" spans="1:20">
      <c r="A204" t="s">
        <v>592</v>
      </c>
      <c r="B204" s="15">
        <v>45413</v>
      </c>
      <c r="C204" t="s">
        <v>19</v>
      </c>
      <c r="D204" t="s">
        <v>20</v>
      </c>
      <c r="E204" t="s">
        <v>40</v>
      </c>
      <c r="F204" t="s">
        <v>38</v>
      </c>
      <c r="G204" t="s">
        <v>11</v>
      </c>
      <c r="H204" s="8">
        <v>245</v>
      </c>
      <c r="I204" s="9">
        <v>152632.76</v>
      </c>
      <c r="J204" s="9">
        <v>11221.18</v>
      </c>
      <c r="K204" s="9">
        <v>712.54</v>
      </c>
      <c r="L204" s="9">
        <v>140699.04</v>
      </c>
      <c r="M204" s="9">
        <v>139690.49</v>
      </c>
      <c r="N204" s="6" t="str">
        <f>_xlfn.XLOOKUP(tblSales[[#This Row],[ProductID]],tblProducts[ProductID],tblProducts[ProductName],"Not Found")</f>
        <v>RespiraX</v>
      </c>
      <c r="O204" s="8">
        <f>YEAR(tblSales[[#This Row],[Month]])</f>
        <v>2024</v>
      </c>
      <c r="P204" s="8">
        <f>MONTH(tblSales[[#This Row],[Month]])</f>
        <v>5</v>
      </c>
      <c r="Q204" s="6">
        <f>IFERROR(tblSales[[#This Row],[NetSalesTRY]]/tblSales[[#This Row],[Units]],0)</f>
        <v>574.28179591836738</v>
      </c>
      <c r="R204" s="17">
        <f>IFERROR(tblSales[[#This Row],[NetSalesTRY]]/tblSales[[#This Row],[TargetTRY]],0)</f>
        <v>1.007219890201545</v>
      </c>
      <c r="S204" s="6">
        <f>tblSales[[#This Row],[NetSalesTRY]]-tblSales[[#This Row],[TargetTRY]]</f>
        <v>1008.5500000000175</v>
      </c>
      <c r="T204" s="6">
        <f>MAX(tblSales[[#This Row],[TargetTRY]]-tblSales[[#This Row],[NetSalesTRY]],0)</f>
        <v>0</v>
      </c>
    </row>
    <row r="205" spans="1:20">
      <c r="A205" t="s">
        <v>593</v>
      </c>
      <c r="B205" s="15">
        <v>45413</v>
      </c>
      <c r="C205" t="s">
        <v>19</v>
      </c>
      <c r="D205" t="s">
        <v>20</v>
      </c>
      <c r="E205" t="s">
        <v>40</v>
      </c>
      <c r="F205" t="s">
        <v>38</v>
      </c>
      <c r="G205" t="s">
        <v>14</v>
      </c>
      <c r="H205" s="8">
        <v>131</v>
      </c>
      <c r="I205" s="9">
        <v>146232.09</v>
      </c>
      <c r="J205" s="9">
        <v>10858.49</v>
      </c>
      <c r="K205" s="9">
        <v>1280.77</v>
      </c>
      <c r="L205" s="9">
        <v>134092.82999999999</v>
      </c>
      <c r="M205" s="9">
        <v>130328.43</v>
      </c>
      <c r="N205" s="6" t="str">
        <f>_xlfn.XLOOKUP(tblSales[[#This Row],[ProductID]],tblProducts[ProductID],tblProducts[ProductName],"Not Found")</f>
        <v>NeuroCalm</v>
      </c>
      <c r="O205" s="8">
        <f>YEAR(tblSales[[#This Row],[Month]])</f>
        <v>2024</v>
      </c>
      <c r="P205" s="8">
        <f>MONTH(tblSales[[#This Row],[Month]])</f>
        <v>5</v>
      </c>
      <c r="Q205" s="6">
        <f>IFERROR(tblSales[[#This Row],[NetSalesTRY]]/tblSales[[#This Row],[Units]],0)</f>
        <v>1023.609389312977</v>
      </c>
      <c r="R205" s="17">
        <f>IFERROR(tblSales[[#This Row],[NetSalesTRY]]/tblSales[[#This Row],[TargetTRY]],0)</f>
        <v>1.0288839511072143</v>
      </c>
      <c r="S205" s="6">
        <f>tblSales[[#This Row],[NetSalesTRY]]-tblSales[[#This Row],[TargetTRY]]</f>
        <v>3764.3999999999942</v>
      </c>
      <c r="T205" s="6">
        <f>MAX(tblSales[[#This Row],[TargetTRY]]-tblSales[[#This Row],[NetSalesTRY]],0)</f>
        <v>0</v>
      </c>
    </row>
    <row r="206" spans="1:20">
      <c r="A206" t="s">
        <v>594</v>
      </c>
      <c r="B206" s="15">
        <v>45413</v>
      </c>
      <c r="C206" t="s">
        <v>21</v>
      </c>
      <c r="D206" t="s">
        <v>22</v>
      </c>
      <c r="E206" t="s">
        <v>43</v>
      </c>
      <c r="F206" t="s">
        <v>41</v>
      </c>
      <c r="G206" t="s">
        <v>5</v>
      </c>
      <c r="H206" s="8">
        <v>122</v>
      </c>
      <c r="I206" s="9">
        <v>119947.93</v>
      </c>
      <c r="J206" s="9">
        <v>6923.53</v>
      </c>
      <c r="K206" s="9">
        <v>1442.34</v>
      </c>
      <c r="L206" s="9">
        <v>111582.06</v>
      </c>
      <c r="M206" s="9">
        <v>112023.54</v>
      </c>
      <c r="N206" s="6" t="str">
        <f>_xlfn.XLOOKUP(tblSales[[#This Row],[ProductID]],tblProducts[ProductID],tblProducts[ProductName],"Not Found")</f>
        <v>Cardiovan</v>
      </c>
      <c r="O206" s="8">
        <f>YEAR(tblSales[[#This Row],[Month]])</f>
        <v>2024</v>
      </c>
      <c r="P206" s="8">
        <f>MONTH(tblSales[[#This Row],[Month]])</f>
        <v>5</v>
      </c>
      <c r="Q206" s="6">
        <f>IFERROR(tblSales[[#This Row],[NetSalesTRY]]/tblSales[[#This Row],[Units]],0)</f>
        <v>914.60704918032786</v>
      </c>
      <c r="R206" s="17">
        <f>IFERROR(tblSales[[#This Row],[NetSalesTRY]]/tblSales[[#This Row],[TargetTRY]],0)</f>
        <v>0.9960590425905127</v>
      </c>
      <c r="S206" s="6">
        <f>tblSales[[#This Row],[NetSalesTRY]]-tblSales[[#This Row],[TargetTRY]]</f>
        <v>-441.47999999999593</v>
      </c>
      <c r="T206" s="6">
        <f>MAX(tblSales[[#This Row],[TargetTRY]]-tblSales[[#This Row],[NetSalesTRY]],0)</f>
        <v>441.47999999999593</v>
      </c>
    </row>
    <row r="207" spans="1:20">
      <c r="A207" t="s">
        <v>595</v>
      </c>
      <c r="B207" s="15">
        <v>45413</v>
      </c>
      <c r="C207" t="s">
        <v>21</v>
      </c>
      <c r="D207" t="s">
        <v>22</v>
      </c>
      <c r="E207" t="s">
        <v>43</v>
      </c>
      <c r="F207" t="s">
        <v>41</v>
      </c>
      <c r="G207" t="s">
        <v>8</v>
      </c>
      <c r="H207" s="8">
        <v>138</v>
      </c>
      <c r="I207" s="9">
        <v>105255.73</v>
      </c>
      <c r="J207" s="9">
        <v>7602.36</v>
      </c>
      <c r="K207" s="9">
        <v>879.49</v>
      </c>
      <c r="L207" s="9">
        <v>96773.89</v>
      </c>
      <c r="M207" s="9">
        <v>102791.34</v>
      </c>
      <c r="N207" s="6" t="str">
        <f>_xlfn.XLOOKUP(tblSales[[#This Row],[ProductID]],tblProducts[ProductID],tblProducts[ProductName],"Not Found")</f>
        <v>GlucoRelief</v>
      </c>
      <c r="O207" s="8">
        <f>YEAR(tblSales[[#This Row],[Month]])</f>
        <v>2024</v>
      </c>
      <c r="P207" s="8">
        <f>MONTH(tblSales[[#This Row],[Month]])</f>
        <v>5</v>
      </c>
      <c r="Q207" s="6">
        <f>IFERROR(tblSales[[#This Row],[NetSalesTRY]]/tblSales[[#This Row],[Units]],0)</f>
        <v>701.2600724637681</v>
      </c>
      <c r="R207" s="17">
        <f>IFERROR(tblSales[[#This Row],[NetSalesTRY]]/tblSales[[#This Row],[TargetTRY]],0)</f>
        <v>0.94145956264409048</v>
      </c>
      <c r="S207" s="6">
        <f>tblSales[[#This Row],[NetSalesTRY]]-tblSales[[#This Row],[TargetTRY]]</f>
        <v>-6017.4499999999971</v>
      </c>
      <c r="T207" s="6">
        <f>MAX(tblSales[[#This Row],[TargetTRY]]-tblSales[[#This Row],[NetSalesTRY]],0)</f>
        <v>6017.4499999999971</v>
      </c>
    </row>
    <row r="208" spans="1:20">
      <c r="A208" t="s">
        <v>596</v>
      </c>
      <c r="B208" s="15">
        <v>45413</v>
      </c>
      <c r="C208" t="s">
        <v>21</v>
      </c>
      <c r="D208" t="s">
        <v>22</v>
      </c>
      <c r="E208" t="s">
        <v>43</v>
      </c>
      <c r="F208" t="s">
        <v>41</v>
      </c>
      <c r="G208" t="s">
        <v>11</v>
      </c>
      <c r="H208" s="8">
        <v>183</v>
      </c>
      <c r="I208" s="9">
        <v>112145.16</v>
      </c>
      <c r="J208" s="9">
        <v>6488.2</v>
      </c>
      <c r="K208" s="9">
        <v>1117.29</v>
      </c>
      <c r="L208" s="9">
        <v>104539.68</v>
      </c>
      <c r="M208" s="9">
        <v>101272.14</v>
      </c>
      <c r="N208" s="6" t="str">
        <f>_xlfn.XLOOKUP(tblSales[[#This Row],[ProductID]],tblProducts[ProductID],tblProducts[ProductName],"Not Found")</f>
        <v>RespiraX</v>
      </c>
      <c r="O208" s="8">
        <f>YEAR(tblSales[[#This Row],[Month]])</f>
        <v>2024</v>
      </c>
      <c r="P208" s="8">
        <f>MONTH(tblSales[[#This Row],[Month]])</f>
        <v>5</v>
      </c>
      <c r="Q208" s="6">
        <f>IFERROR(tblSales[[#This Row],[NetSalesTRY]]/tblSales[[#This Row],[Units]],0)</f>
        <v>571.25508196721307</v>
      </c>
      <c r="R208" s="17">
        <f>IFERROR(tblSales[[#This Row],[NetSalesTRY]]/tblSales[[#This Row],[TargetTRY]],0)</f>
        <v>1.0322649447320851</v>
      </c>
      <c r="S208" s="6">
        <f>tblSales[[#This Row],[NetSalesTRY]]-tblSales[[#This Row],[TargetTRY]]</f>
        <v>3267.5399999999936</v>
      </c>
      <c r="T208" s="6">
        <f>MAX(tblSales[[#This Row],[TargetTRY]]-tblSales[[#This Row],[NetSalesTRY]],0)</f>
        <v>0</v>
      </c>
    </row>
    <row r="209" spans="1:20">
      <c r="A209" t="s">
        <v>597</v>
      </c>
      <c r="B209" s="15">
        <v>45413</v>
      </c>
      <c r="C209" t="s">
        <v>21</v>
      </c>
      <c r="D209" t="s">
        <v>22</v>
      </c>
      <c r="E209" t="s">
        <v>43</v>
      </c>
      <c r="F209" t="s">
        <v>41</v>
      </c>
      <c r="G209" t="s">
        <v>14</v>
      </c>
      <c r="H209" s="8">
        <v>90</v>
      </c>
      <c r="I209" s="9">
        <v>97857.7</v>
      </c>
      <c r="J209" s="9">
        <v>6293.91</v>
      </c>
      <c r="K209" s="9">
        <v>676.05</v>
      </c>
      <c r="L209" s="9">
        <v>90887.75</v>
      </c>
      <c r="M209" s="9">
        <v>93890.59</v>
      </c>
      <c r="N209" s="6" t="str">
        <f>_xlfn.XLOOKUP(tblSales[[#This Row],[ProductID]],tblProducts[ProductID],tblProducts[ProductName],"Not Found")</f>
        <v>NeuroCalm</v>
      </c>
      <c r="O209" s="8">
        <f>YEAR(tblSales[[#This Row],[Month]])</f>
        <v>2024</v>
      </c>
      <c r="P209" s="8">
        <f>MONTH(tblSales[[#This Row],[Month]])</f>
        <v>5</v>
      </c>
      <c r="Q209" s="6">
        <f>IFERROR(tblSales[[#This Row],[NetSalesTRY]]/tblSales[[#This Row],[Units]],0)</f>
        <v>1009.8638888888889</v>
      </c>
      <c r="R209" s="17">
        <f>IFERROR(tblSales[[#This Row],[NetSalesTRY]]/tblSales[[#This Row],[TargetTRY]],0)</f>
        <v>0.96801766822425983</v>
      </c>
      <c r="S209" s="6">
        <f>tblSales[[#This Row],[NetSalesTRY]]-tblSales[[#This Row],[TargetTRY]]</f>
        <v>-3002.8399999999965</v>
      </c>
      <c r="T209" s="6">
        <f>MAX(tblSales[[#This Row],[TargetTRY]]-tblSales[[#This Row],[NetSalesTRY]],0)</f>
        <v>3002.8399999999965</v>
      </c>
    </row>
    <row r="210" spans="1:20">
      <c r="A210" t="s">
        <v>598</v>
      </c>
      <c r="B210" s="15">
        <v>45413</v>
      </c>
      <c r="C210" t="s">
        <v>21</v>
      </c>
      <c r="D210" t="s">
        <v>22</v>
      </c>
      <c r="E210" t="s">
        <v>46</v>
      </c>
      <c r="F210" t="s">
        <v>44</v>
      </c>
      <c r="G210" t="s">
        <v>5</v>
      </c>
      <c r="H210" s="8">
        <v>105</v>
      </c>
      <c r="I210" s="9">
        <v>102190.39999999999</v>
      </c>
      <c r="J210" s="9">
        <v>5358.54</v>
      </c>
      <c r="K210" s="9">
        <v>913.49</v>
      </c>
      <c r="L210" s="9">
        <v>95918.37</v>
      </c>
      <c r="M210" s="9">
        <v>96336.23</v>
      </c>
      <c r="N210" s="6" t="str">
        <f>_xlfn.XLOOKUP(tblSales[[#This Row],[ProductID]],tblProducts[ProductID],tblProducts[ProductName],"Not Found")</f>
        <v>Cardiovan</v>
      </c>
      <c r="O210" s="8">
        <f>YEAR(tblSales[[#This Row],[Month]])</f>
        <v>2024</v>
      </c>
      <c r="P210" s="8">
        <f>MONTH(tblSales[[#This Row],[Month]])</f>
        <v>5</v>
      </c>
      <c r="Q210" s="6">
        <f>IFERROR(tblSales[[#This Row],[NetSalesTRY]]/tblSales[[#This Row],[Units]],0)</f>
        <v>913.50828571428565</v>
      </c>
      <c r="R210" s="17">
        <f>IFERROR(tblSales[[#This Row],[NetSalesTRY]]/tblSales[[#This Row],[TargetTRY]],0)</f>
        <v>0.99566248336684959</v>
      </c>
      <c r="S210" s="6">
        <f>tblSales[[#This Row],[NetSalesTRY]]-tblSales[[#This Row],[TargetTRY]]</f>
        <v>-417.86000000000058</v>
      </c>
      <c r="T210" s="6">
        <f>MAX(tblSales[[#This Row],[TargetTRY]]-tblSales[[#This Row],[NetSalesTRY]],0)</f>
        <v>417.86000000000058</v>
      </c>
    </row>
    <row r="211" spans="1:20">
      <c r="A211" t="s">
        <v>599</v>
      </c>
      <c r="B211" s="15">
        <v>45413</v>
      </c>
      <c r="C211" t="s">
        <v>21</v>
      </c>
      <c r="D211" t="s">
        <v>22</v>
      </c>
      <c r="E211" t="s">
        <v>46</v>
      </c>
      <c r="F211" t="s">
        <v>44</v>
      </c>
      <c r="G211" t="s">
        <v>8</v>
      </c>
      <c r="H211" s="8">
        <v>124</v>
      </c>
      <c r="I211" s="9">
        <v>94614.54</v>
      </c>
      <c r="J211" s="9">
        <v>5150.17</v>
      </c>
      <c r="K211" s="9">
        <v>957.61</v>
      </c>
      <c r="L211" s="9">
        <v>88506.77</v>
      </c>
      <c r="M211" s="9">
        <v>92118.65</v>
      </c>
      <c r="N211" s="6" t="str">
        <f>_xlfn.XLOOKUP(tblSales[[#This Row],[ProductID]],tblProducts[ProductID],tblProducts[ProductName],"Not Found")</f>
        <v>GlucoRelief</v>
      </c>
      <c r="O211" s="8">
        <f>YEAR(tblSales[[#This Row],[Month]])</f>
        <v>2024</v>
      </c>
      <c r="P211" s="8">
        <f>MONTH(tblSales[[#This Row],[Month]])</f>
        <v>5</v>
      </c>
      <c r="Q211" s="6">
        <f>IFERROR(tblSales[[#This Row],[NetSalesTRY]]/tblSales[[#This Row],[Units]],0)</f>
        <v>713.76427419354843</v>
      </c>
      <c r="R211" s="17">
        <f>IFERROR(tblSales[[#This Row],[NetSalesTRY]]/tblSales[[#This Row],[TargetTRY]],0)</f>
        <v>0.96079100160499542</v>
      </c>
      <c r="S211" s="6">
        <f>tblSales[[#This Row],[NetSalesTRY]]-tblSales[[#This Row],[TargetTRY]]</f>
        <v>-3611.8799999999901</v>
      </c>
      <c r="T211" s="6">
        <f>MAX(tblSales[[#This Row],[TargetTRY]]-tblSales[[#This Row],[NetSalesTRY]],0)</f>
        <v>3611.8799999999901</v>
      </c>
    </row>
    <row r="212" spans="1:20">
      <c r="A212" t="s">
        <v>600</v>
      </c>
      <c r="B212" s="15">
        <v>45413</v>
      </c>
      <c r="C212" t="s">
        <v>21</v>
      </c>
      <c r="D212" t="s">
        <v>22</v>
      </c>
      <c r="E212" t="s">
        <v>46</v>
      </c>
      <c r="F212" t="s">
        <v>44</v>
      </c>
      <c r="G212" t="s">
        <v>11</v>
      </c>
      <c r="H212" s="8">
        <v>159</v>
      </c>
      <c r="I212" s="9">
        <v>98619.23</v>
      </c>
      <c r="J212" s="9">
        <v>4127.2299999999996</v>
      </c>
      <c r="K212" s="9">
        <v>488.88</v>
      </c>
      <c r="L212" s="9">
        <v>94003.11</v>
      </c>
      <c r="M212" s="9">
        <v>89720.34</v>
      </c>
      <c r="N212" s="6" t="str">
        <f>_xlfn.XLOOKUP(tblSales[[#This Row],[ProductID]],tblProducts[ProductID],tblProducts[ProductName],"Not Found")</f>
        <v>RespiraX</v>
      </c>
      <c r="O212" s="8">
        <f>YEAR(tblSales[[#This Row],[Month]])</f>
        <v>2024</v>
      </c>
      <c r="P212" s="8">
        <f>MONTH(tblSales[[#This Row],[Month]])</f>
        <v>5</v>
      </c>
      <c r="Q212" s="6">
        <f>IFERROR(tblSales[[#This Row],[NetSalesTRY]]/tblSales[[#This Row],[Units]],0)</f>
        <v>591.21452830188684</v>
      </c>
      <c r="R212" s="17">
        <f>IFERROR(tblSales[[#This Row],[NetSalesTRY]]/tblSales[[#This Row],[TargetTRY]],0)</f>
        <v>1.0477346608361047</v>
      </c>
      <c r="S212" s="6">
        <f>tblSales[[#This Row],[NetSalesTRY]]-tblSales[[#This Row],[TargetTRY]]</f>
        <v>4282.7700000000041</v>
      </c>
      <c r="T212" s="6">
        <f>MAX(tblSales[[#This Row],[TargetTRY]]-tblSales[[#This Row],[NetSalesTRY]],0)</f>
        <v>0</v>
      </c>
    </row>
    <row r="213" spans="1:20">
      <c r="A213" t="s">
        <v>601</v>
      </c>
      <c r="B213" s="15">
        <v>45413</v>
      </c>
      <c r="C213" t="s">
        <v>21</v>
      </c>
      <c r="D213" t="s">
        <v>22</v>
      </c>
      <c r="E213" t="s">
        <v>46</v>
      </c>
      <c r="F213" t="s">
        <v>44</v>
      </c>
      <c r="G213" t="s">
        <v>14</v>
      </c>
      <c r="H213" s="8">
        <v>84</v>
      </c>
      <c r="I213" s="9">
        <v>93079.38</v>
      </c>
      <c r="J213" s="9">
        <v>6934.98</v>
      </c>
      <c r="K213" s="9">
        <v>1180.69</v>
      </c>
      <c r="L213" s="9">
        <v>84963.71</v>
      </c>
      <c r="M213" s="9">
        <v>83843.55</v>
      </c>
      <c r="N213" s="6" t="str">
        <f>_xlfn.XLOOKUP(tblSales[[#This Row],[ProductID]],tblProducts[ProductID],tblProducts[ProductName],"Not Found")</f>
        <v>NeuroCalm</v>
      </c>
      <c r="O213" s="8">
        <f>YEAR(tblSales[[#This Row],[Month]])</f>
        <v>2024</v>
      </c>
      <c r="P213" s="8">
        <f>MONTH(tblSales[[#This Row],[Month]])</f>
        <v>5</v>
      </c>
      <c r="Q213" s="6">
        <f>IFERROR(tblSales[[#This Row],[NetSalesTRY]]/tblSales[[#This Row],[Units]],0)</f>
        <v>1011.4727380952381</v>
      </c>
      <c r="R213" s="17">
        <f>IFERROR(tblSales[[#This Row],[NetSalesTRY]]/tblSales[[#This Row],[TargetTRY]],0)</f>
        <v>1.0133601213211989</v>
      </c>
      <c r="S213" s="6">
        <f>tblSales[[#This Row],[NetSalesTRY]]-tblSales[[#This Row],[TargetTRY]]</f>
        <v>1120.1600000000035</v>
      </c>
      <c r="T213" s="6">
        <f>MAX(tblSales[[#This Row],[TargetTRY]]-tblSales[[#This Row],[NetSalesTRY]],0)</f>
        <v>0</v>
      </c>
    </row>
    <row r="214" spans="1:20">
      <c r="A214" t="s">
        <v>602</v>
      </c>
      <c r="B214" s="15">
        <v>45413</v>
      </c>
      <c r="C214" t="s">
        <v>21</v>
      </c>
      <c r="D214" t="s">
        <v>22</v>
      </c>
      <c r="E214" t="s">
        <v>49</v>
      </c>
      <c r="F214" t="s">
        <v>47</v>
      </c>
      <c r="G214" t="s">
        <v>5</v>
      </c>
      <c r="H214" s="8">
        <v>122</v>
      </c>
      <c r="I214" s="9">
        <v>119261.72</v>
      </c>
      <c r="J214" s="9">
        <v>8681.26</v>
      </c>
      <c r="K214" s="9">
        <v>499.17</v>
      </c>
      <c r="L214" s="9">
        <v>110081.29</v>
      </c>
      <c r="M214" s="9">
        <v>109196.1</v>
      </c>
      <c r="N214" s="6" t="str">
        <f>_xlfn.XLOOKUP(tblSales[[#This Row],[ProductID]],tblProducts[ProductID],tblProducts[ProductName],"Not Found")</f>
        <v>Cardiovan</v>
      </c>
      <c r="O214" s="8">
        <f>YEAR(tblSales[[#This Row],[Month]])</f>
        <v>2024</v>
      </c>
      <c r="P214" s="8">
        <f>MONTH(tblSales[[#This Row],[Month]])</f>
        <v>5</v>
      </c>
      <c r="Q214" s="6">
        <f>IFERROR(tblSales[[#This Row],[NetSalesTRY]]/tblSales[[#This Row],[Units]],0)</f>
        <v>902.30565573770491</v>
      </c>
      <c r="R214" s="17">
        <f>IFERROR(tblSales[[#This Row],[NetSalesTRY]]/tblSales[[#This Row],[TargetTRY]],0)</f>
        <v>1.0081064250463156</v>
      </c>
      <c r="S214" s="6">
        <f>tblSales[[#This Row],[NetSalesTRY]]-tblSales[[#This Row],[TargetTRY]]</f>
        <v>885.18999999998778</v>
      </c>
      <c r="T214" s="6">
        <f>MAX(tblSales[[#This Row],[TargetTRY]]-tblSales[[#This Row],[NetSalesTRY]],0)</f>
        <v>0</v>
      </c>
    </row>
    <row r="215" spans="1:20">
      <c r="A215" t="s">
        <v>603</v>
      </c>
      <c r="B215" s="15">
        <v>45413</v>
      </c>
      <c r="C215" t="s">
        <v>21</v>
      </c>
      <c r="D215" t="s">
        <v>22</v>
      </c>
      <c r="E215" t="s">
        <v>49</v>
      </c>
      <c r="F215" t="s">
        <v>47</v>
      </c>
      <c r="G215" t="s">
        <v>8</v>
      </c>
      <c r="H215" s="8">
        <v>153</v>
      </c>
      <c r="I215" s="9">
        <v>116443.19</v>
      </c>
      <c r="J215" s="9">
        <v>6530.62</v>
      </c>
      <c r="K215" s="9">
        <v>781.09</v>
      </c>
      <c r="L215" s="9">
        <v>109131.49</v>
      </c>
      <c r="M215" s="9">
        <v>104424.76</v>
      </c>
      <c r="N215" s="6" t="str">
        <f>_xlfn.XLOOKUP(tblSales[[#This Row],[ProductID]],tblProducts[ProductID],tblProducts[ProductName],"Not Found")</f>
        <v>GlucoRelief</v>
      </c>
      <c r="O215" s="8">
        <f>YEAR(tblSales[[#This Row],[Month]])</f>
        <v>2024</v>
      </c>
      <c r="P215" s="8">
        <f>MONTH(tblSales[[#This Row],[Month]])</f>
        <v>5</v>
      </c>
      <c r="Q215" s="6">
        <f>IFERROR(tblSales[[#This Row],[NetSalesTRY]]/tblSales[[#This Row],[Units]],0)</f>
        <v>713.27771241830067</v>
      </c>
      <c r="R215" s="17">
        <f>IFERROR(tblSales[[#This Row],[NetSalesTRY]]/tblSales[[#This Row],[TargetTRY]],0)</f>
        <v>1.0450729309792046</v>
      </c>
      <c r="S215" s="6">
        <f>tblSales[[#This Row],[NetSalesTRY]]-tblSales[[#This Row],[TargetTRY]]</f>
        <v>4706.7300000000105</v>
      </c>
      <c r="T215" s="6">
        <f>MAX(tblSales[[#This Row],[TargetTRY]]-tblSales[[#This Row],[NetSalesTRY]],0)</f>
        <v>0</v>
      </c>
    </row>
    <row r="216" spans="1:20">
      <c r="A216" t="s">
        <v>604</v>
      </c>
      <c r="B216" s="15">
        <v>45413</v>
      </c>
      <c r="C216" t="s">
        <v>21</v>
      </c>
      <c r="D216" t="s">
        <v>22</v>
      </c>
      <c r="E216" t="s">
        <v>49</v>
      </c>
      <c r="F216" t="s">
        <v>47</v>
      </c>
      <c r="G216" t="s">
        <v>11</v>
      </c>
      <c r="H216" s="8">
        <v>174</v>
      </c>
      <c r="I216" s="9">
        <v>106890.29</v>
      </c>
      <c r="J216" s="9">
        <v>4421.8999999999996</v>
      </c>
      <c r="K216" s="9">
        <v>480.84</v>
      </c>
      <c r="L216" s="9">
        <v>101987.55</v>
      </c>
      <c r="M216" s="9">
        <v>101474.85</v>
      </c>
      <c r="N216" s="6" t="str">
        <f>_xlfn.XLOOKUP(tblSales[[#This Row],[ProductID]],tblProducts[ProductID],tblProducts[ProductName],"Not Found")</f>
        <v>RespiraX</v>
      </c>
      <c r="O216" s="8">
        <f>YEAR(tblSales[[#This Row],[Month]])</f>
        <v>2024</v>
      </c>
      <c r="P216" s="8">
        <f>MONTH(tblSales[[#This Row],[Month]])</f>
        <v>5</v>
      </c>
      <c r="Q216" s="6">
        <f>IFERROR(tblSales[[#This Row],[NetSalesTRY]]/tblSales[[#This Row],[Units]],0)</f>
        <v>586.13534482758621</v>
      </c>
      <c r="R216" s="17">
        <f>IFERROR(tblSales[[#This Row],[NetSalesTRY]]/tblSales[[#This Row],[TargetTRY]],0)</f>
        <v>1.0050524834478691</v>
      </c>
      <c r="S216" s="6">
        <f>tblSales[[#This Row],[NetSalesTRY]]-tblSales[[#This Row],[TargetTRY]]</f>
        <v>512.69999999999709</v>
      </c>
      <c r="T216" s="6">
        <f>MAX(tblSales[[#This Row],[TargetTRY]]-tblSales[[#This Row],[NetSalesTRY]],0)</f>
        <v>0</v>
      </c>
    </row>
    <row r="217" spans="1:20">
      <c r="A217" t="s">
        <v>605</v>
      </c>
      <c r="B217" s="15">
        <v>45413</v>
      </c>
      <c r="C217" t="s">
        <v>21</v>
      </c>
      <c r="D217" t="s">
        <v>22</v>
      </c>
      <c r="E217" t="s">
        <v>49</v>
      </c>
      <c r="F217" t="s">
        <v>47</v>
      </c>
      <c r="G217" t="s">
        <v>14</v>
      </c>
      <c r="H217" s="8">
        <v>89</v>
      </c>
      <c r="I217" s="9">
        <v>96831.93</v>
      </c>
      <c r="J217" s="9">
        <v>5659.1</v>
      </c>
      <c r="K217" s="9">
        <v>564.91999999999996</v>
      </c>
      <c r="L217" s="9">
        <v>90607.91</v>
      </c>
      <c r="M217" s="9">
        <v>94512.35</v>
      </c>
      <c r="N217" s="6" t="str">
        <f>_xlfn.XLOOKUP(tblSales[[#This Row],[ProductID]],tblProducts[ProductID],tblProducts[ProductName],"Not Found")</f>
        <v>NeuroCalm</v>
      </c>
      <c r="O217" s="8">
        <f>YEAR(tblSales[[#This Row],[Month]])</f>
        <v>2024</v>
      </c>
      <c r="P217" s="8">
        <f>MONTH(tblSales[[#This Row],[Month]])</f>
        <v>5</v>
      </c>
      <c r="Q217" s="6">
        <f>IFERROR(tblSales[[#This Row],[NetSalesTRY]]/tblSales[[#This Row],[Units]],0)</f>
        <v>1018.066404494382</v>
      </c>
      <c r="R217" s="17">
        <f>IFERROR(tblSales[[#This Row],[NetSalesTRY]]/tblSales[[#This Row],[TargetTRY]],0)</f>
        <v>0.95868857350388603</v>
      </c>
      <c r="S217" s="6">
        <f>tblSales[[#This Row],[NetSalesTRY]]-tblSales[[#This Row],[TargetTRY]]</f>
        <v>-3904.4400000000023</v>
      </c>
      <c r="T217" s="6">
        <f>MAX(tblSales[[#This Row],[TargetTRY]]-tblSales[[#This Row],[NetSalesTRY]],0)</f>
        <v>3904.4400000000023</v>
      </c>
    </row>
    <row r="218" spans="1:20">
      <c r="A218" t="s">
        <v>606</v>
      </c>
      <c r="B218" s="15">
        <v>45413</v>
      </c>
      <c r="C218" t="s">
        <v>23</v>
      </c>
      <c r="D218" t="s">
        <v>24</v>
      </c>
      <c r="E218" t="s">
        <v>52</v>
      </c>
      <c r="F218" t="s">
        <v>50</v>
      </c>
      <c r="G218" t="s">
        <v>5</v>
      </c>
      <c r="H218" s="8">
        <v>115</v>
      </c>
      <c r="I218" s="9">
        <v>111739.32</v>
      </c>
      <c r="J218" s="9">
        <v>5374.87</v>
      </c>
      <c r="K218" s="9">
        <v>867.86</v>
      </c>
      <c r="L218" s="9">
        <v>105496.6</v>
      </c>
      <c r="M218" s="9">
        <v>111349.14</v>
      </c>
      <c r="N218" s="6" t="str">
        <f>_xlfn.XLOOKUP(tblSales[[#This Row],[ProductID]],tblProducts[ProductID],tblProducts[ProductName],"Not Found")</f>
        <v>Cardiovan</v>
      </c>
      <c r="O218" s="8">
        <f>YEAR(tblSales[[#This Row],[Month]])</f>
        <v>2024</v>
      </c>
      <c r="P218" s="8">
        <f>MONTH(tblSales[[#This Row],[Month]])</f>
        <v>5</v>
      </c>
      <c r="Q218" s="6">
        <f>IFERROR(tblSales[[#This Row],[NetSalesTRY]]/tblSales[[#This Row],[Units]],0)</f>
        <v>917.36173913043478</v>
      </c>
      <c r="R218" s="17">
        <f>IFERROR(tblSales[[#This Row],[NetSalesTRY]]/tblSales[[#This Row],[TargetTRY]],0)</f>
        <v>0.9474397377474133</v>
      </c>
      <c r="S218" s="6">
        <f>tblSales[[#This Row],[NetSalesTRY]]-tblSales[[#This Row],[TargetTRY]]</f>
        <v>-5852.5399999999936</v>
      </c>
      <c r="T218" s="6">
        <f>MAX(tblSales[[#This Row],[TargetTRY]]-tblSales[[#This Row],[NetSalesTRY]],0)</f>
        <v>5852.5399999999936</v>
      </c>
    </row>
    <row r="219" spans="1:20">
      <c r="A219" t="s">
        <v>607</v>
      </c>
      <c r="B219" s="15">
        <v>45413</v>
      </c>
      <c r="C219" t="s">
        <v>23</v>
      </c>
      <c r="D219" t="s">
        <v>24</v>
      </c>
      <c r="E219" t="s">
        <v>52</v>
      </c>
      <c r="F219" t="s">
        <v>50</v>
      </c>
      <c r="G219" t="s">
        <v>8</v>
      </c>
      <c r="H219" s="8">
        <v>136</v>
      </c>
      <c r="I219" s="9">
        <v>104659.25</v>
      </c>
      <c r="J219" s="9">
        <v>5483.38</v>
      </c>
      <c r="K219" s="9">
        <v>1113.95</v>
      </c>
      <c r="L219" s="9">
        <v>98061.92</v>
      </c>
      <c r="M219" s="9">
        <v>103629.48</v>
      </c>
      <c r="N219" s="6" t="str">
        <f>_xlfn.XLOOKUP(tblSales[[#This Row],[ProductID]],tblProducts[ProductID],tblProducts[ProductName],"Not Found")</f>
        <v>GlucoRelief</v>
      </c>
      <c r="O219" s="8">
        <f>YEAR(tblSales[[#This Row],[Month]])</f>
        <v>2024</v>
      </c>
      <c r="P219" s="8">
        <f>MONTH(tblSales[[#This Row],[Month]])</f>
        <v>5</v>
      </c>
      <c r="Q219" s="6">
        <f>IFERROR(tblSales[[#This Row],[NetSalesTRY]]/tblSales[[#This Row],[Units]],0)</f>
        <v>721.04352941176467</v>
      </c>
      <c r="R219" s="17">
        <f>IFERROR(tblSales[[#This Row],[NetSalesTRY]]/tblSales[[#This Row],[TargetTRY]],0)</f>
        <v>0.94627436131108644</v>
      </c>
      <c r="S219" s="6">
        <f>tblSales[[#This Row],[NetSalesTRY]]-tblSales[[#This Row],[TargetTRY]]</f>
        <v>-5567.5599999999977</v>
      </c>
      <c r="T219" s="6">
        <f>MAX(tblSales[[#This Row],[TargetTRY]]-tblSales[[#This Row],[NetSalesTRY]],0)</f>
        <v>5567.5599999999977</v>
      </c>
    </row>
    <row r="220" spans="1:20">
      <c r="A220" t="s">
        <v>608</v>
      </c>
      <c r="B220" s="15">
        <v>45413</v>
      </c>
      <c r="C220" t="s">
        <v>23</v>
      </c>
      <c r="D220" t="s">
        <v>24</v>
      </c>
      <c r="E220" t="s">
        <v>52</v>
      </c>
      <c r="F220" t="s">
        <v>50</v>
      </c>
      <c r="G220" t="s">
        <v>11</v>
      </c>
      <c r="H220" s="8">
        <v>166</v>
      </c>
      <c r="I220" s="9">
        <v>102924.6</v>
      </c>
      <c r="J220" s="9">
        <v>7647.87</v>
      </c>
      <c r="K220" s="9">
        <v>517.78</v>
      </c>
      <c r="L220" s="9">
        <v>94758.95</v>
      </c>
      <c r="M220" s="9">
        <v>100418.24000000001</v>
      </c>
      <c r="N220" s="6" t="str">
        <f>_xlfn.XLOOKUP(tblSales[[#This Row],[ProductID]],tblProducts[ProductID],tblProducts[ProductName],"Not Found")</f>
        <v>RespiraX</v>
      </c>
      <c r="O220" s="8">
        <f>YEAR(tblSales[[#This Row],[Month]])</f>
        <v>2024</v>
      </c>
      <c r="P220" s="8">
        <f>MONTH(tblSales[[#This Row],[Month]])</f>
        <v>5</v>
      </c>
      <c r="Q220" s="6">
        <f>IFERROR(tblSales[[#This Row],[NetSalesTRY]]/tblSales[[#This Row],[Units]],0)</f>
        <v>570.83704819277102</v>
      </c>
      <c r="R220" s="17">
        <f>IFERROR(tblSales[[#This Row],[NetSalesTRY]]/tblSales[[#This Row],[TargetTRY]],0)</f>
        <v>0.94364280831848868</v>
      </c>
      <c r="S220" s="6">
        <f>tblSales[[#This Row],[NetSalesTRY]]-tblSales[[#This Row],[TargetTRY]]</f>
        <v>-5659.2900000000081</v>
      </c>
      <c r="T220" s="6">
        <f>MAX(tblSales[[#This Row],[TargetTRY]]-tblSales[[#This Row],[NetSalesTRY]],0)</f>
        <v>5659.2900000000081</v>
      </c>
    </row>
    <row r="221" spans="1:20">
      <c r="A221" t="s">
        <v>609</v>
      </c>
      <c r="B221" s="15">
        <v>45413</v>
      </c>
      <c r="C221" t="s">
        <v>23</v>
      </c>
      <c r="D221" t="s">
        <v>24</v>
      </c>
      <c r="E221" t="s">
        <v>52</v>
      </c>
      <c r="F221" t="s">
        <v>50</v>
      </c>
      <c r="G221" t="s">
        <v>14</v>
      </c>
      <c r="H221" s="8">
        <v>94</v>
      </c>
      <c r="I221" s="9">
        <v>102401.37</v>
      </c>
      <c r="J221" s="9">
        <v>3836.81</v>
      </c>
      <c r="K221" s="9">
        <v>769.96</v>
      </c>
      <c r="L221" s="9">
        <v>97794.61</v>
      </c>
      <c r="M221" s="9">
        <v>95713.42</v>
      </c>
      <c r="N221" s="6" t="str">
        <f>_xlfn.XLOOKUP(tblSales[[#This Row],[ProductID]],tblProducts[ProductID],tblProducts[ProductName],"Not Found")</f>
        <v>NeuroCalm</v>
      </c>
      <c r="O221" s="8">
        <f>YEAR(tblSales[[#This Row],[Month]])</f>
        <v>2024</v>
      </c>
      <c r="P221" s="8">
        <f>MONTH(tblSales[[#This Row],[Month]])</f>
        <v>5</v>
      </c>
      <c r="Q221" s="6">
        <f>IFERROR(tblSales[[#This Row],[NetSalesTRY]]/tblSales[[#This Row],[Units]],0)</f>
        <v>1040.3681914893616</v>
      </c>
      <c r="R221" s="17">
        <f>IFERROR(tblSales[[#This Row],[NetSalesTRY]]/tblSales[[#This Row],[TargetTRY]],0)</f>
        <v>1.0217439727887689</v>
      </c>
      <c r="S221" s="6">
        <f>tblSales[[#This Row],[NetSalesTRY]]-tblSales[[#This Row],[TargetTRY]]</f>
        <v>2081.1900000000023</v>
      </c>
      <c r="T221" s="6">
        <f>MAX(tblSales[[#This Row],[TargetTRY]]-tblSales[[#This Row],[NetSalesTRY]],0)</f>
        <v>0</v>
      </c>
    </row>
    <row r="222" spans="1:20">
      <c r="A222" t="s">
        <v>610</v>
      </c>
      <c r="B222" s="15">
        <v>45413</v>
      </c>
      <c r="C222" t="s">
        <v>23</v>
      </c>
      <c r="D222" t="s">
        <v>24</v>
      </c>
      <c r="E222" t="s">
        <v>55</v>
      </c>
      <c r="F222" t="s">
        <v>53</v>
      </c>
      <c r="G222" t="s">
        <v>5</v>
      </c>
      <c r="H222" s="8">
        <v>126</v>
      </c>
      <c r="I222" s="9">
        <v>122961.95</v>
      </c>
      <c r="J222" s="9">
        <v>7261.48</v>
      </c>
      <c r="K222" s="9">
        <v>754.04</v>
      </c>
      <c r="L222" s="9">
        <v>114946.43</v>
      </c>
      <c r="M222" s="9">
        <v>109959.72</v>
      </c>
      <c r="N222" s="6" t="str">
        <f>_xlfn.XLOOKUP(tblSales[[#This Row],[ProductID]],tblProducts[ProductID],tblProducts[ProductName],"Not Found")</f>
        <v>Cardiovan</v>
      </c>
      <c r="O222" s="8">
        <f>YEAR(tblSales[[#This Row],[Month]])</f>
        <v>2024</v>
      </c>
      <c r="P222" s="8">
        <f>MONTH(tblSales[[#This Row],[Month]])</f>
        <v>5</v>
      </c>
      <c r="Q222" s="6">
        <f>IFERROR(tblSales[[#This Row],[NetSalesTRY]]/tblSales[[#This Row],[Units]],0)</f>
        <v>912.27325396825393</v>
      </c>
      <c r="R222" s="17">
        <f>IFERROR(tblSales[[#This Row],[NetSalesTRY]]/tblSales[[#This Row],[TargetTRY]],0)</f>
        <v>1.0453503337403913</v>
      </c>
      <c r="S222" s="6">
        <f>tblSales[[#This Row],[NetSalesTRY]]-tblSales[[#This Row],[TargetTRY]]</f>
        <v>4986.7099999999919</v>
      </c>
      <c r="T222" s="6">
        <f>MAX(tblSales[[#This Row],[TargetTRY]]-tblSales[[#This Row],[NetSalesTRY]],0)</f>
        <v>0</v>
      </c>
    </row>
    <row r="223" spans="1:20">
      <c r="A223" t="s">
        <v>611</v>
      </c>
      <c r="B223" s="15">
        <v>45413</v>
      </c>
      <c r="C223" t="s">
        <v>23</v>
      </c>
      <c r="D223" t="s">
        <v>24</v>
      </c>
      <c r="E223" t="s">
        <v>55</v>
      </c>
      <c r="F223" t="s">
        <v>53</v>
      </c>
      <c r="G223" t="s">
        <v>8</v>
      </c>
      <c r="H223" s="8">
        <v>142</v>
      </c>
      <c r="I223" s="9">
        <v>109148.42</v>
      </c>
      <c r="J223" s="9">
        <v>6956.32</v>
      </c>
      <c r="K223" s="9">
        <v>879.98</v>
      </c>
      <c r="L223" s="9">
        <v>101312.12</v>
      </c>
      <c r="M223" s="9">
        <v>102722.37</v>
      </c>
      <c r="N223" s="6" t="str">
        <f>_xlfn.XLOOKUP(tblSales[[#This Row],[ProductID]],tblProducts[ProductID],tblProducts[ProductName],"Not Found")</f>
        <v>GlucoRelief</v>
      </c>
      <c r="O223" s="8">
        <f>YEAR(tblSales[[#This Row],[Month]])</f>
        <v>2024</v>
      </c>
      <c r="P223" s="8">
        <f>MONTH(tblSales[[#This Row],[Month]])</f>
        <v>5</v>
      </c>
      <c r="Q223" s="6">
        <f>IFERROR(tblSales[[#This Row],[NetSalesTRY]]/tblSales[[#This Row],[Units]],0)</f>
        <v>713.46563380281691</v>
      </c>
      <c r="R223" s="17">
        <f>IFERROR(tblSales[[#This Row],[NetSalesTRY]]/tblSales[[#This Row],[TargetTRY]],0)</f>
        <v>0.98627124744103933</v>
      </c>
      <c r="S223" s="6">
        <f>tblSales[[#This Row],[NetSalesTRY]]-tblSales[[#This Row],[TargetTRY]]</f>
        <v>-1410.25</v>
      </c>
      <c r="T223" s="6">
        <f>MAX(tblSales[[#This Row],[TargetTRY]]-tblSales[[#This Row],[NetSalesTRY]],0)</f>
        <v>1410.25</v>
      </c>
    </row>
    <row r="224" spans="1:20">
      <c r="A224" t="s">
        <v>612</v>
      </c>
      <c r="B224" s="15">
        <v>45413</v>
      </c>
      <c r="C224" t="s">
        <v>23</v>
      </c>
      <c r="D224" t="s">
        <v>24</v>
      </c>
      <c r="E224" t="s">
        <v>55</v>
      </c>
      <c r="F224" t="s">
        <v>53</v>
      </c>
      <c r="G224" t="s">
        <v>11</v>
      </c>
      <c r="H224" s="8">
        <v>176</v>
      </c>
      <c r="I224" s="9">
        <v>110550.39999999999</v>
      </c>
      <c r="J224" s="9">
        <v>3930.39</v>
      </c>
      <c r="K224" s="9">
        <v>976.15</v>
      </c>
      <c r="L224" s="9">
        <v>105643.86</v>
      </c>
      <c r="M224" s="9">
        <v>102798.1</v>
      </c>
      <c r="N224" s="6" t="str">
        <f>_xlfn.XLOOKUP(tblSales[[#This Row],[ProductID]],tblProducts[ProductID],tblProducts[ProductName],"Not Found")</f>
        <v>RespiraX</v>
      </c>
      <c r="O224" s="8">
        <f>YEAR(tblSales[[#This Row],[Month]])</f>
        <v>2024</v>
      </c>
      <c r="P224" s="8">
        <f>MONTH(tblSales[[#This Row],[Month]])</f>
        <v>5</v>
      </c>
      <c r="Q224" s="6">
        <f>IFERROR(tblSales[[#This Row],[NetSalesTRY]]/tblSales[[#This Row],[Units]],0)</f>
        <v>600.24920454545452</v>
      </c>
      <c r="R224" s="17">
        <f>IFERROR(tblSales[[#This Row],[NetSalesTRY]]/tblSales[[#This Row],[TargetTRY]],0)</f>
        <v>1.0276830019231873</v>
      </c>
      <c r="S224" s="6">
        <f>tblSales[[#This Row],[NetSalesTRY]]-tblSales[[#This Row],[TargetTRY]]</f>
        <v>2845.7599999999948</v>
      </c>
      <c r="T224" s="6">
        <f>MAX(tblSales[[#This Row],[TargetTRY]]-tblSales[[#This Row],[NetSalesTRY]],0)</f>
        <v>0</v>
      </c>
    </row>
    <row r="225" spans="1:20">
      <c r="A225" t="s">
        <v>613</v>
      </c>
      <c r="B225" s="15">
        <v>45413</v>
      </c>
      <c r="C225" t="s">
        <v>23</v>
      </c>
      <c r="D225" t="s">
        <v>24</v>
      </c>
      <c r="E225" t="s">
        <v>55</v>
      </c>
      <c r="F225" t="s">
        <v>53</v>
      </c>
      <c r="G225" t="s">
        <v>14</v>
      </c>
      <c r="H225" s="8">
        <v>97</v>
      </c>
      <c r="I225" s="9">
        <v>108112.5</v>
      </c>
      <c r="J225" s="9">
        <v>4238.72</v>
      </c>
      <c r="K225" s="9">
        <v>956.09</v>
      </c>
      <c r="L225" s="9">
        <v>102917.68</v>
      </c>
      <c r="M225" s="9">
        <v>94909.13</v>
      </c>
      <c r="N225" s="6" t="str">
        <f>_xlfn.XLOOKUP(tblSales[[#This Row],[ProductID]],tblProducts[ProductID],tblProducts[ProductName],"Not Found")</f>
        <v>NeuroCalm</v>
      </c>
      <c r="O225" s="8">
        <f>YEAR(tblSales[[#This Row],[Month]])</f>
        <v>2024</v>
      </c>
      <c r="P225" s="8">
        <f>MONTH(tblSales[[#This Row],[Month]])</f>
        <v>5</v>
      </c>
      <c r="Q225" s="6">
        <f>IFERROR(tblSales[[#This Row],[NetSalesTRY]]/tblSales[[#This Row],[Units]],0)</f>
        <v>1061.0070103092783</v>
      </c>
      <c r="R225" s="17">
        <f>IFERROR(tblSales[[#This Row],[NetSalesTRY]]/tblSales[[#This Row],[TargetTRY]],0)</f>
        <v>1.084381239191635</v>
      </c>
      <c r="S225" s="6">
        <f>tblSales[[#This Row],[NetSalesTRY]]-tblSales[[#This Row],[TargetTRY]]</f>
        <v>8008.5499999999884</v>
      </c>
      <c r="T225" s="6">
        <f>MAX(tblSales[[#This Row],[TargetTRY]]-tblSales[[#This Row],[NetSalesTRY]],0)</f>
        <v>0</v>
      </c>
    </row>
    <row r="226" spans="1:20">
      <c r="A226" t="s">
        <v>614</v>
      </c>
      <c r="B226" s="15">
        <v>45413</v>
      </c>
      <c r="C226" t="s">
        <v>23</v>
      </c>
      <c r="D226" t="s">
        <v>24</v>
      </c>
      <c r="E226" t="s">
        <v>58</v>
      </c>
      <c r="F226" t="s">
        <v>56</v>
      </c>
      <c r="G226" t="s">
        <v>5</v>
      </c>
      <c r="H226" s="8">
        <v>118</v>
      </c>
      <c r="I226" s="9">
        <v>116703.83</v>
      </c>
      <c r="J226" s="9">
        <v>4723.6899999999996</v>
      </c>
      <c r="K226" s="9">
        <v>1342.17</v>
      </c>
      <c r="L226" s="9">
        <v>110637.98</v>
      </c>
      <c r="M226" s="9">
        <v>113031.78</v>
      </c>
      <c r="N226" s="6" t="str">
        <f>_xlfn.XLOOKUP(tblSales[[#This Row],[ProductID]],tblProducts[ProductID],tblProducts[ProductName],"Not Found")</f>
        <v>Cardiovan</v>
      </c>
      <c r="O226" s="8">
        <f>YEAR(tblSales[[#This Row],[Month]])</f>
        <v>2024</v>
      </c>
      <c r="P226" s="8">
        <f>MONTH(tblSales[[#This Row],[Month]])</f>
        <v>5</v>
      </c>
      <c r="Q226" s="6">
        <f>IFERROR(tblSales[[#This Row],[NetSalesTRY]]/tblSales[[#This Row],[Units]],0)</f>
        <v>937.61</v>
      </c>
      <c r="R226" s="17">
        <f>IFERROR(tblSales[[#This Row],[NetSalesTRY]]/tblSales[[#This Row],[TargetTRY]],0)</f>
        <v>0.97882188531402403</v>
      </c>
      <c r="S226" s="6">
        <f>tblSales[[#This Row],[NetSalesTRY]]-tblSales[[#This Row],[TargetTRY]]</f>
        <v>-2393.8000000000029</v>
      </c>
      <c r="T226" s="6">
        <f>MAX(tblSales[[#This Row],[TargetTRY]]-tblSales[[#This Row],[NetSalesTRY]],0)</f>
        <v>2393.8000000000029</v>
      </c>
    </row>
    <row r="227" spans="1:20">
      <c r="A227" t="s">
        <v>615</v>
      </c>
      <c r="B227" s="15">
        <v>45413</v>
      </c>
      <c r="C227" t="s">
        <v>23</v>
      </c>
      <c r="D227" t="s">
        <v>24</v>
      </c>
      <c r="E227" t="s">
        <v>58</v>
      </c>
      <c r="F227" t="s">
        <v>56</v>
      </c>
      <c r="G227" t="s">
        <v>8</v>
      </c>
      <c r="H227" s="8">
        <v>150</v>
      </c>
      <c r="I227" s="9">
        <v>113139.05</v>
      </c>
      <c r="J227" s="9">
        <v>7613.39</v>
      </c>
      <c r="K227" s="9">
        <v>1303.75</v>
      </c>
      <c r="L227" s="9">
        <v>104221.9</v>
      </c>
      <c r="M227" s="9">
        <v>107352.46</v>
      </c>
      <c r="N227" s="6" t="str">
        <f>_xlfn.XLOOKUP(tblSales[[#This Row],[ProductID]],tblProducts[ProductID],tblProducts[ProductName],"Not Found")</f>
        <v>GlucoRelief</v>
      </c>
      <c r="O227" s="8">
        <f>YEAR(tblSales[[#This Row],[Month]])</f>
        <v>2024</v>
      </c>
      <c r="P227" s="8">
        <f>MONTH(tblSales[[#This Row],[Month]])</f>
        <v>5</v>
      </c>
      <c r="Q227" s="6">
        <f>IFERROR(tblSales[[#This Row],[NetSalesTRY]]/tblSales[[#This Row],[Units]],0)</f>
        <v>694.81266666666659</v>
      </c>
      <c r="R227" s="17">
        <f>IFERROR(tblSales[[#This Row],[NetSalesTRY]]/tblSales[[#This Row],[TargetTRY]],0)</f>
        <v>0.97083848847059484</v>
      </c>
      <c r="S227" s="6">
        <f>tblSales[[#This Row],[NetSalesTRY]]-tblSales[[#This Row],[TargetTRY]]</f>
        <v>-3130.5600000000122</v>
      </c>
      <c r="T227" s="6">
        <f>MAX(tblSales[[#This Row],[TargetTRY]]-tblSales[[#This Row],[NetSalesTRY]],0)</f>
        <v>3130.5600000000122</v>
      </c>
    </row>
    <row r="228" spans="1:20">
      <c r="A228" t="s">
        <v>616</v>
      </c>
      <c r="B228" s="15">
        <v>45413</v>
      </c>
      <c r="C228" t="s">
        <v>23</v>
      </c>
      <c r="D228" t="s">
        <v>24</v>
      </c>
      <c r="E228" t="s">
        <v>58</v>
      </c>
      <c r="F228" t="s">
        <v>56</v>
      </c>
      <c r="G228" t="s">
        <v>11</v>
      </c>
      <c r="H228" s="8">
        <v>177</v>
      </c>
      <c r="I228" s="9">
        <v>111291.12</v>
      </c>
      <c r="J228" s="9">
        <v>5496.74</v>
      </c>
      <c r="K228" s="9">
        <v>1119.74</v>
      </c>
      <c r="L228" s="9">
        <v>104674.64</v>
      </c>
      <c r="M228" s="9">
        <v>103809.93</v>
      </c>
      <c r="N228" s="6" t="str">
        <f>_xlfn.XLOOKUP(tblSales[[#This Row],[ProductID]],tblProducts[ProductID],tblProducts[ProductName],"Not Found")</f>
        <v>RespiraX</v>
      </c>
      <c r="O228" s="8">
        <f>YEAR(tblSales[[#This Row],[Month]])</f>
        <v>2024</v>
      </c>
      <c r="P228" s="8">
        <f>MONTH(tblSales[[#This Row],[Month]])</f>
        <v>5</v>
      </c>
      <c r="Q228" s="6">
        <f>IFERROR(tblSales[[#This Row],[NetSalesTRY]]/tblSales[[#This Row],[Units]],0)</f>
        <v>591.38214689265533</v>
      </c>
      <c r="R228" s="17">
        <f>IFERROR(tblSales[[#This Row],[NetSalesTRY]]/tblSales[[#This Row],[TargetTRY]],0)</f>
        <v>1.008329742636374</v>
      </c>
      <c r="S228" s="6">
        <f>tblSales[[#This Row],[NetSalesTRY]]-tblSales[[#This Row],[TargetTRY]]</f>
        <v>864.7100000000064</v>
      </c>
      <c r="T228" s="6">
        <f>MAX(tblSales[[#This Row],[TargetTRY]]-tblSales[[#This Row],[NetSalesTRY]],0)</f>
        <v>0</v>
      </c>
    </row>
    <row r="229" spans="1:20">
      <c r="A229" t="s">
        <v>617</v>
      </c>
      <c r="B229" s="15">
        <v>45413</v>
      </c>
      <c r="C229" t="s">
        <v>23</v>
      </c>
      <c r="D229" t="s">
        <v>24</v>
      </c>
      <c r="E229" t="s">
        <v>58</v>
      </c>
      <c r="F229" t="s">
        <v>56</v>
      </c>
      <c r="G229" t="s">
        <v>14</v>
      </c>
      <c r="H229" s="8">
        <v>98</v>
      </c>
      <c r="I229" s="9">
        <v>107339.69</v>
      </c>
      <c r="J229" s="9">
        <v>6734.49</v>
      </c>
      <c r="K229" s="9">
        <v>1304.8900000000001</v>
      </c>
      <c r="L229" s="9">
        <v>99300.31</v>
      </c>
      <c r="M229" s="9">
        <v>98979.47</v>
      </c>
      <c r="N229" s="6" t="str">
        <f>_xlfn.XLOOKUP(tblSales[[#This Row],[ProductID]],tblProducts[ProductID],tblProducts[ProductName],"Not Found")</f>
        <v>NeuroCalm</v>
      </c>
      <c r="O229" s="8">
        <f>YEAR(tblSales[[#This Row],[Month]])</f>
        <v>2024</v>
      </c>
      <c r="P229" s="8">
        <f>MONTH(tblSales[[#This Row],[Month]])</f>
        <v>5</v>
      </c>
      <c r="Q229" s="6">
        <f>IFERROR(tblSales[[#This Row],[NetSalesTRY]]/tblSales[[#This Row],[Units]],0)</f>
        <v>1013.2684693877551</v>
      </c>
      <c r="R229" s="17">
        <f>IFERROR(tblSales[[#This Row],[NetSalesTRY]]/tblSales[[#This Row],[TargetTRY]],0)</f>
        <v>1.003241480278688</v>
      </c>
      <c r="S229" s="6">
        <f>tblSales[[#This Row],[NetSalesTRY]]-tblSales[[#This Row],[TargetTRY]]</f>
        <v>320.83999999999651</v>
      </c>
      <c r="T229" s="6">
        <f>MAX(tblSales[[#This Row],[TargetTRY]]-tblSales[[#This Row],[NetSalesTRY]],0)</f>
        <v>0</v>
      </c>
    </row>
    <row r="230" spans="1:20">
      <c r="A230" t="s">
        <v>618</v>
      </c>
      <c r="B230" s="15">
        <v>45413</v>
      </c>
      <c r="C230" t="s">
        <v>25</v>
      </c>
      <c r="D230" t="s">
        <v>26</v>
      </c>
      <c r="E230" t="s">
        <v>61</v>
      </c>
      <c r="F230" t="s">
        <v>59</v>
      </c>
      <c r="G230" t="s">
        <v>5</v>
      </c>
      <c r="H230" s="8">
        <v>99</v>
      </c>
      <c r="I230" s="9">
        <v>96265.16</v>
      </c>
      <c r="J230" s="9">
        <v>3678.42</v>
      </c>
      <c r="K230" s="9">
        <v>709.14</v>
      </c>
      <c r="L230" s="9">
        <v>91877.59</v>
      </c>
      <c r="M230" s="9">
        <v>90563.18</v>
      </c>
      <c r="N230" s="6" t="str">
        <f>_xlfn.XLOOKUP(tblSales[[#This Row],[ProductID]],tblProducts[ProductID],tblProducts[ProductName],"Not Found")</f>
        <v>Cardiovan</v>
      </c>
      <c r="O230" s="8">
        <f>YEAR(tblSales[[#This Row],[Month]])</f>
        <v>2024</v>
      </c>
      <c r="P230" s="8">
        <f>MONTH(tblSales[[#This Row],[Month]])</f>
        <v>5</v>
      </c>
      <c r="Q230" s="6">
        <f>IFERROR(tblSales[[#This Row],[NetSalesTRY]]/tblSales[[#This Row],[Units]],0)</f>
        <v>928.05646464646463</v>
      </c>
      <c r="R230" s="17">
        <f>IFERROR(tblSales[[#This Row],[NetSalesTRY]]/tblSales[[#This Row],[TargetTRY]],0)</f>
        <v>1.0145137350521483</v>
      </c>
      <c r="S230" s="6">
        <f>tblSales[[#This Row],[NetSalesTRY]]-tblSales[[#This Row],[TargetTRY]]</f>
        <v>1314.4100000000035</v>
      </c>
      <c r="T230" s="6">
        <f>MAX(tblSales[[#This Row],[TargetTRY]]-tblSales[[#This Row],[NetSalesTRY]],0)</f>
        <v>0</v>
      </c>
    </row>
    <row r="231" spans="1:20">
      <c r="A231" t="s">
        <v>619</v>
      </c>
      <c r="B231" s="15">
        <v>45413</v>
      </c>
      <c r="C231" t="s">
        <v>25</v>
      </c>
      <c r="D231" t="s">
        <v>26</v>
      </c>
      <c r="E231" t="s">
        <v>61</v>
      </c>
      <c r="F231" t="s">
        <v>59</v>
      </c>
      <c r="G231" t="s">
        <v>8</v>
      </c>
      <c r="H231" s="8">
        <v>114</v>
      </c>
      <c r="I231" s="9">
        <v>85505.9</v>
      </c>
      <c r="J231" s="9">
        <v>3609.5</v>
      </c>
      <c r="K231" s="9">
        <v>1097.31</v>
      </c>
      <c r="L231" s="9">
        <v>80799.09</v>
      </c>
      <c r="M231" s="9">
        <v>83865.42</v>
      </c>
      <c r="N231" s="6" t="str">
        <f>_xlfn.XLOOKUP(tblSales[[#This Row],[ProductID]],tblProducts[ProductID],tblProducts[ProductName],"Not Found")</f>
        <v>GlucoRelief</v>
      </c>
      <c r="O231" s="8">
        <f>YEAR(tblSales[[#This Row],[Month]])</f>
        <v>2024</v>
      </c>
      <c r="P231" s="8">
        <f>MONTH(tblSales[[#This Row],[Month]])</f>
        <v>5</v>
      </c>
      <c r="Q231" s="6">
        <f>IFERROR(tblSales[[#This Row],[NetSalesTRY]]/tblSales[[#This Row],[Units]],0)</f>
        <v>708.76394736842099</v>
      </c>
      <c r="R231" s="17">
        <f>IFERROR(tblSales[[#This Row],[NetSalesTRY]]/tblSales[[#This Row],[TargetTRY]],0)</f>
        <v>0.96343749306925308</v>
      </c>
      <c r="S231" s="6">
        <f>tblSales[[#This Row],[NetSalesTRY]]-tblSales[[#This Row],[TargetTRY]]</f>
        <v>-3066.3300000000017</v>
      </c>
      <c r="T231" s="6">
        <f>MAX(tblSales[[#This Row],[TargetTRY]]-tblSales[[#This Row],[NetSalesTRY]],0)</f>
        <v>3066.3300000000017</v>
      </c>
    </row>
    <row r="232" spans="1:20">
      <c r="A232" t="s">
        <v>620</v>
      </c>
      <c r="B232" s="15">
        <v>45413</v>
      </c>
      <c r="C232" t="s">
        <v>25</v>
      </c>
      <c r="D232" t="s">
        <v>26</v>
      </c>
      <c r="E232" t="s">
        <v>61</v>
      </c>
      <c r="F232" t="s">
        <v>59</v>
      </c>
      <c r="G232" t="s">
        <v>11</v>
      </c>
      <c r="H232" s="8">
        <v>149</v>
      </c>
      <c r="I232" s="9">
        <v>91585.03</v>
      </c>
      <c r="J232" s="9">
        <v>6758.02</v>
      </c>
      <c r="K232" s="9">
        <v>1147.81</v>
      </c>
      <c r="L232" s="9">
        <v>83679.199999999997</v>
      </c>
      <c r="M232" s="9">
        <v>83055.78</v>
      </c>
      <c r="N232" s="6" t="str">
        <f>_xlfn.XLOOKUP(tblSales[[#This Row],[ProductID]],tblProducts[ProductID],tblProducts[ProductName],"Not Found")</f>
        <v>RespiraX</v>
      </c>
      <c r="O232" s="8">
        <f>YEAR(tblSales[[#This Row],[Month]])</f>
        <v>2024</v>
      </c>
      <c r="P232" s="8">
        <f>MONTH(tblSales[[#This Row],[Month]])</f>
        <v>5</v>
      </c>
      <c r="Q232" s="6">
        <f>IFERROR(tblSales[[#This Row],[NetSalesTRY]]/tblSales[[#This Row],[Units]],0)</f>
        <v>561.60536912751672</v>
      </c>
      <c r="R232" s="17">
        <f>IFERROR(tblSales[[#This Row],[NetSalesTRY]]/tblSales[[#This Row],[TargetTRY]],0)</f>
        <v>1.0075060399167883</v>
      </c>
      <c r="S232" s="6">
        <f>tblSales[[#This Row],[NetSalesTRY]]-tblSales[[#This Row],[TargetTRY]]</f>
        <v>623.41999999999825</v>
      </c>
      <c r="T232" s="6">
        <f>MAX(tblSales[[#This Row],[TargetTRY]]-tblSales[[#This Row],[NetSalesTRY]],0)</f>
        <v>0</v>
      </c>
    </row>
    <row r="233" spans="1:20">
      <c r="A233" t="s">
        <v>621</v>
      </c>
      <c r="B233" s="15">
        <v>45413</v>
      </c>
      <c r="C233" t="s">
        <v>25</v>
      </c>
      <c r="D233" t="s">
        <v>26</v>
      </c>
      <c r="E233" t="s">
        <v>61</v>
      </c>
      <c r="F233" t="s">
        <v>59</v>
      </c>
      <c r="G233" t="s">
        <v>14</v>
      </c>
      <c r="H233" s="8">
        <v>73</v>
      </c>
      <c r="I233" s="9">
        <v>81408.850000000006</v>
      </c>
      <c r="J233" s="9">
        <v>5664.91</v>
      </c>
      <c r="K233" s="9">
        <v>354.73</v>
      </c>
      <c r="L233" s="9">
        <v>75389.210000000006</v>
      </c>
      <c r="M233" s="9">
        <v>77825.03</v>
      </c>
      <c r="N233" s="6" t="str">
        <f>_xlfn.XLOOKUP(tblSales[[#This Row],[ProductID]],tblProducts[ProductID],tblProducts[ProductName],"Not Found")</f>
        <v>NeuroCalm</v>
      </c>
      <c r="O233" s="8">
        <f>YEAR(tblSales[[#This Row],[Month]])</f>
        <v>2024</v>
      </c>
      <c r="P233" s="8">
        <f>MONTH(tblSales[[#This Row],[Month]])</f>
        <v>5</v>
      </c>
      <c r="Q233" s="6">
        <f>IFERROR(tblSales[[#This Row],[NetSalesTRY]]/tblSales[[#This Row],[Units]],0)</f>
        <v>1032.7289041095892</v>
      </c>
      <c r="R233" s="17">
        <f>IFERROR(tblSales[[#This Row],[NetSalesTRY]]/tblSales[[#This Row],[TargetTRY]],0)</f>
        <v>0.96870132912252016</v>
      </c>
      <c r="S233" s="6">
        <f>tblSales[[#This Row],[NetSalesTRY]]-tblSales[[#This Row],[TargetTRY]]</f>
        <v>-2435.8199999999924</v>
      </c>
      <c r="T233" s="6">
        <f>MAX(tblSales[[#This Row],[TargetTRY]]-tblSales[[#This Row],[NetSalesTRY]],0)</f>
        <v>2435.8199999999924</v>
      </c>
    </row>
    <row r="234" spans="1:20">
      <c r="A234" t="s">
        <v>622</v>
      </c>
      <c r="B234" s="15">
        <v>45413</v>
      </c>
      <c r="C234" t="s">
        <v>25</v>
      </c>
      <c r="D234" t="s">
        <v>26</v>
      </c>
      <c r="E234" t="s">
        <v>64</v>
      </c>
      <c r="F234" t="s">
        <v>62</v>
      </c>
      <c r="G234" t="s">
        <v>5</v>
      </c>
      <c r="H234" s="8">
        <v>98</v>
      </c>
      <c r="I234" s="9">
        <v>95207.24</v>
      </c>
      <c r="J234" s="9">
        <v>6556.36</v>
      </c>
      <c r="K234" s="9">
        <v>847.04</v>
      </c>
      <c r="L234" s="9">
        <v>87803.85</v>
      </c>
      <c r="M234" s="9">
        <v>90600.56</v>
      </c>
      <c r="N234" s="6" t="str">
        <f>_xlfn.XLOOKUP(tblSales[[#This Row],[ProductID]],tblProducts[ProductID],tblProducts[ProductName],"Not Found")</f>
        <v>Cardiovan</v>
      </c>
      <c r="O234" s="8">
        <f>YEAR(tblSales[[#This Row],[Month]])</f>
        <v>2024</v>
      </c>
      <c r="P234" s="8">
        <f>MONTH(tblSales[[#This Row],[Month]])</f>
        <v>5</v>
      </c>
      <c r="Q234" s="6">
        <f>IFERROR(tblSales[[#This Row],[NetSalesTRY]]/tblSales[[#This Row],[Units]],0)</f>
        <v>895.95765306122451</v>
      </c>
      <c r="R234" s="17">
        <f>IFERROR(tblSales[[#This Row],[NetSalesTRY]]/tblSales[[#This Row],[TargetTRY]],0)</f>
        <v>0.96913142700221733</v>
      </c>
      <c r="S234" s="6">
        <f>tblSales[[#This Row],[NetSalesTRY]]-tblSales[[#This Row],[TargetTRY]]</f>
        <v>-2796.7099999999919</v>
      </c>
      <c r="T234" s="6">
        <f>MAX(tblSales[[#This Row],[TargetTRY]]-tblSales[[#This Row],[NetSalesTRY]],0)</f>
        <v>2796.7099999999919</v>
      </c>
    </row>
    <row r="235" spans="1:20">
      <c r="A235" t="s">
        <v>623</v>
      </c>
      <c r="B235" s="15">
        <v>45413</v>
      </c>
      <c r="C235" t="s">
        <v>25</v>
      </c>
      <c r="D235" t="s">
        <v>26</v>
      </c>
      <c r="E235" t="s">
        <v>64</v>
      </c>
      <c r="F235" t="s">
        <v>62</v>
      </c>
      <c r="G235" t="s">
        <v>8</v>
      </c>
      <c r="H235" s="8">
        <v>123</v>
      </c>
      <c r="I235" s="9">
        <v>94514.76</v>
      </c>
      <c r="J235" s="9">
        <v>6289.57</v>
      </c>
      <c r="K235" s="9">
        <v>1236.26</v>
      </c>
      <c r="L235" s="9">
        <v>86988.93</v>
      </c>
      <c r="M235" s="9">
        <v>84628.26</v>
      </c>
      <c r="N235" s="6" t="str">
        <f>_xlfn.XLOOKUP(tblSales[[#This Row],[ProductID]],tblProducts[ProductID],tblProducts[ProductName],"Not Found")</f>
        <v>GlucoRelief</v>
      </c>
      <c r="O235" s="8">
        <f>YEAR(tblSales[[#This Row],[Month]])</f>
        <v>2024</v>
      </c>
      <c r="P235" s="8">
        <f>MONTH(tblSales[[#This Row],[Month]])</f>
        <v>5</v>
      </c>
      <c r="Q235" s="6">
        <f>IFERROR(tblSales[[#This Row],[NetSalesTRY]]/tblSales[[#This Row],[Units]],0)</f>
        <v>707.22707317073161</v>
      </c>
      <c r="R235" s="17">
        <f>IFERROR(tblSales[[#This Row],[NetSalesTRY]]/tblSales[[#This Row],[TargetTRY]],0)</f>
        <v>1.027894582731584</v>
      </c>
      <c r="S235" s="6">
        <f>tblSales[[#This Row],[NetSalesTRY]]-tblSales[[#This Row],[TargetTRY]]</f>
        <v>2360.6699999999983</v>
      </c>
      <c r="T235" s="6">
        <f>MAX(tblSales[[#This Row],[TargetTRY]]-tblSales[[#This Row],[NetSalesTRY]],0)</f>
        <v>0</v>
      </c>
    </row>
    <row r="236" spans="1:20">
      <c r="A236" t="s">
        <v>624</v>
      </c>
      <c r="B236" s="15">
        <v>45413</v>
      </c>
      <c r="C236" t="s">
        <v>25</v>
      </c>
      <c r="D236" t="s">
        <v>26</v>
      </c>
      <c r="E236" t="s">
        <v>64</v>
      </c>
      <c r="F236" t="s">
        <v>62</v>
      </c>
      <c r="G236" t="s">
        <v>11</v>
      </c>
      <c r="H236" s="8">
        <v>137</v>
      </c>
      <c r="I236" s="9">
        <v>85714.74</v>
      </c>
      <c r="J236" s="9">
        <v>5923.03</v>
      </c>
      <c r="K236" s="9">
        <v>489.28</v>
      </c>
      <c r="L236" s="9">
        <v>79302.42</v>
      </c>
      <c r="M236" s="9">
        <v>83178.259999999995</v>
      </c>
      <c r="N236" s="6" t="str">
        <f>_xlfn.XLOOKUP(tblSales[[#This Row],[ProductID]],tblProducts[ProductID],tblProducts[ProductName],"Not Found")</f>
        <v>RespiraX</v>
      </c>
      <c r="O236" s="8">
        <f>YEAR(tblSales[[#This Row],[Month]])</f>
        <v>2024</v>
      </c>
      <c r="P236" s="8">
        <f>MONTH(tblSales[[#This Row],[Month]])</f>
        <v>5</v>
      </c>
      <c r="Q236" s="6">
        <f>IFERROR(tblSales[[#This Row],[NetSalesTRY]]/tblSales[[#This Row],[Units]],0)</f>
        <v>578.8497810218978</v>
      </c>
      <c r="R236" s="17">
        <f>IFERROR(tblSales[[#This Row],[NetSalesTRY]]/tblSales[[#This Row],[TargetTRY]],0)</f>
        <v>0.95340320896349606</v>
      </c>
      <c r="S236" s="6">
        <f>tblSales[[#This Row],[NetSalesTRY]]-tblSales[[#This Row],[TargetTRY]]</f>
        <v>-3875.8399999999965</v>
      </c>
      <c r="T236" s="6">
        <f>MAX(tblSales[[#This Row],[TargetTRY]]-tblSales[[#This Row],[NetSalesTRY]],0)</f>
        <v>3875.8399999999965</v>
      </c>
    </row>
    <row r="237" spans="1:20">
      <c r="A237" t="s">
        <v>625</v>
      </c>
      <c r="B237" s="15">
        <v>45413</v>
      </c>
      <c r="C237" t="s">
        <v>25</v>
      </c>
      <c r="D237" t="s">
        <v>26</v>
      </c>
      <c r="E237" t="s">
        <v>64</v>
      </c>
      <c r="F237" t="s">
        <v>62</v>
      </c>
      <c r="G237" t="s">
        <v>14</v>
      </c>
      <c r="H237" s="8">
        <v>76</v>
      </c>
      <c r="I237" s="9">
        <v>83748</v>
      </c>
      <c r="J237" s="9">
        <v>6249.33</v>
      </c>
      <c r="K237" s="9">
        <v>865.12</v>
      </c>
      <c r="L237" s="9">
        <v>76633.539999999994</v>
      </c>
      <c r="M237" s="9">
        <v>77774</v>
      </c>
      <c r="N237" s="6" t="str">
        <f>_xlfn.XLOOKUP(tblSales[[#This Row],[ProductID]],tblProducts[ProductID],tblProducts[ProductName],"Not Found")</f>
        <v>NeuroCalm</v>
      </c>
      <c r="O237" s="8">
        <f>YEAR(tblSales[[#This Row],[Month]])</f>
        <v>2024</v>
      </c>
      <c r="P237" s="8">
        <f>MONTH(tblSales[[#This Row],[Month]])</f>
        <v>5</v>
      </c>
      <c r="Q237" s="6">
        <f>IFERROR(tblSales[[#This Row],[NetSalesTRY]]/tblSales[[#This Row],[Units]],0)</f>
        <v>1008.3360526315788</v>
      </c>
      <c r="R237" s="17">
        <f>IFERROR(tblSales[[#This Row],[NetSalesTRY]]/tblSales[[#This Row],[TargetTRY]],0)</f>
        <v>0.98533623061691555</v>
      </c>
      <c r="S237" s="6">
        <f>tblSales[[#This Row],[NetSalesTRY]]-tblSales[[#This Row],[TargetTRY]]</f>
        <v>-1140.4600000000064</v>
      </c>
      <c r="T237" s="6">
        <f>MAX(tblSales[[#This Row],[TargetTRY]]-tblSales[[#This Row],[NetSalesTRY]],0)</f>
        <v>1140.4600000000064</v>
      </c>
    </row>
    <row r="238" spans="1:20">
      <c r="A238" t="s">
        <v>626</v>
      </c>
      <c r="B238" s="15">
        <v>45413</v>
      </c>
      <c r="C238" t="s">
        <v>25</v>
      </c>
      <c r="D238" t="s">
        <v>26</v>
      </c>
      <c r="E238" t="s">
        <v>67</v>
      </c>
      <c r="F238" t="s">
        <v>65</v>
      </c>
      <c r="G238" t="s">
        <v>5</v>
      </c>
      <c r="H238" s="8">
        <v>115</v>
      </c>
      <c r="I238" s="9">
        <v>111228.59</v>
      </c>
      <c r="J238" s="9">
        <v>5313.31</v>
      </c>
      <c r="K238" s="9">
        <v>831.85</v>
      </c>
      <c r="L238" s="9">
        <v>105083.42</v>
      </c>
      <c r="M238" s="9">
        <v>101578.14</v>
      </c>
      <c r="N238" s="6" t="str">
        <f>_xlfn.XLOOKUP(tblSales[[#This Row],[ProductID]],tblProducts[ProductID],tblProducts[ProductName],"Not Found")</f>
        <v>Cardiovan</v>
      </c>
      <c r="O238" s="8">
        <f>YEAR(tblSales[[#This Row],[Month]])</f>
        <v>2024</v>
      </c>
      <c r="P238" s="8">
        <f>MONTH(tblSales[[#This Row],[Month]])</f>
        <v>5</v>
      </c>
      <c r="Q238" s="6">
        <f>IFERROR(tblSales[[#This Row],[NetSalesTRY]]/tblSales[[#This Row],[Units]],0)</f>
        <v>913.76886956521741</v>
      </c>
      <c r="R238" s="17">
        <f>IFERROR(tblSales[[#This Row],[NetSalesTRY]]/tblSales[[#This Row],[TargetTRY]],0)</f>
        <v>1.0345082121015408</v>
      </c>
      <c r="S238" s="6">
        <f>tblSales[[#This Row],[NetSalesTRY]]-tblSales[[#This Row],[TargetTRY]]</f>
        <v>3505.2799999999988</v>
      </c>
      <c r="T238" s="6">
        <f>MAX(tblSales[[#This Row],[TargetTRY]]-tblSales[[#This Row],[NetSalesTRY]],0)</f>
        <v>0</v>
      </c>
    </row>
    <row r="239" spans="1:20">
      <c r="A239" t="s">
        <v>627</v>
      </c>
      <c r="B239" s="15">
        <v>45413</v>
      </c>
      <c r="C239" t="s">
        <v>25</v>
      </c>
      <c r="D239" t="s">
        <v>26</v>
      </c>
      <c r="E239" t="s">
        <v>67</v>
      </c>
      <c r="F239" t="s">
        <v>65</v>
      </c>
      <c r="G239" t="s">
        <v>8</v>
      </c>
      <c r="H239" s="8">
        <v>126</v>
      </c>
      <c r="I239" s="9">
        <v>95515.06</v>
      </c>
      <c r="J239" s="9">
        <v>5292.1</v>
      </c>
      <c r="K239" s="9">
        <v>674.32</v>
      </c>
      <c r="L239" s="9">
        <v>89548.64</v>
      </c>
      <c r="M239" s="9">
        <v>95285.91</v>
      </c>
      <c r="N239" s="6" t="str">
        <f>_xlfn.XLOOKUP(tblSales[[#This Row],[ProductID]],tblProducts[ProductID],tblProducts[ProductName],"Not Found")</f>
        <v>GlucoRelief</v>
      </c>
      <c r="O239" s="8">
        <f>YEAR(tblSales[[#This Row],[Month]])</f>
        <v>2024</v>
      </c>
      <c r="P239" s="8">
        <f>MONTH(tblSales[[#This Row],[Month]])</f>
        <v>5</v>
      </c>
      <c r="Q239" s="6">
        <f>IFERROR(tblSales[[#This Row],[NetSalesTRY]]/tblSales[[#This Row],[Units]],0)</f>
        <v>710.70349206349204</v>
      </c>
      <c r="R239" s="17">
        <f>IFERROR(tblSales[[#This Row],[NetSalesTRY]]/tblSales[[#This Row],[TargetTRY]],0)</f>
        <v>0.93978889428667889</v>
      </c>
      <c r="S239" s="6">
        <f>tblSales[[#This Row],[NetSalesTRY]]-tblSales[[#This Row],[TargetTRY]]</f>
        <v>-5737.2700000000041</v>
      </c>
      <c r="T239" s="6">
        <f>MAX(tblSales[[#This Row],[TargetTRY]]-tblSales[[#This Row],[NetSalesTRY]],0)</f>
        <v>5737.2700000000041</v>
      </c>
    </row>
    <row r="240" spans="1:20">
      <c r="A240" t="s">
        <v>628</v>
      </c>
      <c r="B240" s="15">
        <v>45413</v>
      </c>
      <c r="C240" t="s">
        <v>25</v>
      </c>
      <c r="D240" t="s">
        <v>26</v>
      </c>
      <c r="E240" t="s">
        <v>67</v>
      </c>
      <c r="F240" t="s">
        <v>65</v>
      </c>
      <c r="G240" t="s">
        <v>11</v>
      </c>
      <c r="H240" s="8">
        <v>156</v>
      </c>
      <c r="I240" s="9">
        <v>95563.45</v>
      </c>
      <c r="J240" s="9">
        <v>3831.89</v>
      </c>
      <c r="K240" s="9">
        <v>727.24</v>
      </c>
      <c r="L240" s="9">
        <v>91004.32</v>
      </c>
      <c r="M240" s="9">
        <v>91947.37</v>
      </c>
      <c r="N240" s="6" t="str">
        <f>_xlfn.XLOOKUP(tblSales[[#This Row],[ProductID]],tblProducts[ProductID],tblProducts[ProductName],"Not Found")</f>
        <v>RespiraX</v>
      </c>
      <c r="O240" s="8">
        <f>YEAR(tblSales[[#This Row],[Month]])</f>
        <v>2024</v>
      </c>
      <c r="P240" s="8">
        <f>MONTH(tblSales[[#This Row],[Month]])</f>
        <v>5</v>
      </c>
      <c r="Q240" s="6">
        <f>IFERROR(tblSales[[#This Row],[NetSalesTRY]]/tblSales[[#This Row],[Units]],0)</f>
        <v>583.36102564102566</v>
      </c>
      <c r="R240" s="17">
        <f>IFERROR(tblSales[[#This Row],[NetSalesTRY]]/tblSales[[#This Row],[TargetTRY]],0)</f>
        <v>0.98974358918585725</v>
      </c>
      <c r="S240" s="6">
        <f>tblSales[[#This Row],[NetSalesTRY]]-tblSales[[#This Row],[TargetTRY]]</f>
        <v>-943.04999999998836</v>
      </c>
      <c r="T240" s="6">
        <f>MAX(tblSales[[#This Row],[TargetTRY]]-tblSales[[#This Row],[NetSalesTRY]],0)</f>
        <v>943.04999999998836</v>
      </c>
    </row>
    <row r="241" spans="1:20">
      <c r="A241" t="s">
        <v>629</v>
      </c>
      <c r="B241" s="15">
        <v>45413</v>
      </c>
      <c r="C241" t="s">
        <v>25</v>
      </c>
      <c r="D241" t="s">
        <v>26</v>
      </c>
      <c r="E241" t="s">
        <v>67</v>
      </c>
      <c r="F241" t="s">
        <v>65</v>
      </c>
      <c r="G241" t="s">
        <v>14</v>
      </c>
      <c r="H241" s="8">
        <v>82</v>
      </c>
      <c r="I241" s="9">
        <v>91481.05</v>
      </c>
      <c r="J241" s="9">
        <v>6748.52</v>
      </c>
      <c r="K241" s="9">
        <v>744.02</v>
      </c>
      <c r="L241" s="9">
        <v>83988.51</v>
      </c>
      <c r="M241" s="9">
        <v>86979.56</v>
      </c>
      <c r="N241" s="6" t="str">
        <f>_xlfn.XLOOKUP(tblSales[[#This Row],[ProductID]],tblProducts[ProductID],tblProducts[ProductName],"Not Found")</f>
        <v>NeuroCalm</v>
      </c>
      <c r="O241" s="8">
        <f>YEAR(tblSales[[#This Row],[Month]])</f>
        <v>2024</v>
      </c>
      <c r="P241" s="8">
        <f>MONTH(tblSales[[#This Row],[Month]])</f>
        <v>5</v>
      </c>
      <c r="Q241" s="6">
        <f>IFERROR(tblSales[[#This Row],[NetSalesTRY]]/tblSales[[#This Row],[Units]],0)</f>
        <v>1024.2501219512194</v>
      </c>
      <c r="R241" s="17">
        <f>IFERROR(tblSales[[#This Row],[NetSalesTRY]]/tblSales[[#This Row],[TargetTRY]],0)</f>
        <v>0.96561203574724908</v>
      </c>
      <c r="S241" s="6">
        <f>tblSales[[#This Row],[NetSalesTRY]]-tblSales[[#This Row],[TargetTRY]]</f>
        <v>-2991.0500000000029</v>
      </c>
      <c r="T241" s="6">
        <f>MAX(tblSales[[#This Row],[TargetTRY]]-tblSales[[#This Row],[NetSalesTRY]],0)</f>
        <v>2991.0500000000029</v>
      </c>
    </row>
    <row r="242" spans="1:20">
      <c r="A242" t="s">
        <v>630</v>
      </c>
      <c r="B242" s="15">
        <v>45444</v>
      </c>
      <c r="C242" t="s">
        <v>19</v>
      </c>
      <c r="D242" t="s">
        <v>20</v>
      </c>
      <c r="E242" t="s">
        <v>34</v>
      </c>
      <c r="F242" t="s">
        <v>32</v>
      </c>
      <c r="G242" t="s">
        <v>5</v>
      </c>
      <c r="H242" s="8">
        <v>146</v>
      </c>
      <c r="I242" s="9">
        <v>142324.03</v>
      </c>
      <c r="J242" s="9">
        <v>6712.4</v>
      </c>
      <c r="K242" s="9">
        <v>962.71</v>
      </c>
      <c r="L242" s="9">
        <v>134648.92000000001</v>
      </c>
      <c r="M242" s="9">
        <v>131598.04</v>
      </c>
      <c r="N242" s="6" t="str">
        <f>_xlfn.XLOOKUP(tblSales[[#This Row],[ProductID]],tblProducts[ProductID],tblProducts[ProductName],"Not Found")</f>
        <v>Cardiovan</v>
      </c>
      <c r="O242" s="8">
        <f>YEAR(tblSales[[#This Row],[Month]])</f>
        <v>2024</v>
      </c>
      <c r="P242" s="8">
        <f>MONTH(tblSales[[#This Row],[Month]])</f>
        <v>6</v>
      </c>
      <c r="Q242" s="6">
        <f>IFERROR(tblSales[[#This Row],[NetSalesTRY]]/tblSales[[#This Row],[Units]],0)</f>
        <v>922.25287671232888</v>
      </c>
      <c r="R242" s="17">
        <f>IFERROR(tblSales[[#This Row],[NetSalesTRY]]/tblSales[[#This Row],[TargetTRY]],0)</f>
        <v>1.0231833240069532</v>
      </c>
      <c r="S242" s="6">
        <f>tblSales[[#This Row],[NetSalesTRY]]-tblSales[[#This Row],[TargetTRY]]</f>
        <v>3050.8800000000047</v>
      </c>
      <c r="T242" s="6">
        <f>MAX(tblSales[[#This Row],[TargetTRY]]-tblSales[[#This Row],[NetSalesTRY]],0)</f>
        <v>0</v>
      </c>
    </row>
    <row r="243" spans="1:20">
      <c r="A243" t="s">
        <v>631</v>
      </c>
      <c r="B243" s="15">
        <v>45444</v>
      </c>
      <c r="C243" t="s">
        <v>19</v>
      </c>
      <c r="D243" t="s">
        <v>20</v>
      </c>
      <c r="E243" t="s">
        <v>34</v>
      </c>
      <c r="F243" t="s">
        <v>32</v>
      </c>
      <c r="G243" t="s">
        <v>8</v>
      </c>
      <c r="H243" s="8">
        <v>165</v>
      </c>
      <c r="I243" s="9">
        <v>125325.13</v>
      </c>
      <c r="J243" s="9">
        <v>7126.86</v>
      </c>
      <c r="K243" s="9">
        <v>890.14</v>
      </c>
      <c r="L243" s="9">
        <v>117308.14</v>
      </c>
      <c r="M243" s="9">
        <v>125070.14</v>
      </c>
      <c r="N243" s="6" t="str">
        <f>_xlfn.XLOOKUP(tblSales[[#This Row],[ProductID]],tblProducts[ProductID],tblProducts[ProductName],"Not Found")</f>
        <v>GlucoRelief</v>
      </c>
      <c r="O243" s="8">
        <f>YEAR(tblSales[[#This Row],[Month]])</f>
        <v>2024</v>
      </c>
      <c r="P243" s="8">
        <f>MONTH(tblSales[[#This Row],[Month]])</f>
        <v>6</v>
      </c>
      <c r="Q243" s="6">
        <f>IFERROR(tblSales[[#This Row],[NetSalesTRY]]/tblSales[[#This Row],[Units]],0)</f>
        <v>710.95842424242426</v>
      </c>
      <c r="R243" s="17">
        <f>IFERROR(tblSales[[#This Row],[NetSalesTRY]]/tblSales[[#This Row],[TargetTRY]],0)</f>
        <v>0.93793882376720772</v>
      </c>
      <c r="S243" s="6">
        <f>tblSales[[#This Row],[NetSalesTRY]]-tblSales[[#This Row],[TargetTRY]]</f>
        <v>-7762</v>
      </c>
      <c r="T243" s="6">
        <f>MAX(tblSales[[#This Row],[TargetTRY]]-tblSales[[#This Row],[NetSalesTRY]],0)</f>
        <v>7762</v>
      </c>
    </row>
    <row r="244" spans="1:20">
      <c r="A244" t="s">
        <v>632</v>
      </c>
      <c r="B244" s="15">
        <v>45444</v>
      </c>
      <c r="C244" t="s">
        <v>19</v>
      </c>
      <c r="D244" t="s">
        <v>20</v>
      </c>
      <c r="E244" t="s">
        <v>34</v>
      </c>
      <c r="F244" t="s">
        <v>32</v>
      </c>
      <c r="G244" t="s">
        <v>11</v>
      </c>
      <c r="H244" s="8">
        <v>209</v>
      </c>
      <c r="I244" s="9">
        <v>131170.96</v>
      </c>
      <c r="J244" s="9">
        <v>6639.09</v>
      </c>
      <c r="K244" s="9">
        <v>811.36</v>
      </c>
      <c r="L244" s="9">
        <v>123720.51</v>
      </c>
      <c r="M244" s="9">
        <v>120635.58</v>
      </c>
      <c r="N244" s="6" t="str">
        <f>_xlfn.XLOOKUP(tblSales[[#This Row],[ProductID]],tblProducts[ProductID],tblProducts[ProductName],"Not Found")</f>
        <v>RespiraX</v>
      </c>
      <c r="O244" s="8">
        <f>YEAR(tblSales[[#This Row],[Month]])</f>
        <v>2024</v>
      </c>
      <c r="P244" s="8">
        <f>MONTH(tblSales[[#This Row],[Month]])</f>
        <v>6</v>
      </c>
      <c r="Q244" s="6">
        <f>IFERROR(tblSales[[#This Row],[NetSalesTRY]]/tblSales[[#This Row],[Units]],0)</f>
        <v>591.96416267942584</v>
      </c>
      <c r="R244" s="17">
        <f>IFERROR(tblSales[[#This Row],[NetSalesTRY]]/tblSales[[#This Row],[TargetTRY]],0)</f>
        <v>1.025572306279789</v>
      </c>
      <c r="S244" s="6">
        <f>tblSales[[#This Row],[NetSalesTRY]]-tblSales[[#This Row],[TargetTRY]]</f>
        <v>3084.929999999993</v>
      </c>
      <c r="T244" s="6">
        <f>MAX(tblSales[[#This Row],[TargetTRY]]-tblSales[[#This Row],[NetSalesTRY]],0)</f>
        <v>0</v>
      </c>
    </row>
    <row r="245" spans="1:20">
      <c r="A245" t="s">
        <v>633</v>
      </c>
      <c r="B245" s="15">
        <v>45444</v>
      </c>
      <c r="C245" t="s">
        <v>19</v>
      </c>
      <c r="D245" t="s">
        <v>20</v>
      </c>
      <c r="E245" t="s">
        <v>34</v>
      </c>
      <c r="F245" t="s">
        <v>32</v>
      </c>
      <c r="G245" t="s">
        <v>14</v>
      </c>
      <c r="H245" s="8">
        <v>104</v>
      </c>
      <c r="I245" s="9">
        <v>114502.79</v>
      </c>
      <c r="J245" s="9">
        <v>5509.8</v>
      </c>
      <c r="K245" s="9">
        <v>1169.5899999999999</v>
      </c>
      <c r="L245" s="9">
        <v>107823.4</v>
      </c>
      <c r="M245" s="9">
        <v>111673.14</v>
      </c>
      <c r="N245" s="6" t="str">
        <f>_xlfn.XLOOKUP(tblSales[[#This Row],[ProductID]],tblProducts[ProductID],tblProducts[ProductName],"Not Found")</f>
        <v>NeuroCalm</v>
      </c>
      <c r="O245" s="8">
        <f>YEAR(tblSales[[#This Row],[Month]])</f>
        <v>2024</v>
      </c>
      <c r="P245" s="8">
        <f>MONTH(tblSales[[#This Row],[Month]])</f>
        <v>6</v>
      </c>
      <c r="Q245" s="6">
        <f>IFERROR(tblSales[[#This Row],[NetSalesTRY]]/tblSales[[#This Row],[Units]],0)</f>
        <v>1036.7634615384616</v>
      </c>
      <c r="R245" s="17">
        <f>IFERROR(tblSales[[#This Row],[NetSalesTRY]]/tblSales[[#This Row],[TargetTRY]],0)</f>
        <v>0.96552671483939645</v>
      </c>
      <c r="S245" s="6">
        <f>tblSales[[#This Row],[NetSalesTRY]]-tblSales[[#This Row],[TargetTRY]]</f>
        <v>-3849.7400000000052</v>
      </c>
      <c r="T245" s="6">
        <f>MAX(tblSales[[#This Row],[TargetTRY]]-tblSales[[#This Row],[NetSalesTRY]],0)</f>
        <v>3849.7400000000052</v>
      </c>
    </row>
    <row r="246" spans="1:20">
      <c r="A246" t="s">
        <v>634</v>
      </c>
      <c r="B246" s="15">
        <v>45444</v>
      </c>
      <c r="C246" t="s">
        <v>19</v>
      </c>
      <c r="D246" t="s">
        <v>20</v>
      </c>
      <c r="E246" t="s">
        <v>37</v>
      </c>
      <c r="F246" t="s">
        <v>35</v>
      </c>
      <c r="G246" t="s">
        <v>5</v>
      </c>
      <c r="H246" s="8">
        <v>139</v>
      </c>
      <c r="I246" s="9">
        <v>137490.54999999999</v>
      </c>
      <c r="J246" s="9">
        <v>6887.57</v>
      </c>
      <c r="K246" s="9">
        <v>766.72</v>
      </c>
      <c r="L246" s="9">
        <v>129836.26</v>
      </c>
      <c r="M246" s="9">
        <v>134357.28</v>
      </c>
      <c r="N246" s="6" t="str">
        <f>_xlfn.XLOOKUP(tblSales[[#This Row],[ProductID]],tblProducts[ProductID],tblProducts[ProductName],"Not Found")</f>
        <v>Cardiovan</v>
      </c>
      <c r="O246" s="8">
        <f>YEAR(tblSales[[#This Row],[Month]])</f>
        <v>2024</v>
      </c>
      <c r="P246" s="8">
        <f>MONTH(tblSales[[#This Row],[Month]])</f>
        <v>6</v>
      </c>
      <c r="Q246" s="6">
        <f>IFERROR(tblSales[[#This Row],[NetSalesTRY]]/tblSales[[#This Row],[Units]],0)</f>
        <v>934.07381294964023</v>
      </c>
      <c r="R246" s="17">
        <f>IFERROR(tblSales[[#This Row],[NetSalesTRY]]/tblSales[[#This Row],[TargetTRY]],0)</f>
        <v>0.96635076268290032</v>
      </c>
      <c r="S246" s="6">
        <f>tblSales[[#This Row],[NetSalesTRY]]-tblSales[[#This Row],[TargetTRY]]</f>
        <v>-4521.0200000000041</v>
      </c>
      <c r="T246" s="6">
        <f>MAX(tblSales[[#This Row],[TargetTRY]]-tblSales[[#This Row],[NetSalesTRY]],0)</f>
        <v>4521.0200000000041</v>
      </c>
    </row>
    <row r="247" spans="1:20">
      <c r="A247" t="s">
        <v>635</v>
      </c>
      <c r="B247" s="15">
        <v>45444</v>
      </c>
      <c r="C247" t="s">
        <v>19</v>
      </c>
      <c r="D247" t="s">
        <v>20</v>
      </c>
      <c r="E247" t="s">
        <v>37</v>
      </c>
      <c r="F247" t="s">
        <v>35</v>
      </c>
      <c r="G247" t="s">
        <v>8</v>
      </c>
      <c r="H247" s="8">
        <v>180</v>
      </c>
      <c r="I247" s="9">
        <v>134976.44</v>
      </c>
      <c r="J247" s="9">
        <v>7050.66</v>
      </c>
      <c r="K247" s="9">
        <v>556.9</v>
      </c>
      <c r="L247" s="9">
        <v>127368.87</v>
      </c>
      <c r="M247" s="9">
        <v>124901.22</v>
      </c>
      <c r="N247" s="6" t="str">
        <f>_xlfn.XLOOKUP(tblSales[[#This Row],[ProductID]],tblProducts[ProductID],tblProducts[ProductName],"Not Found")</f>
        <v>GlucoRelief</v>
      </c>
      <c r="O247" s="8">
        <f>YEAR(tblSales[[#This Row],[Month]])</f>
        <v>2024</v>
      </c>
      <c r="P247" s="8">
        <f>MONTH(tblSales[[#This Row],[Month]])</f>
        <v>6</v>
      </c>
      <c r="Q247" s="6">
        <f>IFERROR(tblSales[[#This Row],[NetSalesTRY]]/tblSales[[#This Row],[Units]],0)</f>
        <v>707.60483333333332</v>
      </c>
      <c r="R247" s="17">
        <f>IFERROR(tblSales[[#This Row],[NetSalesTRY]]/tblSales[[#This Row],[TargetTRY]],0)</f>
        <v>1.0197568126236076</v>
      </c>
      <c r="S247" s="6">
        <f>tblSales[[#This Row],[NetSalesTRY]]-tblSales[[#This Row],[TargetTRY]]</f>
        <v>2467.6499999999942</v>
      </c>
      <c r="T247" s="6">
        <f>MAX(tblSales[[#This Row],[TargetTRY]]-tblSales[[#This Row],[NetSalesTRY]],0)</f>
        <v>0</v>
      </c>
    </row>
    <row r="248" spans="1:20">
      <c r="A248" t="s">
        <v>636</v>
      </c>
      <c r="B248" s="15">
        <v>45444</v>
      </c>
      <c r="C248" t="s">
        <v>19</v>
      </c>
      <c r="D248" t="s">
        <v>20</v>
      </c>
      <c r="E248" t="s">
        <v>37</v>
      </c>
      <c r="F248" t="s">
        <v>35</v>
      </c>
      <c r="G248" t="s">
        <v>11</v>
      </c>
      <c r="H248" s="8">
        <v>219</v>
      </c>
      <c r="I248" s="9">
        <v>137187.47</v>
      </c>
      <c r="J248" s="9">
        <v>7338.93</v>
      </c>
      <c r="K248" s="9">
        <v>1127.1300000000001</v>
      </c>
      <c r="L248" s="9">
        <v>128721.41</v>
      </c>
      <c r="M248" s="9">
        <v>121387.56</v>
      </c>
      <c r="N248" s="6" t="str">
        <f>_xlfn.XLOOKUP(tblSales[[#This Row],[ProductID]],tblProducts[ProductID],tblProducts[ProductName],"Not Found")</f>
        <v>RespiraX</v>
      </c>
      <c r="O248" s="8">
        <f>YEAR(tblSales[[#This Row],[Month]])</f>
        <v>2024</v>
      </c>
      <c r="P248" s="8">
        <f>MONTH(tblSales[[#This Row],[Month]])</f>
        <v>6</v>
      </c>
      <c r="Q248" s="6">
        <f>IFERROR(tblSales[[#This Row],[NetSalesTRY]]/tblSales[[#This Row],[Units]],0)</f>
        <v>587.76899543379</v>
      </c>
      <c r="R248" s="17">
        <f>IFERROR(tblSales[[#This Row],[NetSalesTRY]]/tblSales[[#This Row],[TargetTRY]],0)</f>
        <v>1.060416817011562</v>
      </c>
      <c r="S248" s="6">
        <f>tblSales[[#This Row],[NetSalesTRY]]-tblSales[[#This Row],[TargetTRY]]</f>
        <v>7333.8500000000058</v>
      </c>
      <c r="T248" s="6">
        <f>MAX(tblSales[[#This Row],[TargetTRY]]-tblSales[[#This Row],[NetSalesTRY]],0)</f>
        <v>0</v>
      </c>
    </row>
    <row r="249" spans="1:20">
      <c r="A249" t="s">
        <v>637</v>
      </c>
      <c r="B249" s="15">
        <v>45444</v>
      </c>
      <c r="C249" t="s">
        <v>19</v>
      </c>
      <c r="D249" t="s">
        <v>20</v>
      </c>
      <c r="E249" t="s">
        <v>37</v>
      </c>
      <c r="F249" t="s">
        <v>35</v>
      </c>
      <c r="G249" t="s">
        <v>14</v>
      </c>
      <c r="H249" s="8">
        <v>105</v>
      </c>
      <c r="I249" s="9">
        <v>116322.3</v>
      </c>
      <c r="J249" s="9">
        <v>4175.8500000000004</v>
      </c>
      <c r="K249" s="9">
        <v>1611.78</v>
      </c>
      <c r="L249" s="9">
        <v>110534.67</v>
      </c>
      <c r="M249" s="9">
        <v>115541.86</v>
      </c>
      <c r="N249" s="6" t="str">
        <f>_xlfn.XLOOKUP(tblSales[[#This Row],[ProductID]],tblProducts[ProductID],tblProducts[ProductName],"Not Found")</f>
        <v>NeuroCalm</v>
      </c>
      <c r="O249" s="8">
        <f>YEAR(tblSales[[#This Row],[Month]])</f>
        <v>2024</v>
      </c>
      <c r="P249" s="8">
        <f>MONTH(tblSales[[#This Row],[Month]])</f>
        <v>6</v>
      </c>
      <c r="Q249" s="6">
        <f>IFERROR(tblSales[[#This Row],[NetSalesTRY]]/tblSales[[#This Row],[Units]],0)</f>
        <v>1052.7111428571429</v>
      </c>
      <c r="R249" s="17">
        <f>IFERROR(tblSales[[#This Row],[NetSalesTRY]]/tblSales[[#This Row],[TargetTRY]],0)</f>
        <v>0.95666341185783232</v>
      </c>
      <c r="S249" s="6">
        <f>tblSales[[#This Row],[NetSalesTRY]]-tblSales[[#This Row],[TargetTRY]]</f>
        <v>-5007.1900000000023</v>
      </c>
      <c r="T249" s="6">
        <f>MAX(tblSales[[#This Row],[TargetTRY]]-tblSales[[#This Row],[NetSalesTRY]],0)</f>
        <v>5007.1900000000023</v>
      </c>
    </row>
    <row r="250" spans="1:20">
      <c r="A250" t="s">
        <v>638</v>
      </c>
      <c r="B250" s="15">
        <v>45444</v>
      </c>
      <c r="C250" t="s">
        <v>19</v>
      </c>
      <c r="D250" t="s">
        <v>20</v>
      </c>
      <c r="E250" t="s">
        <v>40</v>
      </c>
      <c r="F250" t="s">
        <v>38</v>
      </c>
      <c r="G250" t="s">
        <v>5</v>
      </c>
      <c r="H250" s="8">
        <v>156</v>
      </c>
      <c r="I250" s="9">
        <v>153413.97</v>
      </c>
      <c r="J250" s="9">
        <v>5965.29</v>
      </c>
      <c r="K250" s="9">
        <v>2120.1799999999998</v>
      </c>
      <c r="L250" s="9">
        <v>145328.5</v>
      </c>
      <c r="M250" s="9">
        <v>147514.88</v>
      </c>
      <c r="N250" s="6" t="str">
        <f>_xlfn.XLOOKUP(tblSales[[#This Row],[ProductID]],tblProducts[ProductID],tblProducts[ProductName],"Not Found")</f>
        <v>Cardiovan</v>
      </c>
      <c r="O250" s="8">
        <f>YEAR(tblSales[[#This Row],[Month]])</f>
        <v>2024</v>
      </c>
      <c r="P250" s="8">
        <f>MONTH(tblSales[[#This Row],[Month]])</f>
        <v>6</v>
      </c>
      <c r="Q250" s="6">
        <f>IFERROR(tblSales[[#This Row],[NetSalesTRY]]/tblSales[[#This Row],[Units]],0)</f>
        <v>931.59294871794873</v>
      </c>
      <c r="R250" s="17">
        <f>IFERROR(tblSales[[#This Row],[NetSalesTRY]]/tblSales[[#This Row],[TargetTRY]],0)</f>
        <v>0.98517857995071412</v>
      </c>
      <c r="S250" s="6">
        <f>tblSales[[#This Row],[NetSalesTRY]]-tblSales[[#This Row],[TargetTRY]]</f>
        <v>-2186.3800000000047</v>
      </c>
      <c r="T250" s="6">
        <f>MAX(tblSales[[#This Row],[TargetTRY]]-tblSales[[#This Row],[NetSalesTRY]],0)</f>
        <v>2186.3800000000047</v>
      </c>
    </row>
    <row r="251" spans="1:20">
      <c r="A251" t="s">
        <v>639</v>
      </c>
      <c r="B251" s="15">
        <v>45444</v>
      </c>
      <c r="C251" t="s">
        <v>19</v>
      </c>
      <c r="D251" t="s">
        <v>20</v>
      </c>
      <c r="E251" t="s">
        <v>40</v>
      </c>
      <c r="F251" t="s">
        <v>38</v>
      </c>
      <c r="G251" t="s">
        <v>8</v>
      </c>
      <c r="H251" s="8">
        <v>183</v>
      </c>
      <c r="I251" s="9">
        <v>139239.38</v>
      </c>
      <c r="J251" s="9">
        <v>6827.37</v>
      </c>
      <c r="K251" s="9">
        <v>1635.35</v>
      </c>
      <c r="L251" s="9">
        <v>130776.66</v>
      </c>
      <c r="M251" s="9">
        <v>136821.23000000001</v>
      </c>
      <c r="N251" s="6" t="str">
        <f>_xlfn.XLOOKUP(tblSales[[#This Row],[ProductID]],tblProducts[ProductID],tblProducts[ProductName],"Not Found")</f>
        <v>GlucoRelief</v>
      </c>
      <c r="O251" s="8">
        <f>YEAR(tblSales[[#This Row],[Month]])</f>
        <v>2024</v>
      </c>
      <c r="P251" s="8">
        <f>MONTH(tblSales[[#This Row],[Month]])</f>
        <v>6</v>
      </c>
      <c r="Q251" s="6">
        <f>IFERROR(tblSales[[#This Row],[NetSalesTRY]]/tblSales[[#This Row],[Units]],0)</f>
        <v>714.62655737704915</v>
      </c>
      <c r="R251" s="17">
        <f>IFERROR(tblSales[[#This Row],[NetSalesTRY]]/tblSales[[#This Row],[TargetTRY]],0)</f>
        <v>0.95582140286269901</v>
      </c>
      <c r="S251" s="6">
        <f>tblSales[[#This Row],[NetSalesTRY]]-tblSales[[#This Row],[TargetTRY]]</f>
        <v>-6044.570000000007</v>
      </c>
      <c r="T251" s="6">
        <f>MAX(tblSales[[#This Row],[TargetTRY]]-tblSales[[#This Row],[NetSalesTRY]],0)</f>
        <v>6044.570000000007</v>
      </c>
    </row>
    <row r="252" spans="1:20">
      <c r="A252" t="s">
        <v>640</v>
      </c>
      <c r="B252" s="15">
        <v>45444</v>
      </c>
      <c r="C252" t="s">
        <v>19</v>
      </c>
      <c r="D252" t="s">
        <v>20</v>
      </c>
      <c r="E252" t="s">
        <v>40</v>
      </c>
      <c r="F252" t="s">
        <v>38</v>
      </c>
      <c r="G252" t="s">
        <v>11</v>
      </c>
      <c r="H252" s="8">
        <v>231</v>
      </c>
      <c r="I252" s="9">
        <v>144282.23000000001</v>
      </c>
      <c r="J252" s="9">
        <v>6642.16</v>
      </c>
      <c r="K252" s="9">
        <v>720.16</v>
      </c>
      <c r="L252" s="9">
        <v>136919.91</v>
      </c>
      <c r="M252" s="9">
        <v>136291.70000000001</v>
      </c>
      <c r="N252" s="6" t="str">
        <f>_xlfn.XLOOKUP(tblSales[[#This Row],[ProductID]],tblProducts[ProductID],tblProducts[ProductName],"Not Found")</f>
        <v>RespiraX</v>
      </c>
      <c r="O252" s="8">
        <f>YEAR(tblSales[[#This Row],[Month]])</f>
        <v>2024</v>
      </c>
      <c r="P252" s="8">
        <f>MONTH(tblSales[[#This Row],[Month]])</f>
        <v>6</v>
      </c>
      <c r="Q252" s="6">
        <f>IFERROR(tblSales[[#This Row],[NetSalesTRY]]/tblSales[[#This Row],[Units]],0)</f>
        <v>592.72688311688319</v>
      </c>
      <c r="R252" s="17">
        <f>IFERROR(tblSales[[#This Row],[NetSalesTRY]]/tblSales[[#This Row],[TargetTRY]],0)</f>
        <v>1.0046093048953091</v>
      </c>
      <c r="S252" s="6">
        <f>tblSales[[#This Row],[NetSalesTRY]]-tblSales[[#This Row],[TargetTRY]]</f>
        <v>628.20999999999185</v>
      </c>
      <c r="T252" s="6">
        <f>MAX(tblSales[[#This Row],[TargetTRY]]-tblSales[[#This Row],[NetSalesTRY]],0)</f>
        <v>0</v>
      </c>
    </row>
    <row r="253" spans="1:20">
      <c r="A253" t="s">
        <v>641</v>
      </c>
      <c r="B253" s="15">
        <v>45444</v>
      </c>
      <c r="C253" t="s">
        <v>19</v>
      </c>
      <c r="D253" t="s">
        <v>20</v>
      </c>
      <c r="E253" t="s">
        <v>40</v>
      </c>
      <c r="F253" t="s">
        <v>38</v>
      </c>
      <c r="G253" t="s">
        <v>14</v>
      </c>
      <c r="H253" s="8">
        <v>118</v>
      </c>
      <c r="I253" s="9">
        <v>131033.02</v>
      </c>
      <c r="J253" s="9">
        <v>8919.23</v>
      </c>
      <c r="K253" s="9">
        <v>524.65</v>
      </c>
      <c r="L253" s="9">
        <v>121589.14</v>
      </c>
      <c r="M253" s="9">
        <v>126369.38</v>
      </c>
      <c r="N253" s="6" t="str">
        <f>_xlfn.XLOOKUP(tblSales[[#This Row],[ProductID]],tblProducts[ProductID],tblProducts[ProductName],"Not Found")</f>
        <v>NeuroCalm</v>
      </c>
      <c r="O253" s="8">
        <f>YEAR(tblSales[[#This Row],[Month]])</f>
        <v>2024</v>
      </c>
      <c r="P253" s="8">
        <f>MONTH(tblSales[[#This Row],[Month]])</f>
        <v>6</v>
      </c>
      <c r="Q253" s="6">
        <f>IFERROR(tblSales[[#This Row],[NetSalesTRY]]/tblSales[[#This Row],[Units]],0)</f>
        <v>1030.4164406779662</v>
      </c>
      <c r="R253" s="17">
        <f>IFERROR(tblSales[[#This Row],[NetSalesTRY]]/tblSales[[#This Row],[TargetTRY]],0)</f>
        <v>0.96217248197308558</v>
      </c>
      <c r="S253" s="6">
        <f>tblSales[[#This Row],[NetSalesTRY]]-tblSales[[#This Row],[TargetTRY]]</f>
        <v>-4780.2400000000052</v>
      </c>
      <c r="T253" s="6">
        <f>MAX(tblSales[[#This Row],[TargetTRY]]-tblSales[[#This Row],[NetSalesTRY]],0)</f>
        <v>4780.2400000000052</v>
      </c>
    </row>
    <row r="254" spans="1:20">
      <c r="A254" t="s">
        <v>642</v>
      </c>
      <c r="B254" s="15">
        <v>45444</v>
      </c>
      <c r="C254" t="s">
        <v>21</v>
      </c>
      <c r="D254" t="s">
        <v>22</v>
      </c>
      <c r="E254" t="s">
        <v>43</v>
      </c>
      <c r="F254" t="s">
        <v>41</v>
      </c>
      <c r="G254" t="s">
        <v>5</v>
      </c>
      <c r="H254" s="8">
        <v>113</v>
      </c>
      <c r="I254" s="9">
        <v>111916.82</v>
      </c>
      <c r="J254" s="9">
        <v>8075.38</v>
      </c>
      <c r="K254" s="9">
        <v>691.68</v>
      </c>
      <c r="L254" s="9">
        <v>103149.75999999999</v>
      </c>
      <c r="M254" s="9">
        <v>106775.81</v>
      </c>
      <c r="N254" s="6" t="str">
        <f>_xlfn.XLOOKUP(tblSales[[#This Row],[ProductID]],tblProducts[ProductID],tblProducts[ProductName],"Not Found")</f>
        <v>Cardiovan</v>
      </c>
      <c r="O254" s="8">
        <f>YEAR(tblSales[[#This Row],[Month]])</f>
        <v>2024</v>
      </c>
      <c r="P254" s="8">
        <f>MONTH(tblSales[[#This Row],[Month]])</f>
        <v>6</v>
      </c>
      <c r="Q254" s="6">
        <f>IFERROR(tblSales[[#This Row],[NetSalesTRY]]/tblSales[[#This Row],[Units]],0)</f>
        <v>912.82973451327427</v>
      </c>
      <c r="R254" s="17">
        <f>IFERROR(tblSales[[#This Row],[NetSalesTRY]]/tblSales[[#This Row],[TargetTRY]],0)</f>
        <v>0.96604052921724493</v>
      </c>
      <c r="S254" s="6">
        <f>tblSales[[#This Row],[NetSalesTRY]]-tblSales[[#This Row],[TargetTRY]]</f>
        <v>-3626.0500000000029</v>
      </c>
      <c r="T254" s="6">
        <f>MAX(tblSales[[#This Row],[TargetTRY]]-tblSales[[#This Row],[NetSalesTRY]],0)</f>
        <v>3626.0500000000029</v>
      </c>
    </row>
    <row r="255" spans="1:20">
      <c r="A255" t="s">
        <v>643</v>
      </c>
      <c r="B255" s="15">
        <v>45444</v>
      </c>
      <c r="C255" t="s">
        <v>21</v>
      </c>
      <c r="D255" t="s">
        <v>22</v>
      </c>
      <c r="E255" t="s">
        <v>43</v>
      </c>
      <c r="F255" t="s">
        <v>41</v>
      </c>
      <c r="G255" t="s">
        <v>8</v>
      </c>
      <c r="H255" s="8">
        <v>135</v>
      </c>
      <c r="I255" s="9">
        <v>101982.71</v>
      </c>
      <c r="J255" s="9">
        <v>6689.17</v>
      </c>
      <c r="K255" s="9">
        <v>1341.75</v>
      </c>
      <c r="L255" s="9">
        <v>93951.79</v>
      </c>
      <c r="M255" s="9">
        <v>101263.98</v>
      </c>
      <c r="N255" s="6" t="str">
        <f>_xlfn.XLOOKUP(tblSales[[#This Row],[ProductID]],tblProducts[ProductID],tblProducts[ProductName],"Not Found")</f>
        <v>GlucoRelief</v>
      </c>
      <c r="O255" s="8">
        <f>YEAR(tblSales[[#This Row],[Month]])</f>
        <v>2024</v>
      </c>
      <c r="P255" s="8">
        <f>MONTH(tblSales[[#This Row],[Month]])</f>
        <v>6</v>
      </c>
      <c r="Q255" s="6">
        <f>IFERROR(tblSales[[#This Row],[NetSalesTRY]]/tblSales[[#This Row],[Units]],0)</f>
        <v>695.93918518518512</v>
      </c>
      <c r="R255" s="17">
        <f>IFERROR(tblSales[[#This Row],[NetSalesTRY]]/tblSales[[#This Row],[TargetTRY]],0)</f>
        <v>0.92779080972325989</v>
      </c>
      <c r="S255" s="6">
        <f>tblSales[[#This Row],[NetSalesTRY]]-tblSales[[#This Row],[TargetTRY]]</f>
        <v>-7312.1900000000023</v>
      </c>
      <c r="T255" s="6">
        <f>MAX(tblSales[[#This Row],[TargetTRY]]-tblSales[[#This Row],[NetSalesTRY]],0)</f>
        <v>7312.1900000000023</v>
      </c>
    </row>
    <row r="256" spans="1:20">
      <c r="A256" t="s">
        <v>644</v>
      </c>
      <c r="B256" s="15">
        <v>45444</v>
      </c>
      <c r="C256" t="s">
        <v>21</v>
      </c>
      <c r="D256" t="s">
        <v>22</v>
      </c>
      <c r="E256" t="s">
        <v>43</v>
      </c>
      <c r="F256" t="s">
        <v>41</v>
      </c>
      <c r="G256" t="s">
        <v>11</v>
      </c>
      <c r="H256" s="8">
        <v>177</v>
      </c>
      <c r="I256" s="9">
        <v>109450.46</v>
      </c>
      <c r="J256" s="9">
        <v>6081.04</v>
      </c>
      <c r="K256" s="9">
        <v>1242.25</v>
      </c>
      <c r="L256" s="9">
        <v>102127.17</v>
      </c>
      <c r="M256" s="9">
        <v>97751.87</v>
      </c>
      <c r="N256" s="6" t="str">
        <f>_xlfn.XLOOKUP(tblSales[[#This Row],[ProductID]],tblProducts[ProductID],tblProducts[ProductName],"Not Found")</f>
        <v>RespiraX</v>
      </c>
      <c r="O256" s="8">
        <f>YEAR(tblSales[[#This Row],[Month]])</f>
        <v>2024</v>
      </c>
      <c r="P256" s="8">
        <f>MONTH(tblSales[[#This Row],[Month]])</f>
        <v>6</v>
      </c>
      <c r="Q256" s="6">
        <f>IFERROR(tblSales[[#This Row],[NetSalesTRY]]/tblSales[[#This Row],[Units]],0)</f>
        <v>576.98966101694919</v>
      </c>
      <c r="R256" s="17">
        <f>IFERROR(tblSales[[#This Row],[NetSalesTRY]]/tblSales[[#This Row],[TargetTRY]],0)</f>
        <v>1.0447592460379531</v>
      </c>
      <c r="S256" s="6">
        <f>tblSales[[#This Row],[NetSalesTRY]]-tblSales[[#This Row],[TargetTRY]]</f>
        <v>4375.3000000000029</v>
      </c>
      <c r="T256" s="6">
        <f>MAX(tblSales[[#This Row],[TargetTRY]]-tblSales[[#This Row],[NetSalesTRY]],0)</f>
        <v>0</v>
      </c>
    </row>
    <row r="257" spans="1:20">
      <c r="A257" t="s">
        <v>645</v>
      </c>
      <c r="B257" s="15">
        <v>45444</v>
      </c>
      <c r="C257" t="s">
        <v>21</v>
      </c>
      <c r="D257" t="s">
        <v>22</v>
      </c>
      <c r="E257" t="s">
        <v>43</v>
      </c>
      <c r="F257" t="s">
        <v>41</v>
      </c>
      <c r="G257" t="s">
        <v>14</v>
      </c>
      <c r="H257" s="8">
        <v>94</v>
      </c>
      <c r="I257" s="9">
        <v>103241.01</v>
      </c>
      <c r="J257" s="9">
        <v>5242.54</v>
      </c>
      <c r="K257" s="9">
        <v>714.97</v>
      </c>
      <c r="L257" s="9">
        <v>97283.5</v>
      </c>
      <c r="M257" s="9">
        <v>90946.01</v>
      </c>
      <c r="N257" s="6" t="str">
        <f>_xlfn.XLOOKUP(tblSales[[#This Row],[ProductID]],tblProducts[ProductID],tblProducts[ProductName],"Not Found")</f>
        <v>NeuroCalm</v>
      </c>
      <c r="O257" s="8">
        <f>YEAR(tblSales[[#This Row],[Month]])</f>
        <v>2024</v>
      </c>
      <c r="P257" s="8">
        <f>MONTH(tblSales[[#This Row],[Month]])</f>
        <v>6</v>
      </c>
      <c r="Q257" s="6">
        <f>IFERROR(tblSales[[#This Row],[NetSalesTRY]]/tblSales[[#This Row],[Units]],0)</f>
        <v>1034.9308510638298</v>
      </c>
      <c r="R257" s="17">
        <f>IFERROR(tblSales[[#This Row],[NetSalesTRY]]/tblSales[[#This Row],[TargetTRY]],0)</f>
        <v>1.0696840905939689</v>
      </c>
      <c r="S257" s="6">
        <f>tblSales[[#This Row],[NetSalesTRY]]-tblSales[[#This Row],[TargetTRY]]</f>
        <v>6337.4900000000052</v>
      </c>
      <c r="T257" s="6">
        <f>MAX(tblSales[[#This Row],[TargetTRY]]-tblSales[[#This Row],[NetSalesTRY]],0)</f>
        <v>0</v>
      </c>
    </row>
    <row r="258" spans="1:20">
      <c r="A258" t="s">
        <v>646</v>
      </c>
      <c r="B258" s="15">
        <v>45444</v>
      </c>
      <c r="C258" t="s">
        <v>21</v>
      </c>
      <c r="D258" t="s">
        <v>22</v>
      </c>
      <c r="E258" t="s">
        <v>46</v>
      </c>
      <c r="F258" t="s">
        <v>44</v>
      </c>
      <c r="G258" t="s">
        <v>5</v>
      </c>
      <c r="H258" s="8">
        <v>101</v>
      </c>
      <c r="I258" s="9">
        <v>98994.06</v>
      </c>
      <c r="J258" s="9">
        <v>4368.7299999999996</v>
      </c>
      <c r="K258" s="9">
        <v>433.81</v>
      </c>
      <c r="L258" s="9">
        <v>94191.51</v>
      </c>
      <c r="M258" s="9">
        <v>95243.89</v>
      </c>
      <c r="N258" s="6" t="str">
        <f>_xlfn.XLOOKUP(tblSales[[#This Row],[ProductID]],tblProducts[ProductID],tblProducts[ProductName],"Not Found")</f>
        <v>Cardiovan</v>
      </c>
      <c r="O258" s="8">
        <f>YEAR(tblSales[[#This Row],[Month]])</f>
        <v>2024</v>
      </c>
      <c r="P258" s="8">
        <f>MONTH(tblSales[[#This Row],[Month]])</f>
        <v>6</v>
      </c>
      <c r="Q258" s="6">
        <f>IFERROR(tblSales[[#This Row],[NetSalesTRY]]/tblSales[[#This Row],[Units]],0)</f>
        <v>932.58920792079198</v>
      </c>
      <c r="R258" s="17">
        <f>IFERROR(tblSales[[#This Row],[NetSalesTRY]]/tblSales[[#This Row],[TargetTRY]],0)</f>
        <v>0.98895068229573568</v>
      </c>
      <c r="S258" s="6">
        <f>tblSales[[#This Row],[NetSalesTRY]]-tblSales[[#This Row],[TargetTRY]]</f>
        <v>-1052.3800000000047</v>
      </c>
      <c r="T258" s="6">
        <f>MAX(tblSales[[#This Row],[TargetTRY]]-tblSales[[#This Row],[NetSalesTRY]],0)</f>
        <v>1052.3800000000047</v>
      </c>
    </row>
    <row r="259" spans="1:20">
      <c r="A259" t="s">
        <v>647</v>
      </c>
      <c r="B259" s="15">
        <v>45444</v>
      </c>
      <c r="C259" t="s">
        <v>21</v>
      </c>
      <c r="D259" t="s">
        <v>22</v>
      </c>
      <c r="E259" t="s">
        <v>46</v>
      </c>
      <c r="F259" t="s">
        <v>44</v>
      </c>
      <c r="G259" t="s">
        <v>8</v>
      </c>
      <c r="H259" s="8">
        <v>120</v>
      </c>
      <c r="I259" s="9">
        <v>92000.04</v>
      </c>
      <c r="J259" s="9">
        <v>3282.45</v>
      </c>
      <c r="K259" s="9">
        <v>1182.82</v>
      </c>
      <c r="L259" s="9">
        <v>87534.77</v>
      </c>
      <c r="M259" s="9">
        <v>89303.63</v>
      </c>
      <c r="N259" s="6" t="str">
        <f>_xlfn.XLOOKUP(tblSales[[#This Row],[ProductID]],tblProducts[ProductID],tblProducts[ProductName],"Not Found")</f>
        <v>GlucoRelief</v>
      </c>
      <c r="O259" s="8">
        <f>YEAR(tblSales[[#This Row],[Month]])</f>
        <v>2024</v>
      </c>
      <c r="P259" s="8">
        <f>MONTH(tblSales[[#This Row],[Month]])</f>
        <v>6</v>
      </c>
      <c r="Q259" s="6">
        <f>IFERROR(tblSales[[#This Row],[NetSalesTRY]]/tblSales[[#This Row],[Units]],0)</f>
        <v>729.45641666666666</v>
      </c>
      <c r="R259" s="17">
        <f>IFERROR(tblSales[[#This Row],[NetSalesTRY]]/tblSales[[#This Row],[TargetTRY]],0)</f>
        <v>0.98019274244507193</v>
      </c>
      <c r="S259" s="6">
        <f>tblSales[[#This Row],[NetSalesTRY]]-tblSales[[#This Row],[TargetTRY]]</f>
        <v>-1768.8600000000006</v>
      </c>
      <c r="T259" s="6">
        <f>MAX(tblSales[[#This Row],[TargetTRY]]-tblSales[[#This Row],[NetSalesTRY]],0)</f>
        <v>1768.8600000000006</v>
      </c>
    </row>
    <row r="260" spans="1:20">
      <c r="A260" t="s">
        <v>648</v>
      </c>
      <c r="B260" s="15">
        <v>45444</v>
      </c>
      <c r="C260" t="s">
        <v>21</v>
      </c>
      <c r="D260" t="s">
        <v>22</v>
      </c>
      <c r="E260" t="s">
        <v>46</v>
      </c>
      <c r="F260" t="s">
        <v>44</v>
      </c>
      <c r="G260" t="s">
        <v>11</v>
      </c>
      <c r="H260" s="8">
        <v>143</v>
      </c>
      <c r="I260" s="9">
        <v>88003.83</v>
      </c>
      <c r="J260" s="9">
        <v>5027.33</v>
      </c>
      <c r="K260" s="9">
        <v>353.29</v>
      </c>
      <c r="L260" s="9">
        <v>82623.199999999997</v>
      </c>
      <c r="M260" s="9">
        <v>86674.240000000005</v>
      </c>
      <c r="N260" s="6" t="str">
        <f>_xlfn.XLOOKUP(tblSales[[#This Row],[ProductID]],tblProducts[ProductID],tblProducts[ProductName],"Not Found")</f>
        <v>RespiraX</v>
      </c>
      <c r="O260" s="8">
        <f>YEAR(tblSales[[#This Row],[Month]])</f>
        <v>2024</v>
      </c>
      <c r="P260" s="8">
        <f>MONTH(tblSales[[#This Row],[Month]])</f>
        <v>6</v>
      </c>
      <c r="Q260" s="6">
        <f>IFERROR(tblSales[[#This Row],[NetSalesTRY]]/tblSales[[#This Row],[Units]],0)</f>
        <v>577.78461538461534</v>
      </c>
      <c r="R260" s="17">
        <f>IFERROR(tblSales[[#This Row],[NetSalesTRY]]/tblSales[[#This Row],[TargetTRY]],0)</f>
        <v>0.95326131501124201</v>
      </c>
      <c r="S260" s="6">
        <f>tblSales[[#This Row],[NetSalesTRY]]-tblSales[[#This Row],[TargetTRY]]</f>
        <v>-4051.0400000000081</v>
      </c>
      <c r="T260" s="6">
        <f>MAX(tblSales[[#This Row],[TargetTRY]]-tblSales[[#This Row],[NetSalesTRY]],0)</f>
        <v>4051.0400000000081</v>
      </c>
    </row>
    <row r="261" spans="1:20">
      <c r="A261" t="s">
        <v>649</v>
      </c>
      <c r="B261" s="15">
        <v>45444</v>
      </c>
      <c r="C261" t="s">
        <v>21</v>
      </c>
      <c r="D261" t="s">
        <v>22</v>
      </c>
      <c r="E261" t="s">
        <v>46</v>
      </c>
      <c r="F261" t="s">
        <v>44</v>
      </c>
      <c r="G261" t="s">
        <v>14</v>
      </c>
      <c r="H261" s="8">
        <v>83</v>
      </c>
      <c r="I261" s="9">
        <v>91799.82</v>
      </c>
      <c r="J261" s="9">
        <v>6457.62</v>
      </c>
      <c r="K261" s="9">
        <v>750.91</v>
      </c>
      <c r="L261" s="9">
        <v>84591.29</v>
      </c>
      <c r="M261" s="9">
        <v>81148.08</v>
      </c>
      <c r="N261" s="6" t="str">
        <f>_xlfn.XLOOKUP(tblSales[[#This Row],[ProductID]],tblProducts[ProductID],tblProducts[ProductName],"Not Found")</f>
        <v>NeuroCalm</v>
      </c>
      <c r="O261" s="8">
        <f>YEAR(tblSales[[#This Row],[Month]])</f>
        <v>2024</v>
      </c>
      <c r="P261" s="8">
        <f>MONTH(tblSales[[#This Row],[Month]])</f>
        <v>6</v>
      </c>
      <c r="Q261" s="6">
        <f>IFERROR(tblSales[[#This Row],[NetSalesTRY]]/tblSales[[#This Row],[Units]],0)</f>
        <v>1019.1721686746987</v>
      </c>
      <c r="R261" s="17">
        <f>IFERROR(tblSales[[#This Row],[NetSalesTRY]]/tblSales[[#This Row],[TargetTRY]],0)</f>
        <v>1.0424311949216789</v>
      </c>
      <c r="S261" s="6">
        <f>tblSales[[#This Row],[NetSalesTRY]]-tblSales[[#This Row],[TargetTRY]]</f>
        <v>3443.2099999999919</v>
      </c>
      <c r="T261" s="6">
        <f>MAX(tblSales[[#This Row],[TargetTRY]]-tblSales[[#This Row],[NetSalesTRY]],0)</f>
        <v>0</v>
      </c>
    </row>
    <row r="262" spans="1:20">
      <c r="A262" t="s">
        <v>650</v>
      </c>
      <c r="B262" s="15">
        <v>45444</v>
      </c>
      <c r="C262" t="s">
        <v>21</v>
      </c>
      <c r="D262" t="s">
        <v>22</v>
      </c>
      <c r="E262" t="s">
        <v>49</v>
      </c>
      <c r="F262" t="s">
        <v>47</v>
      </c>
      <c r="G262" t="s">
        <v>5</v>
      </c>
      <c r="H262" s="8">
        <v>109</v>
      </c>
      <c r="I262" s="9">
        <v>105837.28</v>
      </c>
      <c r="J262" s="9">
        <v>4123.42</v>
      </c>
      <c r="K262" s="9">
        <v>1227.25</v>
      </c>
      <c r="L262" s="9">
        <v>100486.61</v>
      </c>
      <c r="M262" s="9">
        <v>105995.69</v>
      </c>
      <c r="N262" s="6" t="str">
        <f>_xlfn.XLOOKUP(tblSales[[#This Row],[ProductID]],tblProducts[ProductID],tblProducts[ProductName],"Not Found")</f>
        <v>Cardiovan</v>
      </c>
      <c r="O262" s="8">
        <f>YEAR(tblSales[[#This Row],[Month]])</f>
        <v>2024</v>
      </c>
      <c r="P262" s="8">
        <f>MONTH(tblSales[[#This Row],[Month]])</f>
        <v>6</v>
      </c>
      <c r="Q262" s="6">
        <f>IFERROR(tblSales[[#This Row],[NetSalesTRY]]/tblSales[[#This Row],[Units]],0)</f>
        <v>921.89550458715598</v>
      </c>
      <c r="R262" s="17">
        <f>IFERROR(tblSales[[#This Row],[NetSalesTRY]]/tblSales[[#This Row],[TargetTRY]],0)</f>
        <v>0.94802543386433924</v>
      </c>
      <c r="S262" s="6">
        <f>tblSales[[#This Row],[NetSalesTRY]]-tblSales[[#This Row],[TargetTRY]]</f>
        <v>-5509.0800000000017</v>
      </c>
      <c r="T262" s="6">
        <f>MAX(tblSales[[#This Row],[TargetTRY]]-tblSales[[#This Row],[NetSalesTRY]],0)</f>
        <v>5509.0800000000017</v>
      </c>
    </row>
    <row r="263" spans="1:20">
      <c r="A263" t="s">
        <v>651</v>
      </c>
      <c r="B263" s="15">
        <v>45444</v>
      </c>
      <c r="C263" t="s">
        <v>21</v>
      </c>
      <c r="D263" t="s">
        <v>22</v>
      </c>
      <c r="E263" t="s">
        <v>49</v>
      </c>
      <c r="F263" t="s">
        <v>47</v>
      </c>
      <c r="G263" t="s">
        <v>8</v>
      </c>
      <c r="H263" s="8">
        <v>140</v>
      </c>
      <c r="I263" s="9">
        <v>106754.67</v>
      </c>
      <c r="J263" s="9">
        <v>4939.55</v>
      </c>
      <c r="K263" s="9">
        <v>1212.06</v>
      </c>
      <c r="L263" s="9">
        <v>100603.06</v>
      </c>
      <c r="M263" s="9">
        <v>98215.35</v>
      </c>
      <c r="N263" s="6" t="str">
        <f>_xlfn.XLOOKUP(tblSales[[#This Row],[ProductID]],tblProducts[ProductID],tblProducts[ProductName],"Not Found")</f>
        <v>GlucoRelief</v>
      </c>
      <c r="O263" s="8">
        <f>YEAR(tblSales[[#This Row],[Month]])</f>
        <v>2024</v>
      </c>
      <c r="P263" s="8">
        <f>MONTH(tblSales[[#This Row],[Month]])</f>
        <v>6</v>
      </c>
      <c r="Q263" s="6">
        <f>IFERROR(tblSales[[#This Row],[NetSalesTRY]]/tblSales[[#This Row],[Units]],0)</f>
        <v>718.59328571428568</v>
      </c>
      <c r="R263" s="17">
        <f>IFERROR(tblSales[[#This Row],[NetSalesTRY]]/tblSales[[#This Row],[TargetTRY]],0)</f>
        <v>1.0243109656484448</v>
      </c>
      <c r="S263" s="6">
        <f>tblSales[[#This Row],[NetSalesTRY]]-tblSales[[#This Row],[TargetTRY]]</f>
        <v>2387.7099999999919</v>
      </c>
      <c r="T263" s="6">
        <f>MAX(tblSales[[#This Row],[TargetTRY]]-tblSales[[#This Row],[NetSalesTRY]],0)</f>
        <v>0</v>
      </c>
    </row>
    <row r="264" spans="1:20">
      <c r="A264" t="s">
        <v>652</v>
      </c>
      <c r="B264" s="15">
        <v>45444</v>
      </c>
      <c r="C264" t="s">
        <v>21</v>
      </c>
      <c r="D264" t="s">
        <v>22</v>
      </c>
      <c r="E264" t="s">
        <v>49</v>
      </c>
      <c r="F264" t="s">
        <v>47</v>
      </c>
      <c r="G264" t="s">
        <v>11</v>
      </c>
      <c r="H264" s="8">
        <v>161</v>
      </c>
      <c r="I264" s="9">
        <v>101188.03</v>
      </c>
      <c r="J264" s="9">
        <v>7060.73</v>
      </c>
      <c r="K264" s="9">
        <v>826.35</v>
      </c>
      <c r="L264" s="9">
        <v>93300.95</v>
      </c>
      <c r="M264" s="9">
        <v>97137.87</v>
      </c>
      <c r="N264" s="6" t="str">
        <f>_xlfn.XLOOKUP(tblSales[[#This Row],[ProductID]],tblProducts[ProductID],tblProducts[ProductName],"Not Found")</f>
        <v>RespiraX</v>
      </c>
      <c r="O264" s="8">
        <f>YEAR(tblSales[[#This Row],[Month]])</f>
        <v>2024</v>
      </c>
      <c r="P264" s="8">
        <f>MONTH(tblSales[[#This Row],[Month]])</f>
        <v>6</v>
      </c>
      <c r="Q264" s="6">
        <f>IFERROR(tblSales[[#This Row],[NetSalesTRY]]/tblSales[[#This Row],[Units]],0)</f>
        <v>579.50900621118012</v>
      </c>
      <c r="R264" s="17">
        <f>IFERROR(tblSales[[#This Row],[NetSalesTRY]]/tblSales[[#This Row],[TargetTRY]],0)</f>
        <v>0.96050026627102281</v>
      </c>
      <c r="S264" s="6">
        <f>tblSales[[#This Row],[NetSalesTRY]]-tblSales[[#This Row],[TargetTRY]]</f>
        <v>-3836.9199999999983</v>
      </c>
      <c r="T264" s="6">
        <f>MAX(tblSales[[#This Row],[TargetTRY]]-tblSales[[#This Row],[NetSalesTRY]],0)</f>
        <v>3836.9199999999983</v>
      </c>
    </row>
    <row r="265" spans="1:20">
      <c r="A265" t="s">
        <v>653</v>
      </c>
      <c r="B265" s="15">
        <v>45444</v>
      </c>
      <c r="C265" t="s">
        <v>21</v>
      </c>
      <c r="D265" t="s">
        <v>22</v>
      </c>
      <c r="E265" t="s">
        <v>49</v>
      </c>
      <c r="F265" t="s">
        <v>47</v>
      </c>
      <c r="G265" t="s">
        <v>14</v>
      </c>
      <c r="H265" s="8">
        <v>85</v>
      </c>
      <c r="I265" s="9">
        <v>94177.59</v>
      </c>
      <c r="J265" s="9">
        <v>4785.83</v>
      </c>
      <c r="K265" s="9">
        <v>839.33</v>
      </c>
      <c r="L265" s="9">
        <v>88552.43</v>
      </c>
      <c r="M265" s="9">
        <v>89941.84</v>
      </c>
      <c r="N265" s="6" t="str">
        <f>_xlfn.XLOOKUP(tblSales[[#This Row],[ProductID]],tblProducts[ProductID],tblProducts[ProductName],"Not Found")</f>
        <v>NeuroCalm</v>
      </c>
      <c r="O265" s="8">
        <f>YEAR(tblSales[[#This Row],[Month]])</f>
        <v>2024</v>
      </c>
      <c r="P265" s="8">
        <f>MONTH(tblSales[[#This Row],[Month]])</f>
        <v>6</v>
      </c>
      <c r="Q265" s="6">
        <f>IFERROR(tblSales[[#This Row],[NetSalesTRY]]/tblSales[[#This Row],[Units]],0)</f>
        <v>1041.7932941176471</v>
      </c>
      <c r="R265" s="17">
        <f>IFERROR(tblSales[[#This Row],[NetSalesTRY]]/tblSales[[#This Row],[TargetTRY]],0)</f>
        <v>0.98455212835316686</v>
      </c>
      <c r="S265" s="6">
        <f>tblSales[[#This Row],[NetSalesTRY]]-tblSales[[#This Row],[TargetTRY]]</f>
        <v>-1389.4100000000035</v>
      </c>
      <c r="T265" s="6">
        <f>MAX(tblSales[[#This Row],[TargetTRY]]-tblSales[[#This Row],[NetSalesTRY]],0)</f>
        <v>1389.4100000000035</v>
      </c>
    </row>
    <row r="266" spans="1:20">
      <c r="A266" t="s">
        <v>654</v>
      </c>
      <c r="B266" s="15">
        <v>45444</v>
      </c>
      <c r="C266" t="s">
        <v>23</v>
      </c>
      <c r="D266" t="s">
        <v>24</v>
      </c>
      <c r="E266" t="s">
        <v>52</v>
      </c>
      <c r="F266" t="s">
        <v>50</v>
      </c>
      <c r="G266" t="s">
        <v>5</v>
      </c>
      <c r="H266" s="8">
        <v>120</v>
      </c>
      <c r="I266" s="9">
        <v>117279.18</v>
      </c>
      <c r="J266" s="9">
        <v>7195.58</v>
      </c>
      <c r="K266" s="9">
        <v>1482.35</v>
      </c>
      <c r="L266" s="9">
        <v>108601.25</v>
      </c>
      <c r="M266" s="9">
        <v>104373.56</v>
      </c>
      <c r="N266" s="6" t="str">
        <f>_xlfn.XLOOKUP(tblSales[[#This Row],[ProductID]],tblProducts[ProductID],tblProducts[ProductName],"Not Found")</f>
        <v>Cardiovan</v>
      </c>
      <c r="O266" s="8">
        <f>YEAR(tblSales[[#This Row],[Month]])</f>
        <v>2024</v>
      </c>
      <c r="P266" s="8">
        <f>MONTH(tblSales[[#This Row],[Month]])</f>
        <v>6</v>
      </c>
      <c r="Q266" s="6">
        <f>IFERROR(tblSales[[#This Row],[NetSalesTRY]]/tblSales[[#This Row],[Units]],0)</f>
        <v>905.01041666666663</v>
      </c>
      <c r="R266" s="17">
        <f>IFERROR(tblSales[[#This Row],[NetSalesTRY]]/tblSales[[#This Row],[TargetTRY]],0)</f>
        <v>1.0405053731998795</v>
      </c>
      <c r="S266" s="6">
        <f>tblSales[[#This Row],[NetSalesTRY]]-tblSales[[#This Row],[TargetTRY]]</f>
        <v>4227.6900000000023</v>
      </c>
      <c r="T266" s="6">
        <f>MAX(tblSales[[#This Row],[TargetTRY]]-tblSales[[#This Row],[NetSalesTRY]],0)</f>
        <v>0</v>
      </c>
    </row>
    <row r="267" spans="1:20">
      <c r="A267" t="s">
        <v>655</v>
      </c>
      <c r="B267" s="15">
        <v>45444</v>
      </c>
      <c r="C267" t="s">
        <v>23</v>
      </c>
      <c r="D267" t="s">
        <v>24</v>
      </c>
      <c r="E267" t="s">
        <v>52</v>
      </c>
      <c r="F267" t="s">
        <v>50</v>
      </c>
      <c r="G267" t="s">
        <v>8</v>
      </c>
      <c r="H267" s="8">
        <v>137</v>
      </c>
      <c r="I267" s="9">
        <v>102974.46</v>
      </c>
      <c r="J267" s="9">
        <v>5251.5</v>
      </c>
      <c r="K267" s="9">
        <v>1295.8800000000001</v>
      </c>
      <c r="L267" s="9">
        <v>96427.08</v>
      </c>
      <c r="M267" s="9">
        <v>99196.06</v>
      </c>
      <c r="N267" s="6" t="str">
        <f>_xlfn.XLOOKUP(tblSales[[#This Row],[ProductID]],tblProducts[ProductID],tblProducts[ProductName],"Not Found")</f>
        <v>GlucoRelief</v>
      </c>
      <c r="O267" s="8">
        <f>YEAR(tblSales[[#This Row],[Month]])</f>
        <v>2024</v>
      </c>
      <c r="P267" s="8">
        <f>MONTH(tblSales[[#This Row],[Month]])</f>
        <v>6</v>
      </c>
      <c r="Q267" s="6">
        <f>IFERROR(tblSales[[#This Row],[NetSalesTRY]]/tblSales[[#This Row],[Units]],0)</f>
        <v>703.84729927007299</v>
      </c>
      <c r="R267" s="17">
        <f>IFERROR(tblSales[[#This Row],[NetSalesTRY]]/tblSales[[#This Row],[TargetTRY]],0)</f>
        <v>0.97208578647176114</v>
      </c>
      <c r="S267" s="6">
        <f>tblSales[[#This Row],[NetSalesTRY]]-tblSales[[#This Row],[TargetTRY]]</f>
        <v>-2768.9799999999959</v>
      </c>
      <c r="T267" s="6">
        <f>MAX(tblSales[[#This Row],[TargetTRY]]-tblSales[[#This Row],[NetSalesTRY]],0)</f>
        <v>2768.9799999999959</v>
      </c>
    </row>
    <row r="268" spans="1:20">
      <c r="A268" t="s">
        <v>656</v>
      </c>
      <c r="B268" s="15">
        <v>45444</v>
      </c>
      <c r="C268" t="s">
        <v>23</v>
      </c>
      <c r="D268" t="s">
        <v>24</v>
      </c>
      <c r="E268" t="s">
        <v>52</v>
      </c>
      <c r="F268" t="s">
        <v>50</v>
      </c>
      <c r="G268" t="s">
        <v>11</v>
      </c>
      <c r="H268" s="8">
        <v>166</v>
      </c>
      <c r="I268" s="9">
        <v>103400.11</v>
      </c>
      <c r="J268" s="9">
        <v>5632.92</v>
      </c>
      <c r="K268" s="9">
        <v>1212.32</v>
      </c>
      <c r="L268" s="9">
        <v>96554.87</v>
      </c>
      <c r="M268" s="9">
        <v>97936.320000000007</v>
      </c>
      <c r="N268" s="6" t="str">
        <f>_xlfn.XLOOKUP(tblSales[[#This Row],[ProductID]],tblProducts[ProductID],tblProducts[ProductName],"Not Found")</f>
        <v>RespiraX</v>
      </c>
      <c r="O268" s="8">
        <f>YEAR(tblSales[[#This Row],[Month]])</f>
        <v>2024</v>
      </c>
      <c r="P268" s="8">
        <f>MONTH(tblSales[[#This Row],[Month]])</f>
        <v>6</v>
      </c>
      <c r="Q268" s="6">
        <f>IFERROR(tblSales[[#This Row],[NetSalesTRY]]/tblSales[[#This Row],[Units]],0)</f>
        <v>581.65584337349389</v>
      </c>
      <c r="R268" s="17">
        <f>IFERROR(tblSales[[#This Row],[NetSalesTRY]]/tblSales[[#This Row],[TargetTRY]],0)</f>
        <v>0.9858944056709501</v>
      </c>
      <c r="S268" s="6">
        <f>tblSales[[#This Row],[NetSalesTRY]]-tblSales[[#This Row],[TargetTRY]]</f>
        <v>-1381.4500000000116</v>
      </c>
      <c r="T268" s="6">
        <f>MAX(tblSales[[#This Row],[TargetTRY]]-tblSales[[#This Row],[NetSalesTRY]],0)</f>
        <v>1381.4500000000116</v>
      </c>
    </row>
    <row r="269" spans="1:20">
      <c r="A269" t="s">
        <v>657</v>
      </c>
      <c r="B269" s="15">
        <v>45444</v>
      </c>
      <c r="C269" t="s">
        <v>23</v>
      </c>
      <c r="D269" t="s">
        <v>24</v>
      </c>
      <c r="E269" t="s">
        <v>52</v>
      </c>
      <c r="F269" t="s">
        <v>50</v>
      </c>
      <c r="G269" t="s">
        <v>14</v>
      </c>
      <c r="H269" s="8">
        <v>91</v>
      </c>
      <c r="I269" s="9">
        <v>99429.74</v>
      </c>
      <c r="J269" s="9">
        <v>6034.96</v>
      </c>
      <c r="K269" s="9">
        <v>1312.8</v>
      </c>
      <c r="L269" s="9">
        <v>92081.99</v>
      </c>
      <c r="M269" s="9">
        <v>92086.34</v>
      </c>
      <c r="N269" s="6" t="str">
        <f>_xlfn.XLOOKUP(tblSales[[#This Row],[ProductID]],tblProducts[ProductID],tblProducts[ProductName],"Not Found")</f>
        <v>NeuroCalm</v>
      </c>
      <c r="O269" s="8">
        <f>YEAR(tblSales[[#This Row],[Month]])</f>
        <v>2024</v>
      </c>
      <c r="P269" s="8">
        <f>MONTH(tblSales[[#This Row],[Month]])</f>
        <v>6</v>
      </c>
      <c r="Q269" s="6">
        <f>IFERROR(tblSales[[#This Row],[NetSalesTRY]]/tblSales[[#This Row],[Units]],0)</f>
        <v>1011.8900000000001</v>
      </c>
      <c r="R269" s="17">
        <f>IFERROR(tblSales[[#This Row],[NetSalesTRY]]/tblSales[[#This Row],[TargetTRY]],0)</f>
        <v>0.99995276172340009</v>
      </c>
      <c r="S269" s="6">
        <f>tblSales[[#This Row],[NetSalesTRY]]-tblSales[[#This Row],[TargetTRY]]</f>
        <v>-4.3499999999912689</v>
      </c>
      <c r="T269" s="6">
        <f>MAX(tblSales[[#This Row],[TargetTRY]]-tblSales[[#This Row],[NetSalesTRY]],0)</f>
        <v>4.3499999999912689</v>
      </c>
    </row>
    <row r="270" spans="1:20">
      <c r="A270" t="s">
        <v>658</v>
      </c>
      <c r="B270" s="15">
        <v>45444</v>
      </c>
      <c r="C270" t="s">
        <v>23</v>
      </c>
      <c r="D270" t="s">
        <v>24</v>
      </c>
      <c r="E270" t="s">
        <v>55</v>
      </c>
      <c r="F270" t="s">
        <v>53</v>
      </c>
      <c r="G270" t="s">
        <v>5</v>
      </c>
      <c r="H270" s="8">
        <v>122</v>
      </c>
      <c r="I270" s="9">
        <v>120420.44</v>
      </c>
      <c r="J270" s="9">
        <v>4715.16</v>
      </c>
      <c r="K270" s="9">
        <v>1003.17</v>
      </c>
      <c r="L270" s="9">
        <v>114702.11</v>
      </c>
      <c r="M270" s="9">
        <v>105646.35</v>
      </c>
      <c r="N270" s="6" t="str">
        <f>_xlfn.XLOOKUP(tblSales[[#This Row],[ProductID]],tblProducts[ProductID],tblProducts[ProductName],"Not Found")</f>
        <v>Cardiovan</v>
      </c>
      <c r="O270" s="8">
        <f>YEAR(tblSales[[#This Row],[Month]])</f>
        <v>2024</v>
      </c>
      <c r="P270" s="8">
        <f>MONTH(tblSales[[#This Row],[Month]])</f>
        <v>6</v>
      </c>
      <c r="Q270" s="6">
        <f>IFERROR(tblSales[[#This Row],[NetSalesTRY]]/tblSales[[#This Row],[Units]],0)</f>
        <v>940.18122950819668</v>
      </c>
      <c r="R270" s="17">
        <f>IFERROR(tblSales[[#This Row],[NetSalesTRY]]/tblSales[[#This Row],[TargetTRY]],0)</f>
        <v>1.0857176797873282</v>
      </c>
      <c r="S270" s="6">
        <f>tblSales[[#This Row],[NetSalesTRY]]-tblSales[[#This Row],[TargetTRY]]</f>
        <v>9055.7599999999948</v>
      </c>
      <c r="T270" s="6">
        <f>MAX(tblSales[[#This Row],[TargetTRY]]-tblSales[[#This Row],[NetSalesTRY]],0)</f>
        <v>0</v>
      </c>
    </row>
    <row r="271" spans="1:20">
      <c r="A271" t="s">
        <v>659</v>
      </c>
      <c r="B271" s="15">
        <v>45444</v>
      </c>
      <c r="C271" t="s">
        <v>23</v>
      </c>
      <c r="D271" t="s">
        <v>24</v>
      </c>
      <c r="E271" t="s">
        <v>55</v>
      </c>
      <c r="F271" t="s">
        <v>53</v>
      </c>
      <c r="G271" t="s">
        <v>8</v>
      </c>
      <c r="H271" s="8">
        <v>142</v>
      </c>
      <c r="I271" s="9">
        <v>107028.38</v>
      </c>
      <c r="J271" s="9">
        <v>5887.78</v>
      </c>
      <c r="K271" s="9">
        <v>1240.96</v>
      </c>
      <c r="L271" s="9">
        <v>99899.64</v>
      </c>
      <c r="M271" s="9">
        <v>100875.84</v>
      </c>
      <c r="N271" s="6" t="str">
        <f>_xlfn.XLOOKUP(tblSales[[#This Row],[ProductID]],tblProducts[ProductID],tblProducts[ProductName],"Not Found")</f>
        <v>GlucoRelief</v>
      </c>
      <c r="O271" s="8">
        <f>YEAR(tblSales[[#This Row],[Month]])</f>
        <v>2024</v>
      </c>
      <c r="P271" s="8">
        <f>MONTH(tblSales[[#This Row],[Month]])</f>
        <v>6</v>
      </c>
      <c r="Q271" s="6">
        <f>IFERROR(tblSales[[#This Row],[NetSalesTRY]]/tblSales[[#This Row],[Units]],0)</f>
        <v>703.51859154929582</v>
      </c>
      <c r="R271" s="17">
        <f>IFERROR(tblSales[[#This Row],[NetSalesTRY]]/tblSales[[#This Row],[TargetTRY]],0)</f>
        <v>0.99032275716365781</v>
      </c>
      <c r="S271" s="6">
        <f>tblSales[[#This Row],[NetSalesTRY]]-tblSales[[#This Row],[TargetTRY]]</f>
        <v>-976.19999999999709</v>
      </c>
      <c r="T271" s="6">
        <f>MAX(tblSales[[#This Row],[TargetTRY]]-tblSales[[#This Row],[NetSalesTRY]],0)</f>
        <v>976.19999999999709</v>
      </c>
    </row>
    <row r="272" spans="1:20">
      <c r="A272" t="s">
        <v>660</v>
      </c>
      <c r="B272" s="15">
        <v>45444</v>
      </c>
      <c r="C272" t="s">
        <v>23</v>
      </c>
      <c r="D272" t="s">
        <v>24</v>
      </c>
      <c r="E272" t="s">
        <v>55</v>
      </c>
      <c r="F272" t="s">
        <v>53</v>
      </c>
      <c r="G272" t="s">
        <v>11</v>
      </c>
      <c r="H272" s="8">
        <v>173</v>
      </c>
      <c r="I272" s="9">
        <v>105894.82</v>
      </c>
      <c r="J272" s="9">
        <v>3948.17</v>
      </c>
      <c r="K272" s="9">
        <v>804.73</v>
      </c>
      <c r="L272" s="9">
        <v>101141.92</v>
      </c>
      <c r="M272" s="9">
        <v>98198.29</v>
      </c>
      <c r="N272" s="6" t="str">
        <f>_xlfn.XLOOKUP(tblSales[[#This Row],[ProductID]],tblProducts[ProductID],tblProducts[ProductName],"Not Found")</f>
        <v>RespiraX</v>
      </c>
      <c r="O272" s="8">
        <f>YEAR(tblSales[[#This Row],[Month]])</f>
        <v>2024</v>
      </c>
      <c r="P272" s="8">
        <f>MONTH(tblSales[[#This Row],[Month]])</f>
        <v>6</v>
      </c>
      <c r="Q272" s="6">
        <f>IFERROR(tblSales[[#This Row],[NetSalesTRY]]/tblSales[[#This Row],[Units]],0)</f>
        <v>584.63537572254336</v>
      </c>
      <c r="R272" s="17">
        <f>IFERROR(tblSales[[#This Row],[NetSalesTRY]]/tblSales[[#This Row],[TargetTRY]],0)</f>
        <v>1.0299763875725332</v>
      </c>
      <c r="S272" s="6">
        <f>tblSales[[#This Row],[NetSalesTRY]]-tblSales[[#This Row],[TargetTRY]]</f>
        <v>2943.6300000000047</v>
      </c>
      <c r="T272" s="6">
        <f>MAX(tblSales[[#This Row],[TargetTRY]]-tblSales[[#This Row],[NetSalesTRY]],0)</f>
        <v>0</v>
      </c>
    </row>
    <row r="273" spans="1:20">
      <c r="A273" t="s">
        <v>661</v>
      </c>
      <c r="B273" s="15">
        <v>45444</v>
      </c>
      <c r="C273" t="s">
        <v>23</v>
      </c>
      <c r="D273" t="s">
        <v>24</v>
      </c>
      <c r="E273" t="s">
        <v>55</v>
      </c>
      <c r="F273" t="s">
        <v>53</v>
      </c>
      <c r="G273" t="s">
        <v>14</v>
      </c>
      <c r="H273" s="8">
        <v>86</v>
      </c>
      <c r="I273" s="9">
        <v>93916.65</v>
      </c>
      <c r="J273" s="9">
        <v>3412.7</v>
      </c>
      <c r="K273" s="9">
        <v>1003.03</v>
      </c>
      <c r="L273" s="9">
        <v>89500.92</v>
      </c>
      <c r="M273" s="9">
        <v>92777.41</v>
      </c>
      <c r="N273" s="6" t="str">
        <f>_xlfn.XLOOKUP(tblSales[[#This Row],[ProductID]],tblProducts[ProductID],tblProducts[ProductName],"Not Found")</f>
        <v>NeuroCalm</v>
      </c>
      <c r="O273" s="8">
        <f>YEAR(tblSales[[#This Row],[Month]])</f>
        <v>2024</v>
      </c>
      <c r="P273" s="8">
        <f>MONTH(tblSales[[#This Row],[Month]])</f>
        <v>6</v>
      </c>
      <c r="Q273" s="6">
        <f>IFERROR(tblSales[[#This Row],[NetSalesTRY]]/tblSales[[#This Row],[Units]],0)</f>
        <v>1040.7083720930232</v>
      </c>
      <c r="R273" s="17">
        <f>IFERROR(tblSales[[#This Row],[NetSalesTRY]]/tblSales[[#This Row],[TargetTRY]],0)</f>
        <v>0.96468439892857538</v>
      </c>
      <c r="S273" s="6">
        <f>tblSales[[#This Row],[NetSalesTRY]]-tblSales[[#This Row],[TargetTRY]]</f>
        <v>-3276.4900000000052</v>
      </c>
      <c r="T273" s="6">
        <f>MAX(tblSales[[#This Row],[TargetTRY]]-tblSales[[#This Row],[NetSalesTRY]],0)</f>
        <v>3276.4900000000052</v>
      </c>
    </row>
    <row r="274" spans="1:20">
      <c r="A274" t="s">
        <v>662</v>
      </c>
      <c r="B274" s="15">
        <v>45444</v>
      </c>
      <c r="C274" t="s">
        <v>23</v>
      </c>
      <c r="D274" t="s">
        <v>24</v>
      </c>
      <c r="E274" t="s">
        <v>58</v>
      </c>
      <c r="F274" t="s">
        <v>56</v>
      </c>
      <c r="G274" t="s">
        <v>5</v>
      </c>
      <c r="H274" s="8">
        <v>120</v>
      </c>
      <c r="I274" s="9">
        <v>116193.43</v>
      </c>
      <c r="J274" s="9">
        <v>8255.9699999999993</v>
      </c>
      <c r="K274" s="9">
        <v>815.68</v>
      </c>
      <c r="L274" s="9">
        <v>107121.77</v>
      </c>
      <c r="M274" s="9">
        <v>110220.26</v>
      </c>
      <c r="N274" s="6" t="str">
        <f>_xlfn.XLOOKUP(tblSales[[#This Row],[ProductID]],tblProducts[ProductID],tblProducts[ProductName],"Not Found")</f>
        <v>Cardiovan</v>
      </c>
      <c r="O274" s="8">
        <f>YEAR(tblSales[[#This Row],[Month]])</f>
        <v>2024</v>
      </c>
      <c r="P274" s="8">
        <f>MONTH(tblSales[[#This Row],[Month]])</f>
        <v>6</v>
      </c>
      <c r="Q274" s="6">
        <f>IFERROR(tblSales[[#This Row],[NetSalesTRY]]/tblSales[[#This Row],[Units]],0)</f>
        <v>892.68141666666668</v>
      </c>
      <c r="R274" s="17">
        <f>IFERROR(tblSales[[#This Row],[NetSalesTRY]]/tblSales[[#This Row],[TargetTRY]],0)</f>
        <v>0.9718881991387065</v>
      </c>
      <c r="S274" s="6">
        <f>tblSales[[#This Row],[NetSalesTRY]]-tblSales[[#This Row],[TargetTRY]]</f>
        <v>-3098.4899999999907</v>
      </c>
      <c r="T274" s="6">
        <f>MAX(tblSales[[#This Row],[TargetTRY]]-tblSales[[#This Row],[NetSalesTRY]],0)</f>
        <v>3098.4899999999907</v>
      </c>
    </row>
    <row r="275" spans="1:20">
      <c r="A275" t="s">
        <v>663</v>
      </c>
      <c r="B275" s="15">
        <v>45444</v>
      </c>
      <c r="C275" t="s">
        <v>23</v>
      </c>
      <c r="D275" t="s">
        <v>24</v>
      </c>
      <c r="E275" t="s">
        <v>58</v>
      </c>
      <c r="F275" t="s">
        <v>56</v>
      </c>
      <c r="G275" t="s">
        <v>8</v>
      </c>
      <c r="H275" s="8">
        <v>136</v>
      </c>
      <c r="I275" s="9">
        <v>102136.41</v>
      </c>
      <c r="J275" s="9">
        <v>4693.9399999999996</v>
      </c>
      <c r="K275" s="9">
        <v>1429.43</v>
      </c>
      <c r="L275" s="9">
        <v>96013.04</v>
      </c>
      <c r="M275" s="9">
        <v>102503.9</v>
      </c>
      <c r="N275" s="6" t="str">
        <f>_xlfn.XLOOKUP(tblSales[[#This Row],[ProductID]],tblProducts[ProductID],tblProducts[ProductName],"Not Found")</f>
        <v>GlucoRelief</v>
      </c>
      <c r="O275" s="8">
        <f>YEAR(tblSales[[#This Row],[Month]])</f>
        <v>2024</v>
      </c>
      <c r="P275" s="8">
        <f>MONTH(tblSales[[#This Row],[Month]])</f>
        <v>6</v>
      </c>
      <c r="Q275" s="6">
        <f>IFERROR(tblSales[[#This Row],[NetSalesTRY]]/tblSales[[#This Row],[Units]],0)</f>
        <v>705.97823529411755</v>
      </c>
      <c r="R275" s="17">
        <f>IFERROR(tblSales[[#This Row],[NetSalesTRY]]/tblSales[[#This Row],[TargetTRY]],0)</f>
        <v>0.93667694595034923</v>
      </c>
      <c r="S275" s="6">
        <f>tblSales[[#This Row],[NetSalesTRY]]-tblSales[[#This Row],[TargetTRY]]</f>
        <v>-6490.8600000000006</v>
      </c>
      <c r="T275" s="6">
        <f>MAX(tblSales[[#This Row],[TargetTRY]]-tblSales[[#This Row],[NetSalesTRY]],0)</f>
        <v>6490.8600000000006</v>
      </c>
    </row>
    <row r="276" spans="1:20">
      <c r="A276" t="s">
        <v>664</v>
      </c>
      <c r="B276" s="15">
        <v>45444</v>
      </c>
      <c r="C276" t="s">
        <v>23</v>
      </c>
      <c r="D276" t="s">
        <v>24</v>
      </c>
      <c r="E276" t="s">
        <v>58</v>
      </c>
      <c r="F276" t="s">
        <v>56</v>
      </c>
      <c r="G276" t="s">
        <v>11</v>
      </c>
      <c r="H276" s="8">
        <v>173</v>
      </c>
      <c r="I276" s="9">
        <v>105861.27</v>
      </c>
      <c r="J276" s="9">
        <v>7117.71</v>
      </c>
      <c r="K276" s="9">
        <v>739.64</v>
      </c>
      <c r="L276" s="9">
        <v>98003.92</v>
      </c>
      <c r="M276" s="9">
        <v>100313.9</v>
      </c>
      <c r="N276" s="6" t="str">
        <f>_xlfn.XLOOKUP(tblSales[[#This Row],[ProductID]],tblProducts[ProductID],tblProducts[ProductName],"Not Found")</f>
        <v>RespiraX</v>
      </c>
      <c r="O276" s="8">
        <f>YEAR(tblSales[[#This Row],[Month]])</f>
        <v>2024</v>
      </c>
      <c r="P276" s="8">
        <f>MONTH(tblSales[[#This Row],[Month]])</f>
        <v>6</v>
      </c>
      <c r="Q276" s="6">
        <f>IFERROR(tblSales[[#This Row],[NetSalesTRY]]/tblSales[[#This Row],[Units]],0)</f>
        <v>566.49664739884395</v>
      </c>
      <c r="R276" s="17">
        <f>IFERROR(tblSales[[#This Row],[NetSalesTRY]]/tblSales[[#This Row],[TargetTRY]],0)</f>
        <v>0.9769724833746869</v>
      </c>
      <c r="S276" s="6">
        <f>tblSales[[#This Row],[NetSalesTRY]]-tblSales[[#This Row],[TargetTRY]]</f>
        <v>-2309.9799999999959</v>
      </c>
      <c r="T276" s="6">
        <f>MAX(tblSales[[#This Row],[TargetTRY]]-tblSales[[#This Row],[NetSalesTRY]],0)</f>
        <v>2309.9799999999959</v>
      </c>
    </row>
    <row r="277" spans="1:20">
      <c r="A277" t="s">
        <v>665</v>
      </c>
      <c r="B277" s="15">
        <v>45444</v>
      </c>
      <c r="C277" t="s">
        <v>23</v>
      </c>
      <c r="D277" t="s">
        <v>24</v>
      </c>
      <c r="E277" t="s">
        <v>58</v>
      </c>
      <c r="F277" t="s">
        <v>56</v>
      </c>
      <c r="G277" t="s">
        <v>14</v>
      </c>
      <c r="H277" s="8">
        <v>90</v>
      </c>
      <c r="I277" s="9">
        <v>98704.45</v>
      </c>
      <c r="J277" s="9">
        <v>6311.46</v>
      </c>
      <c r="K277" s="9">
        <v>520.04999999999995</v>
      </c>
      <c r="L277" s="9">
        <v>91872.94</v>
      </c>
      <c r="M277" s="9">
        <v>94906.92</v>
      </c>
      <c r="N277" s="6" t="str">
        <f>_xlfn.XLOOKUP(tblSales[[#This Row],[ProductID]],tblProducts[ProductID],tblProducts[ProductName],"Not Found")</f>
        <v>NeuroCalm</v>
      </c>
      <c r="O277" s="8">
        <f>YEAR(tblSales[[#This Row],[Month]])</f>
        <v>2024</v>
      </c>
      <c r="P277" s="8">
        <f>MONTH(tblSales[[#This Row],[Month]])</f>
        <v>6</v>
      </c>
      <c r="Q277" s="6">
        <f>IFERROR(tblSales[[#This Row],[NetSalesTRY]]/tblSales[[#This Row],[Units]],0)</f>
        <v>1020.8104444444444</v>
      </c>
      <c r="R277" s="17">
        <f>IFERROR(tblSales[[#This Row],[NetSalesTRY]]/tblSales[[#This Row],[TargetTRY]],0)</f>
        <v>0.96803204655677377</v>
      </c>
      <c r="S277" s="6">
        <f>tblSales[[#This Row],[NetSalesTRY]]-tblSales[[#This Row],[TargetTRY]]</f>
        <v>-3033.9799999999959</v>
      </c>
      <c r="T277" s="6">
        <f>MAX(tblSales[[#This Row],[TargetTRY]]-tblSales[[#This Row],[NetSalesTRY]],0)</f>
        <v>3033.9799999999959</v>
      </c>
    </row>
    <row r="278" spans="1:20">
      <c r="A278" t="s">
        <v>666</v>
      </c>
      <c r="B278" s="15">
        <v>45444</v>
      </c>
      <c r="C278" t="s">
        <v>25</v>
      </c>
      <c r="D278" t="s">
        <v>26</v>
      </c>
      <c r="E278" t="s">
        <v>61</v>
      </c>
      <c r="F278" t="s">
        <v>59</v>
      </c>
      <c r="G278" t="s">
        <v>5</v>
      </c>
      <c r="H278" s="8">
        <v>99</v>
      </c>
      <c r="I278" s="9">
        <v>97943.34</v>
      </c>
      <c r="J278" s="9">
        <v>4283.1899999999996</v>
      </c>
      <c r="K278" s="9">
        <v>485.64</v>
      </c>
      <c r="L278" s="9">
        <v>93174.51</v>
      </c>
      <c r="M278" s="9">
        <v>85229.98</v>
      </c>
      <c r="N278" s="6" t="str">
        <f>_xlfn.XLOOKUP(tblSales[[#This Row],[ProductID]],tblProducts[ProductID],tblProducts[ProductName],"Not Found")</f>
        <v>Cardiovan</v>
      </c>
      <c r="O278" s="8">
        <f>YEAR(tblSales[[#This Row],[Month]])</f>
        <v>2024</v>
      </c>
      <c r="P278" s="8">
        <f>MONTH(tblSales[[#This Row],[Month]])</f>
        <v>6</v>
      </c>
      <c r="Q278" s="6">
        <f>IFERROR(tblSales[[#This Row],[NetSalesTRY]]/tblSales[[#This Row],[Units]],0)</f>
        <v>941.15666666666664</v>
      </c>
      <c r="R278" s="17">
        <f>IFERROR(tblSales[[#This Row],[NetSalesTRY]]/tblSales[[#This Row],[TargetTRY]],0)</f>
        <v>1.09321285772917</v>
      </c>
      <c r="S278" s="6">
        <f>tblSales[[#This Row],[NetSalesTRY]]-tblSales[[#This Row],[TargetTRY]]</f>
        <v>7944.5299999999988</v>
      </c>
      <c r="T278" s="6">
        <f>MAX(tblSales[[#This Row],[TargetTRY]]-tblSales[[#This Row],[NetSalesTRY]],0)</f>
        <v>0</v>
      </c>
    </row>
    <row r="279" spans="1:20">
      <c r="A279" t="s">
        <v>667</v>
      </c>
      <c r="B279" s="15">
        <v>45444</v>
      </c>
      <c r="C279" t="s">
        <v>25</v>
      </c>
      <c r="D279" t="s">
        <v>26</v>
      </c>
      <c r="E279" t="s">
        <v>61</v>
      </c>
      <c r="F279" t="s">
        <v>59</v>
      </c>
      <c r="G279" t="s">
        <v>8</v>
      </c>
      <c r="H279" s="8">
        <v>118</v>
      </c>
      <c r="I279" s="9">
        <v>89573.45</v>
      </c>
      <c r="J279" s="9">
        <v>5872.74</v>
      </c>
      <c r="K279" s="9">
        <v>604.41</v>
      </c>
      <c r="L279" s="9">
        <v>83096.289999999994</v>
      </c>
      <c r="M279" s="9">
        <v>80797.77</v>
      </c>
      <c r="N279" s="6" t="str">
        <f>_xlfn.XLOOKUP(tblSales[[#This Row],[ProductID]],tblProducts[ProductID],tblProducts[ProductName],"Not Found")</f>
        <v>GlucoRelief</v>
      </c>
      <c r="O279" s="8">
        <f>YEAR(tblSales[[#This Row],[Month]])</f>
        <v>2024</v>
      </c>
      <c r="P279" s="8">
        <f>MONTH(tblSales[[#This Row],[Month]])</f>
        <v>6</v>
      </c>
      <c r="Q279" s="6">
        <f>IFERROR(tblSales[[#This Row],[NetSalesTRY]]/tblSales[[#This Row],[Units]],0)</f>
        <v>704.2058474576271</v>
      </c>
      <c r="R279" s="17">
        <f>IFERROR(tblSales[[#This Row],[NetSalesTRY]]/tblSales[[#This Row],[TargetTRY]],0)</f>
        <v>1.0284478148344935</v>
      </c>
      <c r="S279" s="6">
        <f>tblSales[[#This Row],[NetSalesTRY]]-tblSales[[#This Row],[TargetTRY]]</f>
        <v>2298.5199999999895</v>
      </c>
      <c r="T279" s="6">
        <f>MAX(tblSales[[#This Row],[TargetTRY]]-tblSales[[#This Row],[NetSalesTRY]],0)</f>
        <v>0</v>
      </c>
    </row>
    <row r="280" spans="1:20">
      <c r="A280" t="s">
        <v>668</v>
      </c>
      <c r="B280" s="15">
        <v>45444</v>
      </c>
      <c r="C280" t="s">
        <v>25</v>
      </c>
      <c r="D280" t="s">
        <v>26</v>
      </c>
      <c r="E280" t="s">
        <v>61</v>
      </c>
      <c r="F280" t="s">
        <v>59</v>
      </c>
      <c r="G280" t="s">
        <v>11</v>
      </c>
      <c r="H280" s="8">
        <v>132</v>
      </c>
      <c r="I280" s="9">
        <v>81572.69</v>
      </c>
      <c r="J280" s="9">
        <v>5223.6499999999996</v>
      </c>
      <c r="K280" s="9">
        <v>347.5</v>
      </c>
      <c r="L280" s="9">
        <v>76001.53</v>
      </c>
      <c r="M280" s="9">
        <v>80364.87</v>
      </c>
      <c r="N280" s="6" t="str">
        <f>_xlfn.XLOOKUP(tblSales[[#This Row],[ProductID]],tblProducts[ProductID],tblProducts[ProductName],"Not Found")</f>
        <v>RespiraX</v>
      </c>
      <c r="O280" s="8">
        <f>YEAR(tblSales[[#This Row],[Month]])</f>
        <v>2024</v>
      </c>
      <c r="P280" s="8">
        <f>MONTH(tblSales[[#This Row],[Month]])</f>
        <v>6</v>
      </c>
      <c r="Q280" s="6">
        <f>IFERROR(tblSales[[#This Row],[NetSalesTRY]]/tblSales[[#This Row],[Units]],0)</f>
        <v>575.76916666666671</v>
      </c>
      <c r="R280" s="17">
        <f>IFERROR(tblSales[[#This Row],[NetSalesTRY]]/tblSales[[#This Row],[TargetTRY]],0)</f>
        <v>0.94570587870048195</v>
      </c>
      <c r="S280" s="6">
        <f>tblSales[[#This Row],[NetSalesTRY]]-tblSales[[#This Row],[TargetTRY]]</f>
        <v>-4363.3399999999965</v>
      </c>
      <c r="T280" s="6">
        <f>MAX(tblSales[[#This Row],[TargetTRY]]-tblSales[[#This Row],[NetSalesTRY]],0)</f>
        <v>4363.3399999999965</v>
      </c>
    </row>
    <row r="281" spans="1:20">
      <c r="A281" t="s">
        <v>669</v>
      </c>
      <c r="B281" s="15">
        <v>45444</v>
      </c>
      <c r="C281" t="s">
        <v>25</v>
      </c>
      <c r="D281" t="s">
        <v>26</v>
      </c>
      <c r="E281" t="s">
        <v>61</v>
      </c>
      <c r="F281" t="s">
        <v>59</v>
      </c>
      <c r="G281" t="s">
        <v>14</v>
      </c>
      <c r="H281" s="8">
        <v>71</v>
      </c>
      <c r="I281" s="9">
        <v>78845.62</v>
      </c>
      <c r="J281" s="9">
        <v>5555.2</v>
      </c>
      <c r="K281" s="9">
        <v>360.32</v>
      </c>
      <c r="L281" s="9">
        <v>72930.11</v>
      </c>
      <c r="M281" s="9">
        <v>73692.5</v>
      </c>
      <c r="N281" s="6" t="str">
        <f>_xlfn.XLOOKUP(tblSales[[#This Row],[ProductID]],tblProducts[ProductID],tblProducts[ProductName],"Not Found")</f>
        <v>NeuroCalm</v>
      </c>
      <c r="O281" s="8">
        <f>YEAR(tblSales[[#This Row],[Month]])</f>
        <v>2024</v>
      </c>
      <c r="P281" s="8">
        <f>MONTH(tblSales[[#This Row],[Month]])</f>
        <v>6</v>
      </c>
      <c r="Q281" s="6">
        <f>IFERROR(tblSales[[#This Row],[NetSalesTRY]]/tblSales[[#This Row],[Units]],0)</f>
        <v>1027.184647887324</v>
      </c>
      <c r="R281" s="17">
        <f>IFERROR(tblSales[[#This Row],[NetSalesTRY]]/tblSales[[#This Row],[TargetTRY]],0)</f>
        <v>0.98965444244665335</v>
      </c>
      <c r="S281" s="6">
        <f>tblSales[[#This Row],[NetSalesTRY]]-tblSales[[#This Row],[TargetTRY]]</f>
        <v>-762.38999999999942</v>
      </c>
      <c r="T281" s="6">
        <f>MAX(tblSales[[#This Row],[TargetTRY]]-tblSales[[#This Row],[NetSalesTRY]],0)</f>
        <v>762.38999999999942</v>
      </c>
    </row>
    <row r="282" spans="1:20">
      <c r="A282" t="s">
        <v>670</v>
      </c>
      <c r="B282" s="15">
        <v>45444</v>
      </c>
      <c r="C282" t="s">
        <v>25</v>
      </c>
      <c r="D282" t="s">
        <v>26</v>
      </c>
      <c r="E282" t="s">
        <v>64</v>
      </c>
      <c r="F282" t="s">
        <v>62</v>
      </c>
      <c r="G282" t="s">
        <v>5</v>
      </c>
      <c r="H282" s="8">
        <v>89</v>
      </c>
      <c r="I282" s="9">
        <v>87563.17</v>
      </c>
      <c r="J282" s="9">
        <v>5563.46</v>
      </c>
      <c r="K282" s="9">
        <v>886.96</v>
      </c>
      <c r="L282" s="9">
        <v>81112.75</v>
      </c>
      <c r="M282" s="9">
        <v>86638.78</v>
      </c>
      <c r="N282" s="6" t="str">
        <f>_xlfn.XLOOKUP(tblSales[[#This Row],[ProductID]],tblProducts[ProductID],tblProducts[ProductName],"Not Found")</f>
        <v>Cardiovan</v>
      </c>
      <c r="O282" s="8">
        <f>YEAR(tblSales[[#This Row],[Month]])</f>
        <v>2024</v>
      </c>
      <c r="P282" s="8">
        <f>MONTH(tblSales[[#This Row],[Month]])</f>
        <v>6</v>
      </c>
      <c r="Q282" s="6">
        <f>IFERROR(tblSales[[#This Row],[NetSalesTRY]]/tblSales[[#This Row],[Units]],0)</f>
        <v>911.37921348314603</v>
      </c>
      <c r="R282" s="17">
        <f>IFERROR(tblSales[[#This Row],[NetSalesTRY]]/tblSales[[#This Row],[TargetTRY]],0)</f>
        <v>0.9362175921683108</v>
      </c>
      <c r="S282" s="6">
        <f>tblSales[[#This Row],[NetSalesTRY]]-tblSales[[#This Row],[TargetTRY]]</f>
        <v>-5526.0299999999988</v>
      </c>
      <c r="T282" s="6">
        <f>MAX(tblSales[[#This Row],[TargetTRY]]-tblSales[[#This Row],[NetSalesTRY]],0)</f>
        <v>5526.0299999999988</v>
      </c>
    </row>
    <row r="283" spans="1:20">
      <c r="A283" t="s">
        <v>671</v>
      </c>
      <c r="B283" s="15">
        <v>45444</v>
      </c>
      <c r="C283" t="s">
        <v>25</v>
      </c>
      <c r="D283" t="s">
        <v>26</v>
      </c>
      <c r="E283" t="s">
        <v>64</v>
      </c>
      <c r="F283" t="s">
        <v>62</v>
      </c>
      <c r="G283" t="s">
        <v>8</v>
      </c>
      <c r="H283" s="8">
        <v>107</v>
      </c>
      <c r="I283" s="9">
        <v>80483</v>
      </c>
      <c r="J283" s="9">
        <v>4440.41</v>
      </c>
      <c r="K283" s="9">
        <v>1023.3</v>
      </c>
      <c r="L283" s="9">
        <v>75019.289999999994</v>
      </c>
      <c r="M283" s="9">
        <v>80552.740000000005</v>
      </c>
      <c r="N283" s="6" t="str">
        <f>_xlfn.XLOOKUP(tblSales[[#This Row],[ProductID]],tblProducts[ProductID],tblProducts[ProductName],"Not Found")</f>
        <v>GlucoRelief</v>
      </c>
      <c r="O283" s="8">
        <f>YEAR(tblSales[[#This Row],[Month]])</f>
        <v>2024</v>
      </c>
      <c r="P283" s="8">
        <f>MONTH(tblSales[[#This Row],[Month]])</f>
        <v>6</v>
      </c>
      <c r="Q283" s="6">
        <f>IFERROR(tblSales[[#This Row],[NetSalesTRY]]/tblSales[[#This Row],[Units]],0)</f>
        <v>701.11485981308408</v>
      </c>
      <c r="R283" s="17">
        <f>IFERROR(tblSales[[#This Row],[NetSalesTRY]]/tblSales[[#This Row],[TargetTRY]],0)</f>
        <v>0.93130649559530798</v>
      </c>
      <c r="S283" s="6">
        <f>tblSales[[#This Row],[NetSalesTRY]]-tblSales[[#This Row],[TargetTRY]]</f>
        <v>-5533.4500000000116</v>
      </c>
      <c r="T283" s="6">
        <f>MAX(tblSales[[#This Row],[TargetTRY]]-tblSales[[#This Row],[NetSalesTRY]],0)</f>
        <v>5533.4500000000116</v>
      </c>
    </row>
    <row r="284" spans="1:20">
      <c r="A284" t="s">
        <v>672</v>
      </c>
      <c r="B284" s="15">
        <v>45444</v>
      </c>
      <c r="C284" t="s">
        <v>25</v>
      </c>
      <c r="D284" t="s">
        <v>26</v>
      </c>
      <c r="E284" t="s">
        <v>64</v>
      </c>
      <c r="F284" t="s">
        <v>62</v>
      </c>
      <c r="G284" t="s">
        <v>11</v>
      </c>
      <c r="H284" s="8">
        <v>144</v>
      </c>
      <c r="I284" s="9">
        <v>89562.18</v>
      </c>
      <c r="J284" s="9">
        <v>5587.96</v>
      </c>
      <c r="K284" s="9">
        <v>1216.93</v>
      </c>
      <c r="L284" s="9">
        <v>82757.279999999999</v>
      </c>
      <c r="M284" s="9">
        <v>79156.7</v>
      </c>
      <c r="N284" s="6" t="str">
        <f>_xlfn.XLOOKUP(tblSales[[#This Row],[ProductID]],tblProducts[ProductID],tblProducts[ProductName],"Not Found")</f>
        <v>RespiraX</v>
      </c>
      <c r="O284" s="8">
        <f>YEAR(tblSales[[#This Row],[Month]])</f>
        <v>2024</v>
      </c>
      <c r="P284" s="8">
        <f>MONTH(tblSales[[#This Row],[Month]])</f>
        <v>6</v>
      </c>
      <c r="Q284" s="6">
        <f>IFERROR(tblSales[[#This Row],[NetSalesTRY]]/tblSales[[#This Row],[Units]],0)</f>
        <v>574.70333333333338</v>
      </c>
      <c r="R284" s="17">
        <f>IFERROR(tblSales[[#This Row],[NetSalesTRY]]/tblSales[[#This Row],[TargetTRY]],0)</f>
        <v>1.0454867370671086</v>
      </c>
      <c r="S284" s="6">
        <f>tblSales[[#This Row],[NetSalesTRY]]-tblSales[[#This Row],[TargetTRY]]</f>
        <v>3600.5800000000017</v>
      </c>
      <c r="T284" s="6">
        <f>MAX(tblSales[[#This Row],[TargetTRY]]-tblSales[[#This Row],[NetSalesTRY]],0)</f>
        <v>0</v>
      </c>
    </row>
    <row r="285" spans="1:20">
      <c r="A285" t="s">
        <v>673</v>
      </c>
      <c r="B285" s="15">
        <v>45444</v>
      </c>
      <c r="C285" t="s">
        <v>25</v>
      </c>
      <c r="D285" t="s">
        <v>26</v>
      </c>
      <c r="E285" t="s">
        <v>64</v>
      </c>
      <c r="F285" t="s">
        <v>62</v>
      </c>
      <c r="G285" t="s">
        <v>14</v>
      </c>
      <c r="H285" s="8">
        <v>70</v>
      </c>
      <c r="I285" s="9">
        <v>76081.45</v>
      </c>
      <c r="J285" s="9">
        <v>3673.65</v>
      </c>
      <c r="K285" s="9">
        <v>492.17</v>
      </c>
      <c r="L285" s="9">
        <v>71915.64</v>
      </c>
      <c r="M285" s="9">
        <v>73183.990000000005</v>
      </c>
      <c r="N285" s="6" t="str">
        <f>_xlfn.XLOOKUP(tblSales[[#This Row],[ProductID]],tblProducts[ProductID],tblProducts[ProductName],"Not Found")</f>
        <v>NeuroCalm</v>
      </c>
      <c r="O285" s="8">
        <f>YEAR(tblSales[[#This Row],[Month]])</f>
        <v>2024</v>
      </c>
      <c r="P285" s="8">
        <f>MONTH(tblSales[[#This Row],[Month]])</f>
        <v>6</v>
      </c>
      <c r="Q285" s="6">
        <f>IFERROR(tblSales[[#This Row],[NetSalesTRY]]/tblSales[[#This Row],[Units]],0)</f>
        <v>1027.3662857142856</v>
      </c>
      <c r="R285" s="17">
        <f>IFERROR(tblSales[[#This Row],[NetSalesTRY]]/tblSales[[#This Row],[TargetTRY]],0)</f>
        <v>0.98266902364847819</v>
      </c>
      <c r="S285" s="6">
        <f>tblSales[[#This Row],[NetSalesTRY]]-tblSales[[#This Row],[TargetTRY]]</f>
        <v>-1268.3500000000058</v>
      </c>
      <c r="T285" s="6">
        <f>MAX(tblSales[[#This Row],[TargetTRY]]-tblSales[[#This Row],[NetSalesTRY]],0)</f>
        <v>1268.3500000000058</v>
      </c>
    </row>
    <row r="286" spans="1:20">
      <c r="A286" t="s">
        <v>674</v>
      </c>
      <c r="B286" s="15">
        <v>45444</v>
      </c>
      <c r="C286" t="s">
        <v>25</v>
      </c>
      <c r="D286" t="s">
        <v>26</v>
      </c>
      <c r="E286" t="s">
        <v>67</v>
      </c>
      <c r="F286" t="s">
        <v>65</v>
      </c>
      <c r="G286" t="s">
        <v>5</v>
      </c>
      <c r="H286" s="8">
        <v>104</v>
      </c>
      <c r="I286" s="9">
        <v>101780.71</v>
      </c>
      <c r="J286" s="9">
        <v>6174.07</v>
      </c>
      <c r="K286" s="9">
        <v>998.14</v>
      </c>
      <c r="L286" s="9">
        <v>94608.5</v>
      </c>
      <c r="M286" s="9">
        <v>95651.11</v>
      </c>
      <c r="N286" s="6" t="str">
        <f>_xlfn.XLOOKUP(tblSales[[#This Row],[ProductID]],tblProducts[ProductID],tblProducts[ProductName],"Not Found")</f>
        <v>Cardiovan</v>
      </c>
      <c r="O286" s="8">
        <f>YEAR(tblSales[[#This Row],[Month]])</f>
        <v>2024</v>
      </c>
      <c r="P286" s="8">
        <f>MONTH(tblSales[[#This Row],[Month]])</f>
        <v>6</v>
      </c>
      <c r="Q286" s="6">
        <f>IFERROR(tblSales[[#This Row],[NetSalesTRY]]/tblSales[[#This Row],[Units]],0)</f>
        <v>909.69711538461536</v>
      </c>
      <c r="R286" s="17">
        <f>IFERROR(tblSales[[#This Row],[NetSalesTRY]]/tblSales[[#This Row],[TargetTRY]],0)</f>
        <v>0.98909986512440895</v>
      </c>
      <c r="S286" s="6">
        <f>tblSales[[#This Row],[NetSalesTRY]]-tblSales[[#This Row],[TargetTRY]]</f>
        <v>-1042.6100000000006</v>
      </c>
      <c r="T286" s="6">
        <f>MAX(tblSales[[#This Row],[TargetTRY]]-tblSales[[#This Row],[NetSalesTRY]],0)</f>
        <v>1042.6100000000006</v>
      </c>
    </row>
    <row r="287" spans="1:20">
      <c r="A287" t="s">
        <v>675</v>
      </c>
      <c r="B287" s="15">
        <v>45444</v>
      </c>
      <c r="C287" t="s">
        <v>25</v>
      </c>
      <c r="D287" t="s">
        <v>26</v>
      </c>
      <c r="E287" t="s">
        <v>67</v>
      </c>
      <c r="F287" t="s">
        <v>65</v>
      </c>
      <c r="G287" t="s">
        <v>8</v>
      </c>
      <c r="H287" s="8">
        <v>129</v>
      </c>
      <c r="I287" s="9">
        <v>96848.8</v>
      </c>
      <c r="J287" s="9">
        <v>3532.5</v>
      </c>
      <c r="K287" s="9">
        <v>1127.17</v>
      </c>
      <c r="L287" s="9">
        <v>92189.13</v>
      </c>
      <c r="M287" s="9">
        <v>90170.38</v>
      </c>
      <c r="N287" s="6" t="str">
        <f>_xlfn.XLOOKUP(tblSales[[#This Row],[ProductID]],tblProducts[ProductID],tblProducts[ProductName],"Not Found")</f>
        <v>GlucoRelief</v>
      </c>
      <c r="O287" s="8">
        <f>YEAR(tblSales[[#This Row],[Month]])</f>
        <v>2024</v>
      </c>
      <c r="P287" s="8">
        <f>MONTH(tblSales[[#This Row],[Month]])</f>
        <v>6</v>
      </c>
      <c r="Q287" s="6">
        <f>IFERROR(tblSales[[#This Row],[NetSalesTRY]]/tblSales[[#This Row],[Units]],0)</f>
        <v>714.64441860465115</v>
      </c>
      <c r="R287" s="17">
        <f>IFERROR(tblSales[[#This Row],[NetSalesTRY]]/tblSales[[#This Row],[TargetTRY]],0)</f>
        <v>1.0223881722578967</v>
      </c>
      <c r="S287" s="6">
        <f>tblSales[[#This Row],[NetSalesTRY]]-tblSales[[#This Row],[TargetTRY]]</f>
        <v>2018.75</v>
      </c>
      <c r="T287" s="6">
        <f>MAX(tblSales[[#This Row],[TargetTRY]]-tblSales[[#This Row],[NetSalesTRY]],0)</f>
        <v>0</v>
      </c>
    </row>
    <row r="288" spans="1:20">
      <c r="A288" t="s">
        <v>676</v>
      </c>
      <c r="B288" s="15">
        <v>45444</v>
      </c>
      <c r="C288" t="s">
        <v>25</v>
      </c>
      <c r="D288" t="s">
        <v>26</v>
      </c>
      <c r="E288" t="s">
        <v>67</v>
      </c>
      <c r="F288" t="s">
        <v>65</v>
      </c>
      <c r="G288" t="s">
        <v>11</v>
      </c>
      <c r="H288" s="8">
        <v>147</v>
      </c>
      <c r="I288" s="9">
        <v>90457.02</v>
      </c>
      <c r="J288" s="9">
        <v>3992.92</v>
      </c>
      <c r="K288" s="9">
        <v>715.66</v>
      </c>
      <c r="L288" s="9">
        <v>85748.44</v>
      </c>
      <c r="M288" s="9">
        <v>89600.95</v>
      </c>
      <c r="N288" s="6" t="str">
        <f>_xlfn.XLOOKUP(tblSales[[#This Row],[ProductID]],tblProducts[ProductID],tblProducts[ProductName],"Not Found")</f>
        <v>RespiraX</v>
      </c>
      <c r="O288" s="8">
        <f>YEAR(tblSales[[#This Row],[Month]])</f>
        <v>2024</v>
      </c>
      <c r="P288" s="8">
        <f>MONTH(tblSales[[#This Row],[Month]])</f>
        <v>6</v>
      </c>
      <c r="Q288" s="6">
        <f>IFERROR(tblSales[[#This Row],[NetSalesTRY]]/tblSales[[#This Row],[Units]],0)</f>
        <v>583.3227210884354</v>
      </c>
      <c r="R288" s="17">
        <f>IFERROR(tblSales[[#This Row],[NetSalesTRY]]/tblSales[[#This Row],[TargetTRY]],0)</f>
        <v>0.9570036924831713</v>
      </c>
      <c r="S288" s="6">
        <f>tblSales[[#This Row],[NetSalesTRY]]-tblSales[[#This Row],[TargetTRY]]</f>
        <v>-3852.5099999999948</v>
      </c>
      <c r="T288" s="6">
        <f>MAX(tblSales[[#This Row],[TargetTRY]]-tblSales[[#This Row],[NetSalesTRY]],0)</f>
        <v>3852.5099999999948</v>
      </c>
    </row>
    <row r="289" spans="1:20">
      <c r="A289" t="s">
        <v>677</v>
      </c>
      <c r="B289" s="15">
        <v>45444</v>
      </c>
      <c r="C289" t="s">
        <v>25</v>
      </c>
      <c r="D289" t="s">
        <v>26</v>
      </c>
      <c r="E289" t="s">
        <v>67</v>
      </c>
      <c r="F289" t="s">
        <v>65</v>
      </c>
      <c r="G289" t="s">
        <v>14</v>
      </c>
      <c r="H289" s="8">
        <v>83</v>
      </c>
      <c r="I289" s="9">
        <v>90736.71</v>
      </c>
      <c r="J289" s="9">
        <v>5640.54</v>
      </c>
      <c r="K289" s="9">
        <v>678.57</v>
      </c>
      <c r="L289" s="9">
        <v>84417.61</v>
      </c>
      <c r="M289" s="9">
        <v>83577.98</v>
      </c>
      <c r="N289" s="6" t="str">
        <f>_xlfn.XLOOKUP(tblSales[[#This Row],[ProductID]],tblProducts[ProductID],tblProducts[ProductName],"Not Found")</f>
        <v>NeuroCalm</v>
      </c>
      <c r="O289" s="8">
        <f>YEAR(tblSales[[#This Row],[Month]])</f>
        <v>2024</v>
      </c>
      <c r="P289" s="8">
        <f>MONTH(tblSales[[#This Row],[Month]])</f>
        <v>6</v>
      </c>
      <c r="Q289" s="6">
        <f>IFERROR(tblSales[[#This Row],[NetSalesTRY]]/tblSales[[#This Row],[Units]],0)</f>
        <v>1017.0796385542169</v>
      </c>
      <c r="R289" s="17">
        <f>IFERROR(tblSales[[#This Row],[NetSalesTRY]]/tblSales[[#This Row],[TargetTRY]],0)</f>
        <v>1.0100460671578806</v>
      </c>
      <c r="S289" s="6">
        <f>tblSales[[#This Row],[NetSalesTRY]]-tblSales[[#This Row],[TargetTRY]]</f>
        <v>839.63000000000466</v>
      </c>
      <c r="T289" s="6">
        <f>MAX(tblSales[[#This Row],[TargetTRY]]-tblSales[[#This Row],[NetSalesTRY]],0)</f>
        <v>0</v>
      </c>
    </row>
    <row r="290" spans="1:20">
      <c r="A290" t="s">
        <v>678</v>
      </c>
      <c r="B290" s="15">
        <v>45474</v>
      </c>
      <c r="C290" t="s">
        <v>19</v>
      </c>
      <c r="D290" t="s">
        <v>20</v>
      </c>
      <c r="E290" t="s">
        <v>34</v>
      </c>
      <c r="F290" t="s">
        <v>32</v>
      </c>
      <c r="G290" t="s">
        <v>5</v>
      </c>
      <c r="H290" s="8">
        <v>135</v>
      </c>
      <c r="I290" s="9">
        <v>131744.23000000001</v>
      </c>
      <c r="J290" s="9">
        <v>4761.42</v>
      </c>
      <c r="K290" s="9">
        <v>1298.57</v>
      </c>
      <c r="L290" s="9">
        <v>125684.24</v>
      </c>
      <c r="M290" s="9">
        <v>127739.27</v>
      </c>
      <c r="N290" s="6" t="str">
        <f>_xlfn.XLOOKUP(tblSales[[#This Row],[ProductID]],tblProducts[ProductID],tblProducts[ProductName],"Not Found")</f>
        <v>Cardiovan</v>
      </c>
      <c r="O290" s="8">
        <f>YEAR(tblSales[[#This Row],[Month]])</f>
        <v>2024</v>
      </c>
      <c r="P290" s="8">
        <f>MONTH(tblSales[[#This Row],[Month]])</f>
        <v>7</v>
      </c>
      <c r="Q290" s="6">
        <f>IFERROR(tblSales[[#This Row],[NetSalesTRY]]/tblSales[[#This Row],[Units]],0)</f>
        <v>930.99437037037046</v>
      </c>
      <c r="R290" s="17">
        <f>IFERROR(tblSales[[#This Row],[NetSalesTRY]]/tblSales[[#This Row],[TargetTRY]],0)</f>
        <v>0.98391230825101783</v>
      </c>
      <c r="S290" s="6">
        <f>tblSales[[#This Row],[NetSalesTRY]]-tblSales[[#This Row],[TargetTRY]]</f>
        <v>-2055.0299999999988</v>
      </c>
      <c r="T290" s="6">
        <f>MAX(tblSales[[#This Row],[TargetTRY]]-tblSales[[#This Row],[NetSalesTRY]],0)</f>
        <v>2055.0299999999988</v>
      </c>
    </row>
    <row r="291" spans="1:20">
      <c r="A291" t="s">
        <v>679</v>
      </c>
      <c r="B291" s="15">
        <v>45474</v>
      </c>
      <c r="C291" t="s">
        <v>19</v>
      </c>
      <c r="D291" t="s">
        <v>20</v>
      </c>
      <c r="E291" t="s">
        <v>34</v>
      </c>
      <c r="F291" t="s">
        <v>32</v>
      </c>
      <c r="G291" t="s">
        <v>8</v>
      </c>
      <c r="H291" s="8">
        <v>157</v>
      </c>
      <c r="I291" s="9">
        <v>120295.74</v>
      </c>
      <c r="J291" s="9">
        <v>4469.84</v>
      </c>
      <c r="K291" s="9">
        <v>1218.26</v>
      </c>
      <c r="L291" s="9">
        <v>114607.64</v>
      </c>
      <c r="M291" s="9">
        <v>118722.16</v>
      </c>
      <c r="N291" s="6" t="str">
        <f>_xlfn.XLOOKUP(tblSales[[#This Row],[ProductID]],tblProducts[ProductID],tblProducts[ProductName],"Not Found")</f>
        <v>GlucoRelief</v>
      </c>
      <c r="O291" s="8">
        <f>YEAR(tblSales[[#This Row],[Month]])</f>
        <v>2024</v>
      </c>
      <c r="P291" s="8">
        <f>MONTH(tblSales[[#This Row],[Month]])</f>
        <v>7</v>
      </c>
      <c r="Q291" s="6">
        <f>IFERROR(tblSales[[#This Row],[NetSalesTRY]]/tblSales[[#This Row],[Units]],0)</f>
        <v>729.98496815286626</v>
      </c>
      <c r="R291" s="17">
        <f>IFERROR(tblSales[[#This Row],[NetSalesTRY]]/tblSales[[#This Row],[TargetTRY]],0)</f>
        <v>0.96534328553321469</v>
      </c>
      <c r="S291" s="6">
        <f>tblSales[[#This Row],[NetSalesTRY]]-tblSales[[#This Row],[TargetTRY]]</f>
        <v>-4114.5200000000041</v>
      </c>
      <c r="T291" s="6">
        <f>MAX(tblSales[[#This Row],[TargetTRY]]-tblSales[[#This Row],[NetSalesTRY]],0)</f>
        <v>4114.5200000000041</v>
      </c>
    </row>
    <row r="292" spans="1:20">
      <c r="A292" t="s">
        <v>680</v>
      </c>
      <c r="B292" s="15">
        <v>45474</v>
      </c>
      <c r="C292" t="s">
        <v>19</v>
      </c>
      <c r="D292" t="s">
        <v>20</v>
      </c>
      <c r="E292" t="s">
        <v>34</v>
      </c>
      <c r="F292" t="s">
        <v>32</v>
      </c>
      <c r="G292" t="s">
        <v>11</v>
      </c>
      <c r="H292" s="8">
        <v>206</v>
      </c>
      <c r="I292" s="9">
        <v>126238.64</v>
      </c>
      <c r="J292" s="9">
        <v>9420.32</v>
      </c>
      <c r="K292" s="9">
        <v>1704.61</v>
      </c>
      <c r="L292" s="9">
        <v>115113.71</v>
      </c>
      <c r="M292" s="9">
        <v>115379.08</v>
      </c>
      <c r="N292" s="6" t="str">
        <f>_xlfn.XLOOKUP(tblSales[[#This Row],[ProductID]],tblProducts[ProductID],tblProducts[ProductName],"Not Found")</f>
        <v>RespiraX</v>
      </c>
      <c r="O292" s="8">
        <f>YEAR(tblSales[[#This Row],[Month]])</f>
        <v>2024</v>
      </c>
      <c r="P292" s="8">
        <f>MONTH(tblSales[[#This Row],[Month]])</f>
        <v>7</v>
      </c>
      <c r="Q292" s="6">
        <f>IFERROR(tblSales[[#This Row],[NetSalesTRY]]/tblSales[[#This Row],[Units]],0)</f>
        <v>558.8044174757282</v>
      </c>
      <c r="R292" s="17">
        <f>IFERROR(tblSales[[#This Row],[NetSalesTRY]]/tblSales[[#This Row],[TargetTRY]],0)</f>
        <v>0.99770001632878336</v>
      </c>
      <c r="S292" s="6">
        <f>tblSales[[#This Row],[NetSalesTRY]]-tblSales[[#This Row],[TargetTRY]]</f>
        <v>-265.36999999999534</v>
      </c>
      <c r="T292" s="6">
        <f>MAX(tblSales[[#This Row],[TargetTRY]]-tblSales[[#This Row],[NetSalesTRY]],0)</f>
        <v>265.36999999999534</v>
      </c>
    </row>
    <row r="293" spans="1:20">
      <c r="A293" t="s">
        <v>681</v>
      </c>
      <c r="B293" s="15">
        <v>45474</v>
      </c>
      <c r="C293" t="s">
        <v>19</v>
      </c>
      <c r="D293" t="s">
        <v>20</v>
      </c>
      <c r="E293" t="s">
        <v>34</v>
      </c>
      <c r="F293" t="s">
        <v>32</v>
      </c>
      <c r="G293" t="s">
        <v>14</v>
      </c>
      <c r="H293" s="8">
        <v>100</v>
      </c>
      <c r="I293" s="9">
        <v>110093.36</v>
      </c>
      <c r="J293" s="9">
        <v>6105.08</v>
      </c>
      <c r="K293" s="9">
        <v>502.95</v>
      </c>
      <c r="L293" s="9">
        <v>103485.33</v>
      </c>
      <c r="M293" s="9">
        <v>108538.3</v>
      </c>
      <c r="N293" s="6" t="str">
        <f>_xlfn.XLOOKUP(tblSales[[#This Row],[ProductID]],tblProducts[ProductID],tblProducts[ProductName],"Not Found")</f>
        <v>NeuroCalm</v>
      </c>
      <c r="O293" s="8">
        <f>YEAR(tblSales[[#This Row],[Month]])</f>
        <v>2024</v>
      </c>
      <c r="P293" s="8">
        <f>MONTH(tblSales[[#This Row],[Month]])</f>
        <v>7</v>
      </c>
      <c r="Q293" s="6">
        <f>IFERROR(tblSales[[#This Row],[NetSalesTRY]]/tblSales[[#This Row],[Units]],0)</f>
        <v>1034.8533</v>
      </c>
      <c r="R293" s="17">
        <f>IFERROR(tblSales[[#This Row],[NetSalesTRY]]/tblSales[[#This Row],[TargetTRY]],0)</f>
        <v>0.9534452815273502</v>
      </c>
      <c r="S293" s="6">
        <f>tblSales[[#This Row],[NetSalesTRY]]-tblSales[[#This Row],[TargetTRY]]</f>
        <v>-5052.9700000000012</v>
      </c>
      <c r="T293" s="6">
        <f>MAX(tblSales[[#This Row],[TargetTRY]]-tblSales[[#This Row],[NetSalesTRY]],0)</f>
        <v>5052.9700000000012</v>
      </c>
    </row>
    <row r="294" spans="1:20">
      <c r="A294" t="s">
        <v>682</v>
      </c>
      <c r="B294" s="15">
        <v>45474</v>
      </c>
      <c r="C294" t="s">
        <v>19</v>
      </c>
      <c r="D294" t="s">
        <v>20</v>
      </c>
      <c r="E294" t="s">
        <v>37</v>
      </c>
      <c r="F294" t="s">
        <v>35</v>
      </c>
      <c r="G294" t="s">
        <v>5</v>
      </c>
      <c r="H294" s="8">
        <v>134</v>
      </c>
      <c r="I294" s="9">
        <v>132137.17000000001</v>
      </c>
      <c r="J294" s="9">
        <v>9452.33</v>
      </c>
      <c r="K294" s="9">
        <v>1543.15</v>
      </c>
      <c r="L294" s="9">
        <v>121141.69</v>
      </c>
      <c r="M294" s="9">
        <v>126896.9</v>
      </c>
      <c r="N294" s="6" t="str">
        <f>_xlfn.XLOOKUP(tblSales[[#This Row],[ProductID]],tblProducts[ProductID],tblProducts[ProductName],"Not Found")</f>
        <v>Cardiovan</v>
      </c>
      <c r="O294" s="8">
        <f>YEAR(tblSales[[#This Row],[Month]])</f>
        <v>2024</v>
      </c>
      <c r="P294" s="8">
        <f>MONTH(tblSales[[#This Row],[Month]])</f>
        <v>7</v>
      </c>
      <c r="Q294" s="6">
        <f>IFERROR(tblSales[[#This Row],[NetSalesTRY]]/tblSales[[#This Row],[Units]],0)</f>
        <v>904.04246268656721</v>
      </c>
      <c r="R294" s="17">
        <f>IFERROR(tblSales[[#This Row],[NetSalesTRY]]/tblSales[[#This Row],[TargetTRY]],0)</f>
        <v>0.95464656741023624</v>
      </c>
      <c r="S294" s="6">
        <f>tblSales[[#This Row],[NetSalesTRY]]-tblSales[[#This Row],[TargetTRY]]</f>
        <v>-5755.2099999999919</v>
      </c>
      <c r="T294" s="6">
        <f>MAX(tblSales[[#This Row],[TargetTRY]]-tblSales[[#This Row],[NetSalesTRY]],0)</f>
        <v>5755.2099999999919</v>
      </c>
    </row>
    <row r="295" spans="1:20">
      <c r="A295" t="s">
        <v>683</v>
      </c>
      <c r="B295" s="15">
        <v>45474</v>
      </c>
      <c r="C295" t="s">
        <v>19</v>
      </c>
      <c r="D295" t="s">
        <v>20</v>
      </c>
      <c r="E295" t="s">
        <v>37</v>
      </c>
      <c r="F295" t="s">
        <v>35</v>
      </c>
      <c r="G295" t="s">
        <v>8</v>
      </c>
      <c r="H295" s="8">
        <v>162</v>
      </c>
      <c r="I295" s="9">
        <v>124818.58</v>
      </c>
      <c r="J295" s="9">
        <v>7622.04</v>
      </c>
      <c r="K295" s="9">
        <v>1209.53</v>
      </c>
      <c r="L295" s="9">
        <v>115987.02</v>
      </c>
      <c r="M295" s="9">
        <v>118466.55</v>
      </c>
      <c r="N295" s="6" t="str">
        <f>_xlfn.XLOOKUP(tblSales[[#This Row],[ProductID]],tblProducts[ProductID],tblProducts[ProductName],"Not Found")</f>
        <v>GlucoRelief</v>
      </c>
      <c r="O295" s="8">
        <f>YEAR(tblSales[[#This Row],[Month]])</f>
        <v>2024</v>
      </c>
      <c r="P295" s="8">
        <f>MONTH(tblSales[[#This Row],[Month]])</f>
        <v>7</v>
      </c>
      <c r="Q295" s="6">
        <f>IFERROR(tblSales[[#This Row],[NetSalesTRY]]/tblSales[[#This Row],[Units]],0)</f>
        <v>715.96925925925927</v>
      </c>
      <c r="R295" s="17">
        <f>IFERROR(tblSales[[#This Row],[NetSalesTRY]]/tblSales[[#This Row],[TargetTRY]],0)</f>
        <v>0.97906978805409628</v>
      </c>
      <c r="S295" s="6">
        <f>tblSales[[#This Row],[NetSalesTRY]]-tblSales[[#This Row],[TargetTRY]]</f>
        <v>-2479.5299999999988</v>
      </c>
      <c r="T295" s="6">
        <f>MAX(tblSales[[#This Row],[TargetTRY]]-tblSales[[#This Row],[NetSalesTRY]],0)</f>
        <v>2479.5299999999988</v>
      </c>
    </row>
    <row r="296" spans="1:20">
      <c r="A296" t="s">
        <v>684</v>
      </c>
      <c r="B296" s="15">
        <v>45474</v>
      </c>
      <c r="C296" t="s">
        <v>19</v>
      </c>
      <c r="D296" t="s">
        <v>20</v>
      </c>
      <c r="E296" t="s">
        <v>37</v>
      </c>
      <c r="F296" t="s">
        <v>35</v>
      </c>
      <c r="G296" t="s">
        <v>11</v>
      </c>
      <c r="H296" s="8">
        <v>196</v>
      </c>
      <c r="I296" s="9">
        <v>121859.68</v>
      </c>
      <c r="J296" s="9">
        <v>7538.42</v>
      </c>
      <c r="K296" s="9">
        <v>1669.75</v>
      </c>
      <c r="L296" s="9">
        <v>112651.51</v>
      </c>
      <c r="M296" s="9">
        <v>117094.93</v>
      </c>
      <c r="N296" s="6" t="str">
        <f>_xlfn.XLOOKUP(tblSales[[#This Row],[ProductID]],tblProducts[ProductID],tblProducts[ProductName],"Not Found")</f>
        <v>RespiraX</v>
      </c>
      <c r="O296" s="8">
        <f>YEAR(tblSales[[#This Row],[Month]])</f>
        <v>2024</v>
      </c>
      <c r="P296" s="8">
        <f>MONTH(tblSales[[#This Row],[Month]])</f>
        <v>7</v>
      </c>
      <c r="Q296" s="6">
        <f>IFERROR(tblSales[[#This Row],[NetSalesTRY]]/tblSales[[#This Row],[Units]],0)</f>
        <v>574.75260204081633</v>
      </c>
      <c r="R296" s="17">
        <f>IFERROR(tblSales[[#This Row],[NetSalesTRY]]/tblSales[[#This Row],[TargetTRY]],0)</f>
        <v>0.96205284037489924</v>
      </c>
      <c r="S296" s="6">
        <f>tblSales[[#This Row],[NetSalesTRY]]-tblSales[[#This Row],[TargetTRY]]</f>
        <v>-4443.4199999999983</v>
      </c>
      <c r="T296" s="6">
        <f>MAX(tblSales[[#This Row],[TargetTRY]]-tblSales[[#This Row],[NetSalesTRY]],0)</f>
        <v>4443.4199999999983</v>
      </c>
    </row>
    <row r="297" spans="1:20">
      <c r="A297" t="s">
        <v>685</v>
      </c>
      <c r="B297" s="15">
        <v>45474</v>
      </c>
      <c r="C297" t="s">
        <v>19</v>
      </c>
      <c r="D297" t="s">
        <v>20</v>
      </c>
      <c r="E297" t="s">
        <v>37</v>
      </c>
      <c r="F297" t="s">
        <v>35</v>
      </c>
      <c r="G297" t="s">
        <v>14</v>
      </c>
      <c r="H297" s="8">
        <v>109</v>
      </c>
      <c r="I297" s="9">
        <v>119319.98</v>
      </c>
      <c r="J297" s="9">
        <v>4766.5</v>
      </c>
      <c r="K297" s="9">
        <v>549.04999999999995</v>
      </c>
      <c r="L297" s="9">
        <v>114004.42</v>
      </c>
      <c r="M297" s="9">
        <v>109744.04</v>
      </c>
      <c r="N297" s="6" t="str">
        <f>_xlfn.XLOOKUP(tblSales[[#This Row],[ProductID]],tblProducts[ProductID],tblProducts[ProductName],"Not Found")</f>
        <v>NeuroCalm</v>
      </c>
      <c r="O297" s="8">
        <f>YEAR(tblSales[[#This Row],[Month]])</f>
        <v>2024</v>
      </c>
      <c r="P297" s="8">
        <f>MONTH(tblSales[[#This Row],[Month]])</f>
        <v>7</v>
      </c>
      <c r="Q297" s="6">
        <f>IFERROR(tblSales[[#This Row],[NetSalesTRY]]/tblSales[[#This Row],[Units]],0)</f>
        <v>1045.9121100917432</v>
      </c>
      <c r="R297" s="17">
        <f>IFERROR(tblSales[[#This Row],[NetSalesTRY]]/tblSales[[#This Row],[TargetTRY]],0)</f>
        <v>1.0388210603509767</v>
      </c>
      <c r="S297" s="6">
        <f>tblSales[[#This Row],[NetSalesTRY]]-tblSales[[#This Row],[TargetTRY]]</f>
        <v>4260.3800000000047</v>
      </c>
      <c r="T297" s="6">
        <f>MAX(tblSales[[#This Row],[TargetTRY]]-tblSales[[#This Row],[NetSalesTRY]],0)</f>
        <v>0</v>
      </c>
    </row>
    <row r="298" spans="1:20">
      <c r="A298" t="s">
        <v>686</v>
      </c>
      <c r="B298" s="15">
        <v>45474</v>
      </c>
      <c r="C298" t="s">
        <v>19</v>
      </c>
      <c r="D298" t="s">
        <v>20</v>
      </c>
      <c r="E298" t="s">
        <v>40</v>
      </c>
      <c r="F298" t="s">
        <v>38</v>
      </c>
      <c r="G298" t="s">
        <v>5</v>
      </c>
      <c r="H298" s="8">
        <v>160</v>
      </c>
      <c r="I298" s="9">
        <v>156211.45000000001</v>
      </c>
      <c r="J298" s="9">
        <v>10826.98</v>
      </c>
      <c r="K298" s="9">
        <v>1684.97</v>
      </c>
      <c r="L298" s="9">
        <v>143699.5</v>
      </c>
      <c r="M298" s="9">
        <v>141526.48000000001</v>
      </c>
      <c r="N298" s="6" t="str">
        <f>_xlfn.XLOOKUP(tblSales[[#This Row],[ProductID]],tblProducts[ProductID],tblProducts[ProductName],"Not Found")</f>
        <v>Cardiovan</v>
      </c>
      <c r="O298" s="8">
        <f>YEAR(tblSales[[#This Row],[Month]])</f>
        <v>2024</v>
      </c>
      <c r="P298" s="8">
        <f>MONTH(tblSales[[#This Row],[Month]])</f>
        <v>7</v>
      </c>
      <c r="Q298" s="6">
        <f>IFERROR(tblSales[[#This Row],[NetSalesTRY]]/tblSales[[#This Row],[Units]],0)</f>
        <v>898.12187500000005</v>
      </c>
      <c r="R298" s="17">
        <f>IFERROR(tblSales[[#This Row],[NetSalesTRY]]/tblSales[[#This Row],[TargetTRY]],0)</f>
        <v>1.0153541584585442</v>
      </c>
      <c r="S298" s="6">
        <f>tblSales[[#This Row],[NetSalesTRY]]-tblSales[[#This Row],[TargetTRY]]</f>
        <v>2173.0199999999895</v>
      </c>
      <c r="T298" s="6">
        <f>MAX(tblSales[[#This Row],[TargetTRY]]-tblSales[[#This Row],[NetSalesTRY]],0)</f>
        <v>0</v>
      </c>
    </row>
    <row r="299" spans="1:20">
      <c r="A299" t="s">
        <v>687</v>
      </c>
      <c r="B299" s="15">
        <v>45474</v>
      </c>
      <c r="C299" t="s">
        <v>19</v>
      </c>
      <c r="D299" t="s">
        <v>20</v>
      </c>
      <c r="E299" t="s">
        <v>40</v>
      </c>
      <c r="F299" t="s">
        <v>38</v>
      </c>
      <c r="G299" t="s">
        <v>8</v>
      </c>
      <c r="H299" s="8">
        <v>187</v>
      </c>
      <c r="I299" s="9">
        <v>141978.82999999999</v>
      </c>
      <c r="J299" s="9">
        <v>9311.76</v>
      </c>
      <c r="K299" s="9">
        <v>945.59</v>
      </c>
      <c r="L299" s="9">
        <v>131721.48000000001</v>
      </c>
      <c r="M299" s="9">
        <v>129080.07</v>
      </c>
      <c r="N299" s="6" t="str">
        <f>_xlfn.XLOOKUP(tblSales[[#This Row],[ProductID]],tblProducts[ProductID],tblProducts[ProductName],"Not Found")</f>
        <v>GlucoRelief</v>
      </c>
      <c r="O299" s="8">
        <f>YEAR(tblSales[[#This Row],[Month]])</f>
        <v>2024</v>
      </c>
      <c r="P299" s="8">
        <f>MONTH(tblSales[[#This Row],[Month]])</f>
        <v>7</v>
      </c>
      <c r="Q299" s="6">
        <f>IFERROR(tblSales[[#This Row],[NetSalesTRY]]/tblSales[[#This Row],[Units]],0)</f>
        <v>704.39294117647069</v>
      </c>
      <c r="R299" s="17">
        <f>IFERROR(tblSales[[#This Row],[NetSalesTRY]]/tblSales[[#This Row],[TargetTRY]],0)</f>
        <v>1.0204633449609999</v>
      </c>
      <c r="S299" s="6">
        <f>tblSales[[#This Row],[NetSalesTRY]]-tblSales[[#This Row],[TargetTRY]]</f>
        <v>2641.4100000000035</v>
      </c>
      <c r="T299" s="6">
        <f>MAX(tblSales[[#This Row],[TargetTRY]]-tblSales[[#This Row],[NetSalesTRY]],0)</f>
        <v>0</v>
      </c>
    </row>
    <row r="300" spans="1:20">
      <c r="A300" t="s">
        <v>688</v>
      </c>
      <c r="B300" s="15">
        <v>45474</v>
      </c>
      <c r="C300" t="s">
        <v>19</v>
      </c>
      <c r="D300" t="s">
        <v>20</v>
      </c>
      <c r="E300" t="s">
        <v>40</v>
      </c>
      <c r="F300" t="s">
        <v>38</v>
      </c>
      <c r="G300" t="s">
        <v>11</v>
      </c>
      <c r="H300" s="8">
        <v>233</v>
      </c>
      <c r="I300" s="9">
        <v>145689.42000000001</v>
      </c>
      <c r="J300" s="9">
        <v>9904.27</v>
      </c>
      <c r="K300" s="9">
        <v>1461.08</v>
      </c>
      <c r="L300" s="9">
        <v>134324.07</v>
      </c>
      <c r="M300" s="9">
        <v>128762.61</v>
      </c>
      <c r="N300" s="6" t="str">
        <f>_xlfn.XLOOKUP(tblSales[[#This Row],[ProductID]],tblProducts[ProductID],tblProducts[ProductName],"Not Found")</f>
        <v>RespiraX</v>
      </c>
      <c r="O300" s="8">
        <f>YEAR(tblSales[[#This Row],[Month]])</f>
        <v>2024</v>
      </c>
      <c r="P300" s="8">
        <f>MONTH(tblSales[[#This Row],[Month]])</f>
        <v>7</v>
      </c>
      <c r="Q300" s="6">
        <f>IFERROR(tblSales[[#This Row],[NetSalesTRY]]/tblSales[[#This Row],[Units]],0)</f>
        <v>576.4981545064378</v>
      </c>
      <c r="R300" s="17">
        <f>IFERROR(tblSales[[#This Row],[NetSalesTRY]]/tblSales[[#This Row],[TargetTRY]],0)</f>
        <v>1.0431915755668513</v>
      </c>
      <c r="S300" s="6">
        <f>tblSales[[#This Row],[NetSalesTRY]]-tblSales[[#This Row],[TargetTRY]]</f>
        <v>5561.4600000000064</v>
      </c>
      <c r="T300" s="6">
        <f>MAX(tblSales[[#This Row],[TargetTRY]]-tblSales[[#This Row],[NetSalesTRY]],0)</f>
        <v>0</v>
      </c>
    </row>
    <row r="301" spans="1:20">
      <c r="A301" t="s">
        <v>689</v>
      </c>
      <c r="B301" s="15">
        <v>45474</v>
      </c>
      <c r="C301" t="s">
        <v>19</v>
      </c>
      <c r="D301" t="s">
        <v>20</v>
      </c>
      <c r="E301" t="s">
        <v>40</v>
      </c>
      <c r="F301" t="s">
        <v>38</v>
      </c>
      <c r="G301" t="s">
        <v>14</v>
      </c>
      <c r="H301" s="8">
        <v>112</v>
      </c>
      <c r="I301" s="9">
        <v>122083.65</v>
      </c>
      <c r="J301" s="9">
        <v>6100.92</v>
      </c>
      <c r="K301" s="9">
        <v>1392.21</v>
      </c>
      <c r="L301" s="9">
        <v>114590.52</v>
      </c>
      <c r="M301" s="9">
        <v>119853.95</v>
      </c>
      <c r="N301" s="6" t="str">
        <f>_xlfn.XLOOKUP(tblSales[[#This Row],[ProductID]],tblProducts[ProductID],tblProducts[ProductName],"Not Found")</f>
        <v>NeuroCalm</v>
      </c>
      <c r="O301" s="8">
        <f>YEAR(tblSales[[#This Row],[Month]])</f>
        <v>2024</v>
      </c>
      <c r="P301" s="8">
        <f>MONTH(tblSales[[#This Row],[Month]])</f>
        <v>7</v>
      </c>
      <c r="Q301" s="6">
        <f>IFERROR(tblSales[[#This Row],[NetSalesTRY]]/tblSales[[#This Row],[Units]],0)</f>
        <v>1023.1296428571429</v>
      </c>
      <c r="R301" s="17">
        <f>IFERROR(tblSales[[#This Row],[NetSalesTRY]]/tblSales[[#This Row],[TargetTRY]],0)</f>
        <v>0.95608463467411797</v>
      </c>
      <c r="S301" s="6">
        <f>tblSales[[#This Row],[NetSalesTRY]]-tblSales[[#This Row],[TargetTRY]]</f>
        <v>-5263.429999999993</v>
      </c>
      <c r="T301" s="6">
        <f>MAX(tblSales[[#This Row],[TargetTRY]]-tblSales[[#This Row],[NetSalesTRY]],0)</f>
        <v>5263.429999999993</v>
      </c>
    </row>
    <row r="302" spans="1:20">
      <c r="A302" t="s">
        <v>690</v>
      </c>
      <c r="B302" s="15">
        <v>45474</v>
      </c>
      <c r="C302" t="s">
        <v>21</v>
      </c>
      <c r="D302" t="s">
        <v>22</v>
      </c>
      <c r="E302" t="s">
        <v>43</v>
      </c>
      <c r="F302" t="s">
        <v>41</v>
      </c>
      <c r="G302" t="s">
        <v>5</v>
      </c>
      <c r="H302" s="8">
        <v>114</v>
      </c>
      <c r="I302" s="9">
        <v>111219.89</v>
      </c>
      <c r="J302" s="9">
        <v>5747.93</v>
      </c>
      <c r="K302" s="9">
        <v>954.86</v>
      </c>
      <c r="L302" s="9">
        <v>104517.1</v>
      </c>
      <c r="M302" s="9">
        <v>103400.2</v>
      </c>
      <c r="N302" s="6" t="str">
        <f>_xlfn.XLOOKUP(tblSales[[#This Row],[ProductID]],tblProducts[ProductID],tblProducts[ProductName],"Not Found")</f>
        <v>Cardiovan</v>
      </c>
      <c r="O302" s="8">
        <f>YEAR(tblSales[[#This Row],[Month]])</f>
        <v>2024</v>
      </c>
      <c r="P302" s="8">
        <f>MONTH(tblSales[[#This Row],[Month]])</f>
        <v>7</v>
      </c>
      <c r="Q302" s="6">
        <f>IFERROR(tblSales[[#This Row],[NetSalesTRY]]/tblSales[[#This Row],[Units]],0)</f>
        <v>916.81666666666672</v>
      </c>
      <c r="R302" s="17">
        <f>IFERROR(tblSales[[#This Row],[NetSalesTRY]]/tblSales[[#This Row],[TargetTRY]],0)</f>
        <v>1.010801719919304</v>
      </c>
      <c r="S302" s="6">
        <f>tblSales[[#This Row],[NetSalesTRY]]-tblSales[[#This Row],[TargetTRY]]</f>
        <v>1116.9000000000087</v>
      </c>
      <c r="T302" s="6">
        <f>MAX(tblSales[[#This Row],[TargetTRY]]-tblSales[[#This Row],[NetSalesTRY]],0)</f>
        <v>0</v>
      </c>
    </row>
    <row r="303" spans="1:20">
      <c r="A303" t="s">
        <v>691</v>
      </c>
      <c r="B303" s="15">
        <v>45474</v>
      </c>
      <c r="C303" t="s">
        <v>21</v>
      </c>
      <c r="D303" t="s">
        <v>22</v>
      </c>
      <c r="E303" t="s">
        <v>43</v>
      </c>
      <c r="F303" t="s">
        <v>41</v>
      </c>
      <c r="G303" t="s">
        <v>8</v>
      </c>
      <c r="H303" s="8">
        <v>141</v>
      </c>
      <c r="I303" s="9">
        <v>107647.72</v>
      </c>
      <c r="J303" s="9">
        <v>5196.8500000000004</v>
      </c>
      <c r="K303" s="9">
        <v>442.24</v>
      </c>
      <c r="L303" s="9">
        <v>102008.62</v>
      </c>
      <c r="M303" s="9">
        <v>97224.01</v>
      </c>
      <c r="N303" s="6" t="str">
        <f>_xlfn.XLOOKUP(tblSales[[#This Row],[ProductID]],tblProducts[ProductID],tblProducts[ProductName],"Not Found")</f>
        <v>GlucoRelief</v>
      </c>
      <c r="O303" s="8">
        <f>YEAR(tblSales[[#This Row],[Month]])</f>
        <v>2024</v>
      </c>
      <c r="P303" s="8">
        <f>MONTH(tblSales[[#This Row],[Month]])</f>
        <v>7</v>
      </c>
      <c r="Q303" s="6">
        <f>IFERROR(tblSales[[#This Row],[NetSalesTRY]]/tblSales[[#This Row],[Units]],0)</f>
        <v>723.4653900709219</v>
      </c>
      <c r="R303" s="17">
        <f>IFERROR(tblSales[[#This Row],[NetSalesTRY]]/tblSales[[#This Row],[TargetTRY]],0)</f>
        <v>1.0492122264860295</v>
      </c>
      <c r="S303" s="6">
        <f>tblSales[[#This Row],[NetSalesTRY]]-tblSales[[#This Row],[TargetTRY]]</f>
        <v>4784.6100000000006</v>
      </c>
      <c r="T303" s="6">
        <f>MAX(tblSales[[#This Row],[TargetTRY]]-tblSales[[#This Row],[NetSalesTRY]],0)</f>
        <v>0</v>
      </c>
    </row>
    <row r="304" spans="1:20">
      <c r="A304" t="s">
        <v>692</v>
      </c>
      <c r="B304" s="15">
        <v>45474</v>
      </c>
      <c r="C304" t="s">
        <v>21</v>
      </c>
      <c r="D304" t="s">
        <v>22</v>
      </c>
      <c r="E304" t="s">
        <v>43</v>
      </c>
      <c r="F304" t="s">
        <v>41</v>
      </c>
      <c r="G304" t="s">
        <v>11</v>
      </c>
      <c r="H304" s="8">
        <v>160</v>
      </c>
      <c r="I304" s="9">
        <v>98837.4</v>
      </c>
      <c r="J304" s="9">
        <v>4342.62</v>
      </c>
      <c r="K304" s="9">
        <v>839.34</v>
      </c>
      <c r="L304" s="9">
        <v>93655.44</v>
      </c>
      <c r="M304" s="9">
        <v>93989.63</v>
      </c>
      <c r="N304" s="6" t="str">
        <f>_xlfn.XLOOKUP(tblSales[[#This Row],[ProductID]],tblProducts[ProductID],tblProducts[ProductName],"Not Found")</f>
        <v>RespiraX</v>
      </c>
      <c r="O304" s="8">
        <f>YEAR(tblSales[[#This Row],[Month]])</f>
        <v>2024</v>
      </c>
      <c r="P304" s="8">
        <f>MONTH(tblSales[[#This Row],[Month]])</f>
        <v>7</v>
      </c>
      <c r="Q304" s="6">
        <f>IFERROR(tblSales[[#This Row],[NetSalesTRY]]/tblSales[[#This Row],[Units]],0)</f>
        <v>585.34649999999999</v>
      </c>
      <c r="R304" s="17">
        <f>IFERROR(tblSales[[#This Row],[NetSalesTRY]]/tblSales[[#This Row],[TargetTRY]],0)</f>
        <v>0.99644439498272308</v>
      </c>
      <c r="S304" s="6">
        <f>tblSales[[#This Row],[NetSalesTRY]]-tblSales[[#This Row],[TargetTRY]]</f>
        <v>-334.19000000000233</v>
      </c>
      <c r="T304" s="6">
        <f>MAX(tblSales[[#This Row],[TargetTRY]]-tblSales[[#This Row],[NetSalesTRY]],0)</f>
        <v>334.19000000000233</v>
      </c>
    </row>
    <row r="305" spans="1:20">
      <c r="A305" t="s">
        <v>693</v>
      </c>
      <c r="B305" s="15">
        <v>45474</v>
      </c>
      <c r="C305" t="s">
        <v>21</v>
      </c>
      <c r="D305" t="s">
        <v>22</v>
      </c>
      <c r="E305" t="s">
        <v>43</v>
      </c>
      <c r="F305" t="s">
        <v>41</v>
      </c>
      <c r="G305" t="s">
        <v>14</v>
      </c>
      <c r="H305" s="8">
        <v>81</v>
      </c>
      <c r="I305" s="9">
        <v>89020.9</v>
      </c>
      <c r="J305" s="9">
        <v>6591.75</v>
      </c>
      <c r="K305" s="9">
        <v>481.65</v>
      </c>
      <c r="L305" s="9">
        <v>81947.5</v>
      </c>
      <c r="M305" s="9">
        <v>87319.29</v>
      </c>
      <c r="N305" s="6" t="str">
        <f>_xlfn.XLOOKUP(tblSales[[#This Row],[ProductID]],tblProducts[ProductID],tblProducts[ProductName],"Not Found")</f>
        <v>NeuroCalm</v>
      </c>
      <c r="O305" s="8">
        <f>YEAR(tblSales[[#This Row],[Month]])</f>
        <v>2024</v>
      </c>
      <c r="P305" s="8">
        <f>MONTH(tblSales[[#This Row],[Month]])</f>
        <v>7</v>
      </c>
      <c r="Q305" s="6">
        <f>IFERROR(tblSales[[#This Row],[NetSalesTRY]]/tblSales[[#This Row],[Units]],0)</f>
        <v>1011.6975308641976</v>
      </c>
      <c r="R305" s="17">
        <f>IFERROR(tblSales[[#This Row],[NetSalesTRY]]/tblSales[[#This Row],[TargetTRY]],0)</f>
        <v>0.93848106185929825</v>
      </c>
      <c r="S305" s="6">
        <f>tblSales[[#This Row],[NetSalesTRY]]-tblSales[[#This Row],[TargetTRY]]</f>
        <v>-5371.7899999999936</v>
      </c>
      <c r="T305" s="6">
        <f>MAX(tblSales[[#This Row],[TargetTRY]]-tblSales[[#This Row],[NetSalesTRY]],0)</f>
        <v>5371.7899999999936</v>
      </c>
    </row>
    <row r="306" spans="1:20">
      <c r="A306" t="s">
        <v>694</v>
      </c>
      <c r="B306" s="15">
        <v>45474</v>
      </c>
      <c r="C306" t="s">
        <v>21</v>
      </c>
      <c r="D306" t="s">
        <v>22</v>
      </c>
      <c r="E306" t="s">
        <v>46</v>
      </c>
      <c r="F306" t="s">
        <v>44</v>
      </c>
      <c r="G306" t="s">
        <v>5</v>
      </c>
      <c r="H306" s="8">
        <v>103</v>
      </c>
      <c r="I306" s="9">
        <v>101372.61</v>
      </c>
      <c r="J306" s="9">
        <v>7360.51</v>
      </c>
      <c r="K306" s="9">
        <v>1222.78</v>
      </c>
      <c r="L306" s="9">
        <v>92789.32</v>
      </c>
      <c r="M306" s="9">
        <v>89985.51</v>
      </c>
      <c r="N306" s="6" t="str">
        <f>_xlfn.XLOOKUP(tblSales[[#This Row],[ProductID]],tblProducts[ProductID],tblProducts[ProductName],"Not Found")</f>
        <v>Cardiovan</v>
      </c>
      <c r="O306" s="8">
        <f>YEAR(tblSales[[#This Row],[Month]])</f>
        <v>2024</v>
      </c>
      <c r="P306" s="8">
        <f>MONTH(tblSales[[#This Row],[Month]])</f>
        <v>7</v>
      </c>
      <c r="Q306" s="6">
        <f>IFERROR(tblSales[[#This Row],[NetSalesTRY]]/tblSales[[#This Row],[Units]],0)</f>
        <v>900.86718446601947</v>
      </c>
      <c r="R306" s="17">
        <f>IFERROR(tblSales[[#This Row],[NetSalesTRY]]/tblSales[[#This Row],[TargetTRY]],0)</f>
        <v>1.0311584609566586</v>
      </c>
      <c r="S306" s="6">
        <f>tblSales[[#This Row],[NetSalesTRY]]-tblSales[[#This Row],[TargetTRY]]</f>
        <v>2803.8100000000122</v>
      </c>
      <c r="T306" s="6">
        <f>MAX(tblSales[[#This Row],[TargetTRY]]-tblSales[[#This Row],[NetSalesTRY]],0)</f>
        <v>0</v>
      </c>
    </row>
    <row r="307" spans="1:20">
      <c r="A307" t="s">
        <v>695</v>
      </c>
      <c r="B307" s="15">
        <v>45474</v>
      </c>
      <c r="C307" t="s">
        <v>21</v>
      </c>
      <c r="D307" t="s">
        <v>22</v>
      </c>
      <c r="E307" t="s">
        <v>46</v>
      </c>
      <c r="F307" t="s">
        <v>44</v>
      </c>
      <c r="G307" t="s">
        <v>8</v>
      </c>
      <c r="H307" s="8">
        <v>122</v>
      </c>
      <c r="I307" s="9">
        <v>92217.96</v>
      </c>
      <c r="J307" s="9">
        <v>6578.23</v>
      </c>
      <c r="K307" s="9">
        <v>585.17999999999995</v>
      </c>
      <c r="L307" s="9">
        <v>85054.54</v>
      </c>
      <c r="M307" s="9">
        <v>83503.08</v>
      </c>
      <c r="N307" s="6" t="str">
        <f>_xlfn.XLOOKUP(tblSales[[#This Row],[ProductID]],tblProducts[ProductID],tblProducts[ProductName],"Not Found")</f>
        <v>GlucoRelief</v>
      </c>
      <c r="O307" s="8">
        <f>YEAR(tblSales[[#This Row],[Month]])</f>
        <v>2024</v>
      </c>
      <c r="P307" s="8">
        <f>MONTH(tblSales[[#This Row],[Month]])</f>
        <v>7</v>
      </c>
      <c r="Q307" s="6">
        <f>IFERROR(tblSales[[#This Row],[NetSalesTRY]]/tblSales[[#This Row],[Units]],0)</f>
        <v>697.16836065573762</v>
      </c>
      <c r="R307" s="17">
        <f>IFERROR(tblSales[[#This Row],[NetSalesTRY]]/tblSales[[#This Row],[TargetTRY]],0)</f>
        <v>1.018579673947356</v>
      </c>
      <c r="S307" s="6">
        <f>tblSales[[#This Row],[NetSalesTRY]]-tblSales[[#This Row],[TargetTRY]]</f>
        <v>1551.4599999999919</v>
      </c>
      <c r="T307" s="6">
        <f>MAX(tblSales[[#This Row],[TargetTRY]]-tblSales[[#This Row],[NetSalesTRY]],0)</f>
        <v>0</v>
      </c>
    </row>
    <row r="308" spans="1:20">
      <c r="A308" t="s">
        <v>696</v>
      </c>
      <c r="B308" s="15">
        <v>45474</v>
      </c>
      <c r="C308" t="s">
        <v>21</v>
      </c>
      <c r="D308" t="s">
        <v>22</v>
      </c>
      <c r="E308" t="s">
        <v>46</v>
      </c>
      <c r="F308" t="s">
        <v>44</v>
      </c>
      <c r="G308" t="s">
        <v>11</v>
      </c>
      <c r="H308" s="8">
        <v>149</v>
      </c>
      <c r="I308" s="9">
        <v>91218.59</v>
      </c>
      <c r="J308" s="9">
        <v>3685.59</v>
      </c>
      <c r="K308" s="9">
        <v>975.81</v>
      </c>
      <c r="L308" s="9">
        <v>86557.19</v>
      </c>
      <c r="M308" s="9">
        <v>83120.75</v>
      </c>
      <c r="N308" s="6" t="str">
        <f>_xlfn.XLOOKUP(tblSales[[#This Row],[ProductID]],tblProducts[ProductID],tblProducts[ProductName],"Not Found")</f>
        <v>RespiraX</v>
      </c>
      <c r="O308" s="8">
        <f>YEAR(tblSales[[#This Row],[Month]])</f>
        <v>2024</v>
      </c>
      <c r="P308" s="8">
        <f>MONTH(tblSales[[#This Row],[Month]])</f>
        <v>7</v>
      </c>
      <c r="Q308" s="6">
        <f>IFERROR(tblSales[[#This Row],[NetSalesTRY]]/tblSales[[#This Row],[Units]],0)</f>
        <v>580.9207382550336</v>
      </c>
      <c r="R308" s="17">
        <f>IFERROR(tblSales[[#This Row],[NetSalesTRY]]/tblSales[[#This Row],[TargetTRY]],0)</f>
        <v>1.041342745343371</v>
      </c>
      <c r="S308" s="6">
        <f>tblSales[[#This Row],[NetSalesTRY]]-tblSales[[#This Row],[TargetTRY]]</f>
        <v>3436.4400000000023</v>
      </c>
      <c r="T308" s="6">
        <f>MAX(tblSales[[#This Row],[TargetTRY]]-tblSales[[#This Row],[NetSalesTRY]],0)</f>
        <v>0</v>
      </c>
    </row>
    <row r="309" spans="1:20">
      <c r="A309" t="s">
        <v>697</v>
      </c>
      <c r="B309" s="15">
        <v>45474</v>
      </c>
      <c r="C309" t="s">
        <v>21</v>
      </c>
      <c r="D309" t="s">
        <v>22</v>
      </c>
      <c r="E309" t="s">
        <v>46</v>
      </c>
      <c r="F309" t="s">
        <v>44</v>
      </c>
      <c r="G309" t="s">
        <v>14</v>
      </c>
      <c r="H309" s="8">
        <v>79</v>
      </c>
      <c r="I309" s="9">
        <v>86596.02</v>
      </c>
      <c r="J309" s="9">
        <v>6265.17</v>
      </c>
      <c r="K309" s="9">
        <v>839.46</v>
      </c>
      <c r="L309" s="9">
        <v>79491.39</v>
      </c>
      <c r="M309" s="9">
        <v>78053.98</v>
      </c>
      <c r="N309" s="6" t="str">
        <f>_xlfn.XLOOKUP(tblSales[[#This Row],[ProductID]],tblProducts[ProductID],tblProducts[ProductName],"Not Found")</f>
        <v>NeuroCalm</v>
      </c>
      <c r="O309" s="8">
        <f>YEAR(tblSales[[#This Row],[Month]])</f>
        <v>2024</v>
      </c>
      <c r="P309" s="8">
        <f>MONTH(tblSales[[#This Row],[Month]])</f>
        <v>7</v>
      </c>
      <c r="Q309" s="6">
        <f>IFERROR(tblSales[[#This Row],[NetSalesTRY]]/tblSales[[#This Row],[Units]],0)</f>
        <v>1006.2201265822785</v>
      </c>
      <c r="R309" s="17">
        <f>IFERROR(tblSales[[#This Row],[NetSalesTRY]]/tblSales[[#This Row],[TargetTRY]],0)</f>
        <v>1.0184155888014936</v>
      </c>
      <c r="S309" s="6">
        <f>tblSales[[#This Row],[NetSalesTRY]]-tblSales[[#This Row],[TargetTRY]]</f>
        <v>1437.4100000000035</v>
      </c>
      <c r="T309" s="6">
        <f>MAX(tblSales[[#This Row],[TargetTRY]]-tblSales[[#This Row],[NetSalesTRY]],0)</f>
        <v>0</v>
      </c>
    </row>
    <row r="310" spans="1:20">
      <c r="A310" t="s">
        <v>698</v>
      </c>
      <c r="B310" s="15">
        <v>45474</v>
      </c>
      <c r="C310" t="s">
        <v>21</v>
      </c>
      <c r="D310" t="s">
        <v>22</v>
      </c>
      <c r="E310" t="s">
        <v>49</v>
      </c>
      <c r="F310" t="s">
        <v>47</v>
      </c>
      <c r="G310" t="s">
        <v>5</v>
      </c>
      <c r="H310" s="8">
        <v>116</v>
      </c>
      <c r="I310" s="9">
        <v>114785.44</v>
      </c>
      <c r="J310" s="9">
        <v>7123.56</v>
      </c>
      <c r="K310" s="9">
        <v>1282.0999999999999</v>
      </c>
      <c r="L310" s="9">
        <v>106379.78</v>
      </c>
      <c r="M310" s="9">
        <v>102841.24</v>
      </c>
      <c r="N310" s="6" t="str">
        <f>_xlfn.XLOOKUP(tblSales[[#This Row],[ProductID]],tblProducts[ProductID],tblProducts[ProductName],"Not Found")</f>
        <v>Cardiovan</v>
      </c>
      <c r="O310" s="8">
        <f>YEAR(tblSales[[#This Row],[Month]])</f>
        <v>2024</v>
      </c>
      <c r="P310" s="8">
        <f>MONTH(tblSales[[#This Row],[Month]])</f>
        <v>7</v>
      </c>
      <c r="Q310" s="6">
        <f>IFERROR(tblSales[[#This Row],[NetSalesTRY]]/tblSales[[#This Row],[Units]],0)</f>
        <v>917.06706896551725</v>
      </c>
      <c r="R310" s="17">
        <f>IFERROR(tblSales[[#This Row],[NetSalesTRY]]/tblSales[[#This Row],[TargetTRY]],0)</f>
        <v>1.0344077920491817</v>
      </c>
      <c r="S310" s="6">
        <f>tblSales[[#This Row],[NetSalesTRY]]-tblSales[[#This Row],[TargetTRY]]</f>
        <v>3538.5399999999936</v>
      </c>
      <c r="T310" s="6">
        <f>MAX(tblSales[[#This Row],[TargetTRY]]-tblSales[[#This Row],[NetSalesTRY]],0)</f>
        <v>0</v>
      </c>
    </row>
    <row r="311" spans="1:20">
      <c r="A311" t="s">
        <v>699</v>
      </c>
      <c r="B311" s="15">
        <v>45474</v>
      </c>
      <c r="C311" t="s">
        <v>21</v>
      </c>
      <c r="D311" t="s">
        <v>22</v>
      </c>
      <c r="E311" t="s">
        <v>49</v>
      </c>
      <c r="F311" t="s">
        <v>47</v>
      </c>
      <c r="G311" t="s">
        <v>8</v>
      </c>
      <c r="H311" s="8">
        <v>133</v>
      </c>
      <c r="I311" s="9">
        <v>100975.89</v>
      </c>
      <c r="J311" s="9">
        <v>4040.54</v>
      </c>
      <c r="K311" s="9">
        <v>720.87</v>
      </c>
      <c r="L311" s="9">
        <v>96214.48</v>
      </c>
      <c r="M311" s="9">
        <v>94957.09</v>
      </c>
      <c r="N311" s="6" t="str">
        <f>_xlfn.XLOOKUP(tblSales[[#This Row],[ProductID]],tblProducts[ProductID],tblProducts[ProductName],"Not Found")</f>
        <v>GlucoRelief</v>
      </c>
      <c r="O311" s="8">
        <f>YEAR(tblSales[[#This Row],[Month]])</f>
        <v>2024</v>
      </c>
      <c r="P311" s="8">
        <f>MONTH(tblSales[[#This Row],[Month]])</f>
        <v>7</v>
      </c>
      <c r="Q311" s="6">
        <f>IFERROR(tblSales[[#This Row],[NetSalesTRY]]/tblSales[[#This Row],[Units]],0)</f>
        <v>723.41714285714284</v>
      </c>
      <c r="R311" s="17">
        <f>IFERROR(tblSales[[#This Row],[NetSalesTRY]]/tblSales[[#This Row],[TargetTRY]],0)</f>
        <v>1.0132416652616461</v>
      </c>
      <c r="S311" s="6">
        <f>tblSales[[#This Row],[NetSalesTRY]]-tblSales[[#This Row],[TargetTRY]]</f>
        <v>1257.3899999999994</v>
      </c>
      <c r="T311" s="6">
        <f>MAX(tblSales[[#This Row],[TargetTRY]]-tblSales[[#This Row],[NetSalesTRY]],0)</f>
        <v>0</v>
      </c>
    </row>
    <row r="312" spans="1:20">
      <c r="A312" t="s">
        <v>700</v>
      </c>
      <c r="B312" s="15">
        <v>45474</v>
      </c>
      <c r="C312" t="s">
        <v>21</v>
      </c>
      <c r="D312" t="s">
        <v>22</v>
      </c>
      <c r="E312" t="s">
        <v>49</v>
      </c>
      <c r="F312" t="s">
        <v>47</v>
      </c>
      <c r="G312" t="s">
        <v>11</v>
      </c>
      <c r="H312" s="8">
        <v>159</v>
      </c>
      <c r="I312" s="9">
        <v>98451</v>
      </c>
      <c r="J312" s="9">
        <v>4815.1400000000003</v>
      </c>
      <c r="K312" s="9">
        <v>729.38</v>
      </c>
      <c r="L312" s="9">
        <v>92906.48</v>
      </c>
      <c r="M312" s="9">
        <v>94635.7</v>
      </c>
      <c r="N312" s="6" t="str">
        <f>_xlfn.XLOOKUP(tblSales[[#This Row],[ProductID]],tblProducts[ProductID],tblProducts[ProductName],"Not Found")</f>
        <v>RespiraX</v>
      </c>
      <c r="O312" s="8">
        <f>YEAR(tblSales[[#This Row],[Month]])</f>
        <v>2024</v>
      </c>
      <c r="P312" s="8">
        <f>MONTH(tblSales[[#This Row],[Month]])</f>
        <v>7</v>
      </c>
      <c r="Q312" s="6">
        <f>IFERROR(tblSales[[#This Row],[NetSalesTRY]]/tblSales[[#This Row],[Units]],0)</f>
        <v>584.31748427672949</v>
      </c>
      <c r="R312" s="17">
        <f>IFERROR(tblSales[[#This Row],[NetSalesTRY]]/tblSales[[#This Row],[TargetTRY]],0)</f>
        <v>0.98172761442035084</v>
      </c>
      <c r="S312" s="6">
        <f>tblSales[[#This Row],[NetSalesTRY]]-tblSales[[#This Row],[TargetTRY]]</f>
        <v>-1729.2200000000012</v>
      </c>
      <c r="T312" s="6">
        <f>MAX(tblSales[[#This Row],[TargetTRY]]-tblSales[[#This Row],[NetSalesTRY]],0)</f>
        <v>1729.2200000000012</v>
      </c>
    </row>
    <row r="313" spans="1:20">
      <c r="A313" t="s">
        <v>701</v>
      </c>
      <c r="B313" s="15">
        <v>45474</v>
      </c>
      <c r="C313" t="s">
        <v>21</v>
      </c>
      <c r="D313" t="s">
        <v>22</v>
      </c>
      <c r="E313" t="s">
        <v>49</v>
      </c>
      <c r="F313" t="s">
        <v>47</v>
      </c>
      <c r="G313" t="s">
        <v>14</v>
      </c>
      <c r="H313" s="8">
        <v>86</v>
      </c>
      <c r="I313" s="9">
        <v>94618.36</v>
      </c>
      <c r="J313" s="9">
        <v>3370.5</v>
      </c>
      <c r="K313" s="9">
        <v>1289.24</v>
      </c>
      <c r="L313" s="9">
        <v>89958.61</v>
      </c>
      <c r="M313" s="9">
        <v>88705.23</v>
      </c>
      <c r="N313" s="6" t="str">
        <f>_xlfn.XLOOKUP(tblSales[[#This Row],[ProductID]],tblProducts[ProductID],tblProducts[ProductName],"Not Found")</f>
        <v>NeuroCalm</v>
      </c>
      <c r="O313" s="8">
        <f>YEAR(tblSales[[#This Row],[Month]])</f>
        <v>2024</v>
      </c>
      <c r="P313" s="8">
        <f>MONTH(tblSales[[#This Row],[Month]])</f>
        <v>7</v>
      </c>
      <c r="Q313" s="6">
        <f>IFERROR(tblSales[[#This Row],[NetSalesTRY]]/tblSales[[#This Row],[Units]],0)</f>
        <v>1046.0303488372092</v>
      </c>
      <c r="R313" s="17">
        <f>IFERROR(tblSales[[#This Row],[NetSalesTRY]]/tblSales[[#This Row],[TargetTRY]],0)</f>
        <v>1.0141297192961454</v>
      </c>
      <c r="S313" s="6">
        <f>tblSales[[#This Row],[NetSalesTRY]]-tblSales[[#This Row],[TargetTRY]]</f>
        <v>1253.3800000000047</v>
      </c>
      <c r="T313" s="6">
        <f>MAX(tblSales[[#This Row],[TargetTRY]]-tblSales[[#This Row],[NetSalesTRY]],0)</f>
        <v>0</v>
      </c>
    </row>
    <row r="314" spans="1:20">
      <c r="A314" t="s">
        <v>702</v>
      </c>
      <c r="B314" s="15">
        <v>45474</v>
      </c>
      <c r="C314" t="s">
        <v>23</v>
      </c>
      <c r="D314" t="s">
        <v>24</v>
      </c>
      <c r="E314" t="s">
        <v>52</v>
      </c>
      <c r="F314" t="s">
        <v>50</v>
      </c>
      <c r="G314" t="s">
        <v>5</v>
      </c>
      <c r="H314" s="8">
        <v>116</v>
      </c>
      <c r="I314" s="9">
        <v>113053.17</v>
      </c>
      <c r="J314" s="9">
        <v>6135.29</v>
      </c>
      <c r="K314" s="9">
        <v>884.5</v>
      </c>
      <c r="L314" s="9">
        <v>106033.38</v>
      </c>
      <c r="M314" s="9">
        <v>100183.03</v>
      </c>
      <c r="N314" s="6" t="str">
        <f>_xlfn.XLOOKUP(tblSales[[#This Row],[ProductID]],tblProducts[ProductID],tblProducts[ProductName],"Not Found")</f>
        <v>Cardiovan</v>
      </c>
      <c r="O314" s="8">
        <f>YEAR(tblSales[[#This Row],[Month]])</f>
        <v>2024</v>
      </c>
      <c r="P314" s="8">
        <f>MONTH(tblSales[[#This Row],[Month]])</f>
        <v>7</v>
      </c>
      <c r="Q314" s="6">
        <f>IFERROR(tblSales[[#This Row],[NetSalesTRY]]/tblSales[[#This Row],[Units]],0)</f>
        <v>914.08086206896553</v>
      </c>
      <c r="R314" s="17">
        <f>IFERROR(tblSales[[#This Row],[NetSalesTRY]]/tblSales[[#This Row],[TargetTRY]],0)</f>
        <v>1.0583966166725043</v>
      </c>
      <c r="S314" s="6">
        <f>tblSales[[#This Row],[NetSalesTRY]]-tblSales[[#This Row],[TargetTRY]]</f>
        <v>5850.3500000000058</v>
      </c>
      <c r="T314" s="6">
        <f>MAX(tblSales[[#This Row],[TargetTRY]]-tblSales[[#This Row],[NetSalesTRY]],0)</f>
        <v>0</v>
      </c>
    </row>
    <row r="315" spans="1:20">
      <c r="A315" t="s">
        <v>703</v>
      </c>
      <c r="B315" s="15">
        <v>45474</v>
      </c>
      <c r="C315" t="s">
        <v>23</v>
      </c>
      <c r="D315" t="s">
        <v>24</v>
      </c>
      <c r="E315" t="s">
        <v>52</v>
      </c>
      <c r="F315" t="s">
        <v>50</v>
      </c>
      <c r="G315" t="s">
        <v>8</v>
      </c>
      <c r="H315" s="8">
        <v>136</v>
      </c>
      <c r="I315" s="9">
        <v>103834.64</v>
      </c>
      <c r="J315" s="9">
        <v>5164.29</v>
      </c>
      <c r="K315" s="9">
        <v>785.59</v>
      </c>
      <c r="L315" s="9">
        <v>97884.76</v>
      </c>
      <c r="M315" s="9">
        <v>96456.05</v>
      </c>
      <c r="N315" s="6" t="str">
        <f>_xlfn.XLOOKUP(tblSales[[#This Row],[ProductID]],tblProducts[ProductID],tblProducts[ProductName],"Not Found")</f>
        <v>GlucoRelief</v>
      </c>
      <c r="O315" s="8">
        <f>YEAR(tblSales[[#This Row],[Month]])</f>
        <v>2024</v>
      </c>
      <c r="P315" s="8">
        <f>MONTH(tblSales[[#This Row],[Month]])</f>
        <v>7</v>
      </c>
      <c r="Q315" s="6">
        <f>IFERROR(tblSales[[#This Row],[NetSalesTRY]]/tblSales[[#This Row],[Units]],0)</f>
        <v>719.74088235294118</v>
      </c>
      <c r="R315" s="17">
        <f>IFERROR(tblSales[[#This Row],[NetSalesTRY]]/tblSales[[#This Row],[TargetTRY]],0)</f>
        <v>1.0148120309716187</v>
      </c>
      <c r="S315" s="6">
        <f>tblSales[[#This Row],[NetSalesTRY]]-tblSales[[#This Row],[TargetTRY]]</f>
        <v>1428.7099999999919</v>
      </c>
      <c r="T315" s="6">
        <f>MAX(tblSales[[#This Row],[TargetTRY]]-tblSales[[#This Row],[NetSalesTRY]],0)</f>
        <v>0</v>
      </c>
    </row>
    <row r="316" spans="1:20">
      <c r="A316" t="s">
        <v>704</v>
      </c>
      <c r="B316" s="15">
        <v>45474</v>
      </c>
      <c r="C316" t="s">
        <v>23</v>
      </c>
      <c r="D316" t="s">
        <v>24</v>
      </c>
      <c r="E316" t="s">
        <v>52</v>
      </c>
      <c r="F316" t="s">
        <v>50</v>
      </c>
      <c r="G316" t="s">
        <v>11</v>
      </c>
      <c r="H316" s="8">
        <v>154</v>
      </c>
      <c r="I316" s="9">
        <v>96902.49</v>
      </c>
      <c r="J316" s="9">
        <v>4271.8999999999996</v>
      </c>
      <c r="K316" s="9">
        <v>1295.45</v>
      </c>
      <c r="L316" s="9">
        <v>91335.14</v>
      </c>
      <c r="M316" s="9">
        <v>93756.7</v>
      </c>
      <c r="N316" s="6" t="str">
        <f>_xlfn.XLOOKUP(tblSales[[#This Row],[ProductID]],tblProducts[ProductID],tblProducts[ProductName],"Not Found")</f>
        <v>RespiraX</v>
      </c>
      <c r="O316" s="8">
        <f>YEAR(tblSales[[#This Row],[Month]])</f>
        <v>2024</v>
      </c>
      <c r="P316" s="8">
        <f>MONTH(tblSales[[#This Row],[Month]])</f>
        <v>7</v>
      </c>
      <c r="Q316" s="6">
        <f>IFERROR(tblSales[[#This Row],[NetSalesTRY]]/tblSales[[#This Row],[Units]],0)</f>
        <v>593.08532467532473</v>
      </c>
      <c r="R316" s="17">
        <f>IFERROR(tblSales[[#This Row],[NetSalesTRY]]/tblSales[[#This Row],[TargetTRY]],0)</f>
        <v>0.97417187251684412</v>
      </c>
      <c r="S316" s="6">
        <f>tblSales[[#This Row],[NetSalesTRY]]-tblSales[[#This Row],[TargetTRY]]</f>
        <v>-2421.5599999999977</v>
      </c>
      <c r="T316" s="6">
        <f>MAX(tblSales[[#This Row],[TargetTRY]]-tblSales[[#This Row],[NetSalesTRY]],0)</f>
        <v>2421.5599999999977</v>
      </c>
    </row>
    <row r="317" spans="1:20">
      <c r="A317" t="s">
        <v>705</v>
      </c>
      <c r="B317" s="15">
        <v>45474</v>
      </c>
      <c r="C317" t="s">
        <v>23</v>
      </c>
      <c r="D317" t="s">
        <v>24</v>
      </c>
      <c r="E317" t="s">
        <v>52</v>
      </c>
      <c r="F317" t="s">
        <v>50</v>
      </c>
      <c r="G317" t="s">
        <v>14</v>
      </c>
      <c r="H317" s="8">
        <v>80</v>
      </c>
      <c r="I317" s="9">
        <v>87817.04</v>
      </c>
      <c r="J317" s="9">
        <v>5253.13</v>
      </c>
      <c r="K317" s="9">
        <v>997.92</v>
      </c>
      <c r="L317" s="9">
        <v>81566</v>
      </c>
      <c r="M317" s="9">
        <v>87915.839999999997</v>
      </c>
      <c r="N317" s="6" t="str">
        <f>_xlfn.XLOOKUP(tblSales[[#This Row],[ProductID]],tblProducts[ProductID],tblProducts[ProductName],"Not Found")</f>
        <v>NeuroCalm</v>
      </c>
      <c r="O317" s="8">
        <f>YEAR(tblSales[[#This Row],[Month]])</f>
        <v>2024</v>
      </c>
      <c r="P317" s="8">
        <f>MONTH(tblSales[[#This Row],[Month]])</f>
        <v>7</v>
      </c>
      <c r="Q317" s="6">
        <f>IFERROR(tblSales[[#This Row],[NetSalesTRY]]/tblSales[[#This Row],[Units]],0)</f>
        <v>1019.575</v>
      </c>
      <c r="R317" s="17">
        <f>IFERROR(tblSales[[#This Row],[NetSalesTRY]]/tblSales[[#This Row],[TargetTRY]],0)</f>
        <v>0.92777365262050615</v>
      </c>
      <c r="S317" s="6">
        <f>tblSales[[#This Row],[NetSalesTRY]]-tblSales[[#This Row],[TargetTRY]]</f>
        <v>-6349.8399999999965</v>
      </c>
      <c r="T317" s="6">
        <f>MAX(tblSales[[#This Row],[TargetTRY]]-tblSales[[#This Row],[NetSalesTRY]],0)</f>
        <v>6349.8399999999965</v>
      </c>
    </row>
    <row r="318" spans="1:20">
      <c r="A318" t="s">
        <v>706</v>
      </c>
      <c r="B318" s="15">
        <v>45474</v>
      </c>
      <c r="C318" t="s">
        <v>23</v>
      </c>
      <c r="D318" t="s">
        <v>24</v>
      </c>
      <c r="E318" t="s">
        <v>55</v>
      </c>
      <c r="F318" t="s">
        <v>53</v>
      </c>
      <c r="G318" t="s">
        <v>5</v>
      </c>
      <c r="H318" s="8">
        <v>115</v>
      </c>
      <c r="I318" s="9">
        <v>111317.5</v>
      </c>
      <c r="J318" s="9">
        <v>6205.24</v>
      </c>
      <c r="K318" s="9">
        <v>563.67999999999995</v>
      </c>
      <c r="L318" s="9">
        <v>104548.58</v>
      </c>
      <c r="M318" s="9">
        <v>101618.26</v>
      </c>
      <c r="N318" s="6" t="str">
        <f>_xlfn.XLOOKUP(tblSales[[#This Row],[ProductID]],tblProducts[ProductID],tblProducts[ProductName],"Not Found")</f>
        <v>Cardiovan</v>
      </c>
      <c r="O318" s="8">
        <f>YEAR(tblSales[[#This Row],[Month]])</f>
        <v>2024</v>
      </c>
      <c r="P318" s="8">
        <f>MONTH(tblSales[[#This Row],[Month]])</f>
        <v>7</v>
      </c>
      <c r="Q318" s="6">
        <f>IFERROR(tblSales[[#This Row],[NetSalesTRY]]/tblSales[[#This Row],[Units]],0)</f>
        <v>909.11808695652178</v>
      </c>
      <c r="R318" s="17">
        <f>IFERROR(tblSales[[#This Row],[NetSalesTRY]]/tblSales[[#This Row],[TargetTRY]],0)</f>
        <v>1.0288365496516079</v>
      </c>
      <c r="S318" s="6">
        <f>tblSales[[#This Row],[NetSalesTRY]]-tblSales[[#This Row],[TargetTRY]]</f>
        <v>2930.320000000007</v>
      </c>
      <c r="T318" s="6">
        <f>MAX(tblSales[[#This Row],[TargetTRY]]-tblSales[[#This Row],[NetSalesTRY]],0)</f>
        <v>0</v>
      </c>
    </row>
    <row r="319" spans="1:20">
      <c r="A319" t="s">
        <v>707</v>
      </c>
      <c r="B319" s="15">
        <v>45474</v>
      </c>
      <c r="C319" t="s">
        <v>23</v>
      </c>
      <c r="D319" t="s">
        <v>24</v>
      </c>
      <c r="E319" t="s">
        <v>55</v>
      </c>
      <c r="F319" t="s">
        <v>53</v>
      </c>
      <c r="G319" t="s">
        <v>8</v>
      </c>
      <c r="H319" s="8">
        <v>137</v>
      </c>
      <c r="I319" s="9">
        <v>104187.26</v>
      </c>
      <c r="J319" s="9">
        <v>7589.76</v>
      </c>
      <c r="K319" s="9">
        <v>913</v>
      </c>
      <c r="L319" s="9">
        <v>95684.5</v>
      </c>
      <c r="M319" s="9">
        <v>96570.29</v>
      </c>
      <c r="N319" s="6" t="str">
        <f>_xlfn.XLOOKUP(tblSales[[#This Row],[ProductID]],tblProducts[ProductID],tblProducts[ProductName],"Not Found")</f>
        <v>GlucoRelief</v>
      </c>
      <c r="O319" s="8">
        <f>YEAR(tblSales[[#This Row],[Month]])</f>
        <v>2024</v>
      </c>
      <c r="P319" s="8">
        <f>MONTH(tblSales[[#This Row],[Month]])</f>
        <v>7</v>
      </c>
      <c r="Q319" s="6">
        <f>IFERROR(tblSales[[#This Row],[NetSalesTRY]]/tblSales[[#This Row],[Units]],0)</f>
        <v>698.42700729927003</v>
      </c>
      <c r="R319" s="17">
        <f>IFERROR(tblSales[[#This Row],[NetSalesTRY]]/tblSales[[#This Row],[TargetTRY]],0)</f>
        <v>0.99082751020008331</v>
      </c>
      <c r="S319" s="6">
        <f>tblSales[[#This Row],[NetSalesTRY]]-tblSales[[#This Row],[TargetTRY]]</f>
        <v>-885.7899999999936</v>
      </c>
      <c r="T319" s="6">
        <f>MAX(tblSales[[#This Row],[TargetTRY]]-tblSales[[#This Row],[NetSalesTRY]],0)</f>
        <v>885.7899999999936</v>
      </c>
    </row>
    <row r="320" spans="1:20">
      <c r="A320" t="s">
        <v>708</v>
      </c>
      <c r="B320" s="15">
        <v>45474</v>
      </c>
      <c r="C320" t="s">
        <v>23</v>
      </c>
      <c r="D320" t="s">
        <v>24</v>
      </c>
      <c r="E320" t="s">
        <v>55</v>
      </c>
      <c r="F320" t="s">
        <v>53</v>
      </c>
      <c r="G320" t="s">
        <v>11</v>
      </c>
      <c r="H320" s="8">
        <v>168</v>
      </c>
      <c r="I320" s="9">
        <v>104017.14</v>
      </c>
      <c r="J320" s="9">
        <v>6568.01</v>
      </c>
      <c r="K320" s="9">
        <v>633.72</v>
      </c>
      <c r="L320" s="9">
        <v>96815.41</v>
      </c>
      <c r="M320" s="9">
        <v>95864.46</v>
      </c>
      <c r="N320" s="6" t="str">
        <f>_xlfn.XLOOKUP(tblSales[[#This Row],[ProductID]],tblProducts[ProductID],tblProducts[ProductName],"Not Found")</f>
        <v>RespiraX</v>
      </c>
      <c r="O320" s="8">
        <f>YEAR(tblSales[[#This Row],[Month]])</f>
        <v>2024</v>
      </c>
      <c r="P320" s="8">
        <f>MONTH(tblSales[[#This Row],[Month]])</f>
        <v>7</v>
      </c>
      <c r="Q320" s="6">
        <f>IFERROR(tblSales[[#This Row],[NetSalesTRY]]/tblSales[[#This Row],[Units]],0)</f>
        <v>576.28220238095241</v>
      </c>
      <c r="R320" s="17">
        <f>IFERROR(tblSales[[#This Row],[NetSalesTRY]]/tblSales[[#This Row],[TargetTRY]],0)</f>
        <v>1.0099197345919437</v>
      </c>
      <c r="S320" s="6">
        <f>tblSales[[#This Row],[NetSalesTRY]]-tblSales[[#This Row],[TargetTRY]]</f>
        <v>950.94999999999709</v>
      </c>
      <c r="T320" s="6">
        <f>MAX(tblSales[[#This Row],[TargetTRY]]-tblSales[[#This Row],[NetSalesTRY]],0)</f>
        <v>0</v>
      </c>
    </row>
    <row r="321" spans="1:20">
      <c r="A321" t="s">
        <v>709</v>
      </c>
      <c r="B321" s="15">
        <v>45474</v>
      </c>
      <c r="C321" t="s">
        <v>23</v>
      </c>
      <c r="D321" t="s">
        <v>24</v>
      </c>
      <c r="E321" t="s">
        <v>55</v>
      </c>
      <c r="F321" t="s">
        <v>53</v>
      </c>
      <c r="G321" t="s">
        <v>14</v>
      </c>
      <c r="H321" s="8">
        <v>87</v>
      </c>
      <c r="I321" s="9">
        <v>96161.02</v>
      </c>
      <c r="J321" s="9">
        <v>4353.54</v>
      </c>
      <c r="K321" s="9">
        <v>1210.22</v>
      </c>
      <c r="L321" s="9">
        <v>90597.26</v>
      </c>
      <c r="M321" s="9">
        <v>88239.23</v>
      </c>
      <c r="N321" s="6" t="str">
        <f>_xlfn.XLOOKUP(tblSales[[#This Row],[ProductID]],tblProducts[ProductID],tblProducts[ProductName],"Not Found")</f>
        <v>NeuroCalm</v>
      </c>
      <c r="O321" s="8">
        <f>YEAR(tblSales[[#This Row],[Month]])</f>
        <v>2024</v>
      </c>
      <c r="P321" s="8">
        <f>MONTH(tblSales[[#This Row],[Month]])</f>
        <v>7</v>
      </c>
      <c r="Q321" s="6">
        <f>IFERROR(tblSales[[#This Row],[NetSalesTRY]]/tblSales[[#This Row],[Units]],0)</f>
        <v>1041.347816091954</v>
      </c>
      <c r="R321" s="17">
        <f>IFERROR(tblSales[[#This Row],[NetSalesTRY]]/tblSales[[#This Row],[TargetTRY]],0)</f>
        <v>1.0267231479694463</v>
      </c>
      <c r="S321" s="6">
        <f>tblSales[[#This Row],[NetSalesTRY]]-tblSales[[#This Row],[TargetTRY]]</f>
        <v>2358.0299999999988</v>
      </c>
      <c r="T321" s="6">
        <f>MAX(tblSales[[#This Row],[TargetTRY]]-tblSales[[#This Row],[NetSalesTRY]],0)</f>
        <v>0</v>
      </c>
    </row>
    <row r="322" spans="1:20">
      <c r="A322" t="s">
        <v>710</v>
      </c>
      <c r="B322" s="15">
        <v>45474</v>
      </c>
      <c r="C322" t="s">
        <v>23</v>
      </c>
      <c r="D322" t="s">
        <v>24</v>
      </c>
      <c r="E322" t="s">
        <v>58</v>
      </c>
      <c r="F322" t="s">
        <v>56</v>
      </c>
      <c r="G322" t="s">
        <v>5</v>
      </c>
      <c r="H322" s="8">
        <v>111</v>
      </c>
      <c r="I322" s="9">
        <v>108600.08</v>
      </c>
      <c r="J322" s="9">
        <v>7519.91</v>
      </c>
      <c r="K322" s="9">
        <v>882.26</v>
      </c>
      <c r="L322" s="9">
        <v>100197.91</v>
      </c>
      <c r="M322" s="9">
        <v>103802.45</v>
      </c>
      <c r="N322" s="6" t="str">
        <f>_xlfn.XLOOKUP(tblSales[[#This Row],[ProductID]],tblProducts[ProductID],tblProducts[ProductName],"Not Found")</f>
        <v>Cardiovan</v>
      </c>
      <c r="O322" s="8">
        <f>YEAR(tblSales[[#This Row],[Month]])</f>
        <v>2024</v>
      </c>
      <c r="P322" s="8">
        <f>MONTH(tblSales[[#This Row],[Month]])</f>
        <v>7</v>
      </c>
      <c r="Q322" s="6">
        <f>IFERROR(tblSales[[#This Row],[NetSalesTRY]]/tblSales[[#This Row],[Units]],0)</f>
        <v>902.68387387387395</v>
      </c>
      <c r="R322" s="17">
        <f>IFERROR(tblSales[[#This Row],[NetSalesTRY]]/tblSales[[#This Row],[TargetTRY]],0)</f>
        <v>0.96527500073456851</v>
      </c>
      <c r="S322" s="6">
        <f>tblSales[[#This Row],[NetSalesTRY]]-tblSales[[#This Row],[TargetTRY]]</f>
        <v>-3604.5399999999936</v>
      </c>
      <c r="T322" s="6">
        <f>MAX(tblSales[[#This Row],[TargetTRY]]-tblSales[[#This Row],[NetSalesTRY]],0)</f>
        <v>3604.5399999999936</v>
      </c>
    </row>
    <row r="323" spans="1:20">
      <c r="A323" t="s">
        <v>711</v>
      </c>
      <c r="B323" s="15">
        <v>45474</v>
      </c>
      <c r="C323" t="s">
        <v>23</v>
      </c>
      <c r="D323" t="s">
        <v>24</v>
      </c>
      <c r="E323" t="s">
        <v>58</v>
      </c>
      <c r="F323" t="s">
        <v>56</v>
      </c>
      <c r="G323" t="s">
        <v>8</v>
      </c>
      <c r="H323" s="8">
        <v>139</v>
      </c>
      <c r="I323" s="9">
        <v>107108.98</v>
      </c>
      <c r="J323" s="9">
        <v>6527.37</v>
      </c>
      <c r="K323" s="9">
        <v>1115.71</v>
      </c>
      <c r="L323" s="9">
        <v>99465.9</v>
      </c>
      <c r="M323" s="9">
        <v>99140.75</v>
      </c>
      <c r="N323" s="6" t="str">
        <f>_xlfn.XLOOKUP(tblSales[[#This Row],[ProductID]],tblProducts[ProductID],tblProducts[ProductName],"Not Found")</f>
        <v>GlucoRelief</v>
      </c>
      <c r="O323" s="8">
        <f>YEAR(tblSales[[#This Row],[Month]])</f>
        <v>2024</v>
      </c>
      <c r="P323" s="8">
        <f>MONTH(tblSales[[#This Row],[Month]])</f>
        <v>7</v>
      </c>
      <c r="Q323" s="6">
        <f>IFERROR(tblSales[[#This Row],[NetSalesTRY]]/tblSales[[#This Row],[Units]],0)</f>
        <v>715.58201438848914</v>
      </c>
      <c r="R323" s="17">
        <f>IFERROR(tblSales[[#This Row],[NetSalesTRY]]/tblSales[[#This Row],[TargetTRY]],0)</f>
        <v>1.0032796806560369</v>
      </c>
      <c r="S323" s="6">
        <f>tblSales[[#This Row],[NetSalesTRY]]-tblSales[[#This Row],[TargetTRY]]</f>
        <v>325.14999999999418</v>
      </c>
      <c r="T323" s="6">
        <f>MAX(tblSales[[#This Row],[TargetTRY]]-tblSales[[#This Row],[NetSalesTRY]],0)</f>
        <v>0</v>
      </c>
    </row>
    <row r="324" spans="1:20">
      <c r="A324" t="s">
        <v>712</v>
      </c>
      <c r="B324" s="15">
        <v>45474</v>
      </c>
      <c r="C324" t="s">
        <v>23</v>
      </c>
      <c r="D324" t="s">
        <v>24</v>
      </c>
      <c r="E324" t="s">
        <v>58</v>
      </c>
      <c r="F324" t="s">
        <v>56</v>
      </c>
      <c r="G324" t="s">
        <v>11</v>
      </c>
      <c r="H324" s="8">
        <v>159</v>
      </c>
      <c r="I324" s="9">
        <v>97930.81</v>
      </c>
      <c r="J324" s="9">
        <v>3690.59</v>
      </c>
      <c r="K324" s="9">
        <v>818.12</v>
      </c>
      <c r="L324" s="9">
        <v>93422.1</v>
      </c>
      <c r="M324" s="9">
        <v>97496.33</v>
      </c>
      <c r="N324" s="6" t="str">
        <f>_xlfn.XLOOKUP(tblSales[[#This Row],[ProductID]],tblProducts[ProductID],tblProducts[ProductName],"Not Found")</f>
        <v>RespiraX</v>
      </c>
      <c r="O324" s="8">
        <f>YEAR(tblSales[[#This Row],[Month]])</f>
        <v>2024</v>
      </c>
      <c r="P324" s="8">
        <f>MONTH(tblSales[[#This Row],[Month]])</f>
        <v>7</v>
      </c>
      <c r="Q324" s="6">
        <f>IFERROR(tblSales[[#This Row],[NetSalesTRY]]/tblSales[[#This Row],[Units]],0)</f>
        <v>587.56037735849065</v>
      </c>
      <c r="R324" s="17">
        <f>IFERROR(tblSales[[#This Row],[NetSalesTRY]]/tblSales[[#This Row],[TargetTRY]],0)</f>
        <v>0.95821145267724439</v>
      </c>
      <c r="S324" s="6">
        <f>tblSales[[#This Row],[NetSalesTRY]]-tblSales[[#This Row],[TargetTRY]]</f>
        <v>-4074.2299999999959</v>
      </c>
      <c r="T324" s="6">
        <f>MAX(tblSales[[#This Row],[TargetTRY]]-tblSales[[#This Row],[NetSalesTRY]],0)</f>
        <v>4074.2299999999959</v>
      </c>
    </row>
    <row r="325" spans="1:20">
      <c r="A325" t="s">
        <v>713</v>
      </c>
      <c r="B325" s="15">
        <v>45474</v>
      </c>
      <c r="C325" t="s">
        <v>23</v>
      </c>
      <c r="D325" t="s">
        <v>24</v>
      </c>
      <c r="E325" t="s">
        <v>58</v>
      </c>
      <c r="F325" t="s">
        <v>56</v>
      </c>
      <c r="G325" t="s">
        <v>14</v>
      </c>
      <c r="H325" s="8">
        <v>88</v>
      </c>
      <c r="I325" s="9">
        <v>95641.7</v>
      </c>
      <c r="J325" s="9">
        <v>4860.68</v>
      </c>
      <c r="K325" s="9">
        <v>1235.79</v>
      </c>
      <c r="L325" s="9">
        <v>89545.23</v>
      </c>
      <c r="M325" s="9">
        <v>89631.34</v>
      </c>
      <c r="N325" s="6" t="str">
        <f>_xlfn.XLOOKUP(tblSales[[#This Row],[ProductID]],tblProducts[ProductID],tblProducts[ProductName],"Not Found")</f>
        <v>NeuroCalm</v>
      </c>
      <c r="O325" s="8">
        <f>YEAR(tblSales[[#This Row],[Month]])</f>
        <v>2024</v>
      </c>
      <c r="P325" s="8">
        <f>MONTH(tblSales[[#This Row],[Month]])</f>
        <v>7</v>
      </c>
      <c r="Q325" s="6">
        <f>IFERROR(tblSales[[#This Row],[NetSalesTRY]]/tblSales[[#This Row],[Units]],0)</f>
        <v>1017.5594318181818</v>
      </c>
      <c r="R325" s="17">
        <f>IFERROR(tblSales[[#This Row],[NetSalesTRY]]/tblSales[[#This Row],[TargetTRY]],0)</f>
        <v>0.99903928692798749</v>
      </c>
      <c r="S325" s="6">
        <f>tblSales[[#This Row],[NetSalesTRY]]-tblSales[[#This Row],[TargetTRY]]</f>
        <v>-86.110000000000582</v>
      </c>
      <c r="T325" s="6">
        <f>MAX(tblSales[[#This Row],[TargetTRY]]-tblSales[[#This Row],[NetSalesTRY]],0)</f>
        <v>86.110000000000582</v>
      </c>
    </row>
    <row r="326" spans="1:20">
      <c r="A326" t="s">
        <v>714</v>
      </c>
      <c r="B326" s="15">
        <v>45474</v>
      </c>
      <c r="C326" t="s">
        <v>25</v>
      </c>
      <c r="D326" t="s">
        <v>26</v>
      </c>
      <c r="E326" t="s">
        <v>61</v>
      </c>
      <c r="F326" t="s">
        <v>59</v>
      </c>
      <c r="G326" t="s">
        <v>5</v>
      </c>
      <c r="H326" s="8">
        <v>95</v>
      </c>
      <c r="I326" s="9">
        <v>92121.64</v>
      </c>
      <c r="J326" s="9">
        <v>4941.0600000000004</v>
      </c>
      <c r="K326" s="9">
        <v>891.33</v>
      </c>
      <c r="L326" s="9">
        <v>86289.25</v>
      </c>
      <c r="M326" s="9">
        <v>82323.360000000001</v>
      </c>
      <c r="N326" s="6" t="str">
        <f>_xlfn.XLOOKUP(tblSales[[#This Row],[ProductID]],tblProducts[ProductID],tblProducts[ProductName],"Not Found")</f>
        <v>Cardiovan</v>
      </c>
      <c r="O326" s="8">
        <f>YEAR(tblSales[[#This Row],[Month]])</f>
        <v>2024</v>
      </c>
      <c r="P326" s="8">
        <f>MONTH(tblSales[[#This Row],[Month]])</f>
        <v>7</v>
      </c>
      <c r="Q326" s="6">
        <f>IFERROR(tblSales[[#This Row],[NetSalesTRY]]/tblSales[[#This Row],[Units]],0)</f>
        <v>908.30789473684206</v>
      </c>
      <c r="R326" s="17">
        <f>IFERROR(tblSales[[#This Row],[NetSalesTRY]]/tblSales[[#This Row],[TargetTRY]],0)</f>
        <v>1.048174540009057</v>
      </c>
      <c r="S326" s="6">
        <f>tblSales[[#This Row],[NetSalesTRY]]-tblSales[[#This Row],[TargetTRY]]</f>
        <v>3965.8899999999994</v>
      </c>
      <c r="T326" s="6">
        <f>MAX(tblSales[[#This Row],[TargetTRY]]-tblSales[[#This Row],[NetSalesTRY]],0)</f>
        <v>0</v>
      </c>
    </row>
    <row r="327" spans="1:20">
      <c r="A327" t="s">
        <v>715</v>
      </c>
      <c r="B327" s="15">
        <v>45474</v>
      </c>
      <c r="C327" t="s">
        <v>25</v>
      </c>
      <c r="D327" t="s">
        <v>26</v>
      </c>
      <c r="E327" t="s">
        <v>61</v>
      </c>
      <c r="F327" t="s">
        <v>59</v>
      </c>
      <c r="G327" t="s">
        <v>8</v>
      </c>
      <c r="H327" s="8">
        <v>110</v>
      </c>
      <c r="I327" s="9">
        <v>84475.43</v>
      </c>
      <c r="J327" s="9">
        <v>5371.08</v>
      </c>
      <c r="K327" s="9">
        <v>1012.52</v>
      </c>
      <c r="L327" s="9">
        <v>78091.83</v>
      </c>
      <c r="M327" s="9">
        <v>77221.09</v>
      </c>
      <c r="N327" s="6" t="str">
        <f>_xlfn.XLOOKUP(tblSales[[#This Row],[ProductID]],tblProducts[ProductID],tblProducts[ProductName],"Not Found")</f>
        <v>GlucoRelief</v>
      </c>
      <c r="O327" s="8">
        <f>YEAR(tblSales[[#This Row],[Month]])</f>
        <v>2024</v>
      </c>
      <c r="P327" s="8">
        <f>MONTH(tblSales[[#This Row],[Month]])</f>
        <v>7</v>
      </c>
      <c r="Q327" s="6">
        <f>IFERROR(tblSales[[#This Row],[NetSalesTRY]]/tblSales[[#This Row],[Units]],0)</f>
        <v>709.92572727272727</v>
      </c>
      <c r="R327" s="17">
        <f>IFERROR(tblSales[[#This Row],[NetSalesTRY]]/tblSales[[#This Row],[TargetTRY]],0)</f>
        <v>1.0112759351104732</v>
      </c>
      <c r="S327" s="6">
        <f>tblSales[[#This Row],[NetSalesTRY]]-tblSales[[#This Row],[TargetTRY]]</f>
        <v>870.74000000000524</v>
      </c>
      <c r="T327" s="6">
        <f>MAX(tblSales[[#This Row],[TargetTRY]]-tblSales[[#This Row],[NetSalesTRY]],0)</f>
        <v>0</v>
      </c>
    </row>
    <row r="328" spans="1:20">
      <c r="A328" t="s">
        <v>716</v>
      </c>
      <c r="B328" s="15">
        <v>45474</v>
      </c>
      <c r="C328" t="s">
        <v>25</v>
      </c>
      <c r="D328" t="s">
        <v>26</v>
      </c>
      <c r="E328" t="s">
        <v>61</v>
      </c>
      <c r="F328" t="s">
        <v>59</v>
      </c>
      <c r="G328" t="s">
        <v>11</v>
      </c>
      <c r="H328" s="8">
        <v>126</v>
      </c>
      <c r="I328" s="9">
        <v>77081.740000000005</v>
      </c>
      <c r="J328" s="9">
        <v>5052.43</v>
      </c>
      <c r="K328" s="9">
        <v>1058.3599999999999</v>
      </c>
      <c r="L328" s="9">
        <v>70970.95</v>
      </c>
      <c r="M328" s="9">
        <v>77275.28</v>
      </c>
      <c r="N328" s="6" t="str">
        <f>_xlfn.XLOOKUP(tblSales[[#This Row],[ProductID]],tblProducts[ProductID],tblProducts[ProductName],"Not Found")</f>
        <v>RespiraX</v>
      </c>
      <c r="O328" s="8">
        <f>YEAR(tblSales[[#This Row],[Month]])</f>
        <v>2024</v>
      </c>
      <c r="P328" s="8">
        <f>MONTH(tblSales[[#This Row],[Month]])</f>
        <v>7</v>
      </c>
      <c r="Q328" s="6">
        <f>IFERROR(tblSales[[#This Row],[NetSalesTRY]]/tblSales[[#This Row],[Units]],0)</f>
        <v>563.26150793650788</v>
      </c>
      <c r="R328" s="17">
        <f>IFERROR(tblSales[[#This Row],[NetSalesTRY]]/tblSales[[#This Row],[TargetTRY]],0)</f>
        <v>0.91841724805138203</v>
      </c>
      <c r="S328" s="6">
        <f>tblSales[[#This Row],[NetSalesTRY]]-tblSales[[#This Row],[TargetTRY]]</f>
        <v>-6304.3300000000017</v>
      </c>
      <c r="T328" s="6">
        <f>MAX(tblSales[[#This Row],[TargetTRY]]-tblSales[[#This Row],[NetSalesTRY]],0)</f>
        <v>6304.3300000000017</v>
      </c>
    </row>
    <row r="329" spans="1:20">
      <c r="A329" t="s">
        <v>717</v>
      </c>
      <c r="B329" s="15">
        <v>45474</v>
      </c>
      <c r="C329" t="s">
        <v>25</v>
      </c>
      <c r="D329" t="s">
        <v>26</v>
      </c>
      <c r="E329" t="s">
        <v>61</v>
      </c>
      <c r="F329" t="s">
        <v>59</v>
      </c>
      <c r="G329" t="s">
        <v>14</v>
      </c>
      <c r="H329" s="8">
        <v>66</v>
      </c>
      <c r="I329" s="9">
        <v>72383.429999999993</v>
      </c>
      <c r="J329" s="9">
        <v>3251.8</v>
      </c>
      <c r="K329" s="9">
        <v>938.8</v>
      </c>
      <c r="L329" s="9">
        <v>68192.83</v>
      </c>
      <c r="M329" s="9">
        <v>70366.61</v>
      </c>
      <c r="N329" s="6" t="str">
        <f>_xlfn.XLOOKUP(tblSales[[#This Row],[ProductID]],tblProducts[ProductID],tblProducts[ProductName],"Not Found")</f>
        <v>NeuroCalm</v>
      </c>
      <c r="O329" s="8">
        <f>YEAR(tblSales[[#This Row],[Month]])</f>
        <v>2024</v>
      </c>
      <c r="P329" s="8">
        <f>MONTH(tblSales[[#This Row],[Month]])</f>
        <v>7</v>
      </c>
      <c r="Q329" s="6">
        <f>IFERROR(tblSales[[#This Row],[NetSalesTRY]]/tblSales[[#This Row],[Units]],0)</f>
        <v>1033.2246969696971</v>
      </c>
      <c r="R329" s="17">
        <f>IFERROR(tblSales[[#This Row],[NetSalesTRY]]/tblSales[[#This Row],[TargetTRY]],0)</f>
        <v>0.96910779132318581</v>
      </c>
      <c r="S329" s="6">
        <f>tblSales[[#This Row],[NetSalesTRY]]-tblSales[[#This Row],[TargetTRY]]</f>
        <v>-2173.7799999999988</v>
      </c>
      <c r="T329" s="6">
        <f>MAX(tblSales[[#This Row],[TargetTRY]]-tblSales[[#This Row],[NetSalesTRY]],0)</f>
        <v>2173.7799999999988</v>
      </c>
    </row>
    <row r="330" spans="1:20">
      <c r="A330" t="s">
        <v>718</v>
      </c>
      <c r="B330" s="15">
        <v>45474</v>
      </c>
      <c r="C330" t="s">
        <v>25</v>
      </c>
      <c r="D330" t="s">
        <v>26</v>
      </c>
      <c r="E330" t="s">
        <v>64</v>
      </c>
      <c r="F330" t="s">
        <v>62</v>
      </c>
      <c r="G330" t="s">
        <v>5</v>
      </c>
      <c r="H330" s="8">
        <v>92</v>
      </c>
      <c r="I330" s="9">
        <v>91477.78</v>
      </c>
      <c r="J330" s="9">
        <v>6345.64</v>
      </c>
      <c r="K330" s="9">
        <v>580.23</v>
      </c>
      <c r="L330" s="9">
        <v>84551.91</v>
      </c>
      <c r="M330" s="9">
        <v>83611.62</v>
      </c>
      <c r="N330" s="6" t="str">
        <f>_xlfn.XLOOKUP(tblSales[[#This Row],[ProductID]],tblProducts[ProductID],tblProducts[ProductName],"Not Found")</f>
        <v>Cardiovan</v>
      </c>
      <c r="O330" s="8">
        <f>YEAR(tblSales[[#This Row],[Month]])</f>
        <v>2024</v>
      </c>
      <c r="P330" s="8">
        <f>MONTH(tblSales[[#This Row],[Month]])</f>
        <v>7</v>
      </c>
      <c r="Q330" s="6">
        <f>IFERROR(tblSales[[#This Row],[NetSalesTRY]]/tblSales[[#This Row],[Units]],0)</f>
        <v>919.04250000000002</v>
      </c>
      <c r="R330" s="17">
        <f>IFERROR(tblSales[[#This Row],[NetSalesTRY]]/tblSales[[#This Row],[TargetTRY]],0)</f>
        <v>1.0112459249085235</v>
      </c>
      <c r="S330" s="6">
        <f>tblSales[[#This Row],[NetSalesTRY]]-tblSales[[#This Row],[TargetTRY]]</f>
        <v>940.29000000000815</v>
      </c>
      <c r="T330" s="6">
        <f>MAX(tblSales[[#This Row],[TargetTRY]]-tblSales[[#This Row],[NetSalesTRY]],0)</f>
        <v>0</v>
      </c>
    </row>
    <row r="331" spans="1:20">
      <c r="A331" t="s">
        <v>719</v>
      </c>
      <c r="B331" s="15">
        <v>45474</v>
      </c>
      <c r="C331" t="s">
        <v>25</v>
      </c>
      <c r="D331" t="s">
        <v>26</v>
      </c>
      <c r="E331" t="s">
        <v>64</v>
      </c>
      <c r="F331" t="s">
        <v>62</v>
      </c>
      <c r="G331" t="s">
        <v>8</v>
      </c>
      <c r="H331" s="8">
        <v>106</v>
      </c>
      <c r="I331" s="9">
        <v>79795.3</v>
      </c>
      <c r="J331" s="9">
        <v>5106.71</v>
      </c>
      <c r="K331" s="9">
        <v>513.26</v>
      </c>
      <c r="L331" s="9">
        <v>74175.33</v>
      </c>
      <c r="M331" s="9">
        <v>77830.67</v>
      </c>
      <c r="N331" s="6" t="str">
        <f>_xlfn.XLOOKUP(tblSales[[#This Row],[ProductID]],tblProducts[ProductID],tblProducts[ProductName],"Not Found")</f>
        <v>GlucoRelief</v>
      </c>
      <c r="O331" s="8">
        <f>YEAR(tblSales[[#This Row],[Month]])</f>
        <v>2024</v>
      </c>
      <c r="P331" s="8">
        <f>MONTH(tblSales[[#This Row],[Month]])</f>
        <v>7</v>
      </c>
      <c r="Q331" s="6">
        <f>IFERROR(tblSales[[#This Row],[NetSalesTRY]]/tblSales[[#This Row],[Units]],0)</f>
        <v>699.76726415094345</v>
      </c>
      <c r="R331" s="17">
        <f>IFERROR(tblSales[[#This Row],[NetSalesTRY]]/tblSales[[#This Row],[TargetTRY]],0)</f>
        <v>0.95303470983867933</v>
      </c>
      <c r="S331" s="6">
        <f>tblSales[[#This Row],[NetSalesTRY]]-tblSales[[#This Row],[TargetTRY]]</f>
        <v>-3655.3399999999965</v>
      </c>
      <c r="T331" s="6">
        <f>MAX(tblSales[[#This Row],[TargetTRY]]-tblSales[[#This Row],[NetSalesTRY]],0)</f>
        <v>3655.3399999999965</v>
      </c>
    </row>
    <row r="332" spans="1:20">
      <c r="A332" t="s">
        <v>720</v>
      </c>
      <c r="B332" s="15">
        <v>45474</v>
      </c>
      <c r="C332" t="s">
        <v>25</v>
      </c>
      <c r="D332" t="s">
        <v>26</v>
      </c>
      <c r="E332" t="s">
        <v>64</v>
      </c>
      <c r="F332" t="s">
        <v>62</v>
      </c>
      <c r="G332" t="s">
        <v>11</v>
      </c>
      <c r="H332" s="8">
        <v>135</v>
      </c>
      <c r="I332" s="9">
        <v>83908.85</v>
      </c>
      <c r="J332" s="9">
        <v>3059.4</v>
      </c>
      <c r="K332" s="9">
        <v>826.44</v>
      </c>
      <c r="L332" s="9">
        <v>80023.009999999995</v>
      </c>
      <c r="M332" s="9">
        <v>77090.27</v>
      </c>
      <c r="N332" s="6" t="str">
        <f>_xlfn.XLOOKUP(tblSales[[#This Row],[ProductID]],tblProducts[ProductID],tblProducts[ProductName],"Not Found")</f>
        <v>RespiraX</v>
      </c>
      <c r="O332" s="8">
        <f>YEAR(tblSales[[#This Row],[Month]])</f>
        <v>2024</v>
      </c>
      <c r="P332" s="8">
        <f>MONTH(tblSales[[#This Row],[Month]])</f>
        <v>7</v>
      </c>
      <c r="Q332" s="6">
        <f>IFERROR(tblSales[[#This Row],[NetSalesTRY]]/tblSales[[#This Row],[Units]],0)</f>
        <v>592.76303703703695</v>
      </c>
      <c r="R332" s="17">
        <f>IFERROR(tblSales[[#This Row],[NetSalesTRY]]/tblSales[[#This Row],[TargetTRY]],0)</f>
        <v>1.0380429333040342</v>
      </c>
      <c r="S332" s="6">
        <f>tblSales[[#This Row],[NetSalesTRY]]-tblSales[[#This Row],[TargetTRY]]</f>
        <v>2932.7399999999907</v>
      </c>
      <c r="T332" s="6">
        <f>MAX(tblSales[[#This Row],[TargetTRY]]-tblSales[[#This Row],[NetSalesTRY]],0)</f>
        <v>0</v>
      </c>
    </row>
    <row r="333" spans="1:20">
      <c r="A333" t="s">
        <v>721</v>
      </c>
      <c r="B333" s="15">
        <v>45474</v>
      </c>
      <c r="C333" t="s">
        <v>25</v>
      </c>
      <c r="D333" t="s">
        <v>26</v>
      </c>
      <c r="E333" t="s">
        <v>64</v>
      </c>
      <c r="F333" t="s">
        <v>62</v>
      </c>
      <c r="G333" t="s">
        <v>14</v>
      </c>
      <c r="H333" s="8">
        <v>66</v>
      </c>
      <c r="I333" s="9">
        <v>71974.570000000007</v>
      </c>
      <c r="J333" s="9">
        <v>5204.2700000000004</v>
      </c>
      <c r="K333" s="9">
        <v>666.19</v>
      </c>
      <c r="L333" s="9">
        <v>66104.11</v>
      </c>
      <c r="M333" s="9">
        <v>71793.97</v>
      </c>
      <c r="N333" s="6" t="str">
        <f>_xlfn.XLOOKUP(tblSales[[#This Row],[ProductID]],tblProducts[ProductID],tblProducts[ProductName],"Not Found")</f>
        <v>NeuroCalm</v>
      </c>
      <c r="O333" s="8">
        <f>YEAR(tblSales[[#This Row],[Month]])</f>
        <v>2024</v>
      </c>
      <c r="P333" s="8">
        <f>MONTH(tblSales[[#This Row],[Month]])</f>
        <v>7</v>
      </c>
      <c r="Q333" s="6">
        <f>IFERROR(tblSales[[#This Row],[NetSalesTRY]]/tblSales[[#This Row],[Units]],0)</f>
        <v>1001.5774242424243</v>
      </c>
      <c r="R333" s="17">
        <f>IFERROR(tblSales[[#This Row],[NetSalesTRY]]/tblSales[[#This Row],[TargetTRY]],0)</f>
        <v>0.92074738310195137</v>
      </c>
      <c r="S333" s="6">
        <f>tblSales[[#This Row],[NetSalesTRY]]-tblSales[[#This Row],[TargetTRY]]</f>
        <v>-5689.8600000000006</v>
      </c>
      <c r="T333" s="6">
        <f>MAX(tblSales[[#This Row],[TargetTRY]]-tblSales[[#This Row],[NetSalesTRY]],0)</f>
        <v>5689.8600000000006</v>
      </c>
    </row>
    <row r="334" spans="1:20">
      <c r="A334" t="s">
        <v>722</v>
      </c>
      <c r="B334" s="15">
        <v>45474</v>
      </c>
      <c r="C334" t="s">
        <v>25</v>
      </c>
      <c r="D334" t="s">
        <v>26</v>
      </c>
      <c r="E334" t="s">
        <v>67</v>
      </c>
      <c r="F334" t="s">
        <v>65</v>
      </c>
      <c r="G334" t="s">
        <v>5</v>
      </c>
      <c r="H334" s="8">
        <v>106</v>
      </c>
      <c r="I334" s="9">
        <v>104210.29</v>
      </c>
      <c r="J334" s="9">
        <v>5217.91</v>
      </c>
      <c r="K334" s="9">
        <v>1339.35</v>
      </c>
      <c r="L334" s="9">
        <v>97653.03</v>
      </c>
      <c r="M334" s="9">
        <v>93976.44</v>
      </c>
      <c r="N334" s="6" t="str">
        <f>_xlfn.XLOOKUP(tblSales[[#This Row],[ProductID]],tblProducts[ProductID],tblProducts[ProductName],"Not Found")</f>
        <v>Cardiovan</v>
      </c>
      <c r="O334" s="8">
        <f>YEAR(tblSales[[#This Row],[Month]])</f>
        <v>2024</v>
      </c>
      <c r="P334" s="8">
        <f>MONTH(tblSales[[#This Row],[Month]])</f>
        <v>7</v>
      </c>
      <c r="Q334" s="6">
        <f>IFERROR(tblSales[[#This Row],[NetSalesTRY]]/tblSales[[#This Row],[Units]],0)</f>
        <v>921.255</v>
      </c>
      <c r="R334" s="17">
        <f>IFERROR(tblSales[[#This Row],[NetSalesTRY]]/tblSales[[#This Row],[TargetTRY]],0)</f>
        <v>1.039122465162545</v>
      </c>
      <c r="S334" s="6">
        <f>tblSales[[#This Row],[NetSalesTRY]]-tblSales[[#This Row],[TargetTRY]]</f>
        <v>3676.5899999999965</v>
      </c>
      <c r="T334" s="6">
        <f>MAX(tblSales[[#This Row],[TargetTRY]]-tblSales[[#This Row],[NetSalesTRY]],0)</f>
        <v>0</v>
      </c>
    </row>
    <row r="335" spans="1:20">
      <c r="A335" t="s">
        <v>723</v>
      </c>
      <c r="B335" s="15">
        <v>45474</v>
      </c>
      <c r="C335" t="s">
        <v>25</v>
      </c>
      <c r="D335" t="s">
        <v>26</v>
      </c>
      <c r="E335" t="s">
        <v>67</v>
      </c>
      <c r="F335" t="s">
        <v>65</v>
      </c>
      <c r="G335" t="s">
        <v>8</v>
      </c>
      <c r="H335" s="8">
        <v>119</v>
      </c>
      <c r="I335" s="9">
        <v>90217.75</v>
      </c>
      <c r="J335" s="9">
        <v>3285.91</v>
      </c>
      <c r="K335" s="9">
        <v>1031.19</v>
      </c>
      <c r="L335" s="9">
        <v>85900.65</v>
      </c>
      <c r="M335" s="9">
        <v>87616.95</v>
      </c>
      <c r="N335" s="6" t="str">
        <f>_xlfn.XLOOKUP(tblSales[[#This Row],[ProductID]],tblProducts[ProductID],tblProducts[ProductName],"Not Found")</f>
        <v>GlucoRelief</v>
      </c>
      <c r="O335" s="8">
        <f>YEAR(tblSales[[#This Row],[Month]])</f>
        <v>2024</v>
      </c>
      <c r="P335" s="8">
        <f>MONTH(tblSales[[#This Row],[Month]])</f>
        <v>7</v>
      </c>
      <c r="Q335" s="6">
        <f>IFERROR(tblSales[[#This Row],[NetSalesTRY]]/tblSales[[#This Row],[Units]],0)</f>
        <v>721.85420168067219</v>
      </c>
      <c r="R335" s="17">
        <f>IFERROR(tblSales[[#This Row],[NetSalesTRY]]/tblSales[[#This Row],[TargetTRY]],0)</f>
        <v>0.98041132452111146</v>
      </c>
      <c r="S335" s="6">
        <f>tblSales[[#This Row],[NetSalesTRY]]-tblSales[[#This Row],[TargetTRY]]</f>
        <v>-1716.3000000000029</v>
      </c>
      <c r="T335" s="6">
        <f>MAX(tblSales[[#This Row],[TargetTRY]]-tblSales[[#This Row],[NetSalesTRY]],0)</f>
        <v>1716.3000000000029</v>
      </c>
    </row>
    <row r="336" spans="1:20">
      <c r="A336" t="s">
        <v>724</v>
      </c>
      <c r="B336" s="15">
        <v>45474</v>
      </c>
      <c r="C336" t="s">
        <v>25</v>
      </c>
      <c r="D336" t="s">
        <v>26</v>
      </c>
      <c r="E336" t="s">
        <v>67</v>
      </c>
      <c r="F336" t="s">
        <v>65</v>
      </c>
      <c r="G336" t="s">
        <v>11</v>
      </c>
      <c r="H336" s="8">
        <v>139</v>
      </c>
      <c r="I336" s="9">
        <v>85502.47</v>
      </c>
      <c r="J336" s="9">
        <v>5429.8</v>
      </c>
      <c r="K336" s="9">
        <v>498.34</v>
      </c>
      <c r="L336" s="9">
        <v>79574.320000000007</v>
      </c>
      <c r="M336" s="9">
        <v>86163.38</v>
      </c>
      <c r="N336" s="6" t="str">
        <f>_xlfn.XLOOKUP(tblSales[[#This Row],[ProductID]],tblProducts[ProductID],tblProducts[ProductName],"Not Found")</f>
        <v>RespiraX</v>
      </c>
      <c r="O336" s="8">
        <f>YEAR(tblSales[[#This Row],[Month]])</f>
        <v>2024</v>
      </c>
      <c r="P336" s="8">
        <f>MONTH(tblSales[[#This Row],[Month]])</f>
        <v>7</v>
      </c>
      <c r="Q336" s="6">
        <f>IFERROR(tblSales[[#This Row],[NetSalesTRY]]/tblSales[[#This Row],[Units]],0)</f>
        <v>572.47712230215836</v>
      </c>
      <c r="R336" s="17">
        <f>IFERROR(tblSales[[#This Row],[NetSalesTRY]]/tblSales[[#This Row],[TargetTRY]],0)</f>
        <v>0.923528301698471</v>
      </c>
      <c r="S336" s="6">
        <f>tblSales[[#This Row],[NetSalesTRY]]-tblSales[[#This Row],[TargetTRY]]</f>
        <v>-6589.0599999999977</v>
      </c>
      <c r="T336" s="6">
        <f>MAX(tblSales[[#This Row],[TargetTRY]]-tblSales[[#This Row],[NetSalesTRY]],0)</f>
        <v>6589.0599999999977</v>
      </c>
    </row>
    <row r="337" spans="1:20">
      <c r="A337" t="s">
        <v>725</v>
      </c>
      <c r="B337" s="15">
        <v>45474</v>
      </c>
      <c r="C337" t="s">
        <v>25</v>
      </c>
      <c r="D337" t="s">
        <v>26</v>
      </c>
      <c r="E337" t="s">
        <v>67</v>
      </c>
      <c r="F337" t="s">
        <v>65</v>
      </c>
      <c r="G337" t="s">
        <v>14</v>
      </c>
      <c r="H337" s="8">
        <v>76</v>
      </c>
      <c r="I337" s="9">
        <v>82873.56</v>
      </c>
      <c r="J337" s="9">
        <v>6047.68</v>
      </c>
      <c r="K337" s="9">
        <v>944.81</v>
      </c>
      <c r="L337" s="9">
        <v>75881.06</v>
      </c>
      <c r="M337" s="9">
        <v>81044.61</v>
      </c>
      <c r="N337" s="6" t="str">
        <f>_xlfn.XLOOKUP(tblSales[[#This Row],[ProductID]],tblProducts[ProductID],tblProducts[ProductName],"Not Found")</f>
        <v>NeuroCalm</v>
      </c>
      <c r="O337" s="8">
        <f>YEAR(tblSales[[#This Row],[Month]])</f>
        <v>2024</v>
      </c>
      <c r="P337" s="8">
        <f>MONTH(tblSales[[#This Row],[Month]])</f>
        <v>7</v>
      </c>
      <c r="Q337" s="6">
        <f>IFERROR(tblSales[[#This Row],[NetSalesTRY]]/tblSales[[#This Row],[Units]],0)</f>
        <v>998.43499999999995</v>
      </c>
      <c r="R337" s="17">
        <f>IFERROR(tblSales[[#This Row],[NetSalesTRY]]/tblSales[[#This Row],[TargetTRY]],0)</f>
        <v>0.93628755817320852</v>
      </c>
      <c r="S337" s="6">
        <f>tblSales[[#This Row],[NetSalesTRY]]-tblSales[[#This Row],[TargetTRY]]</f>
        <v>-5163.5500000000029</v>
      </c>
      <c r="T337" s="6">
        <f>MAX(tblSales[[#This Row],[TargetTRY]]-tblSales[[#This Row],[NetSalesTRY]],0)</f>
        <v>5163.5500000000029</v>
      </c>
    </row>
    <row r="338" spans="1:20">
      <c r="A338" t="s">
        <v>726</v>
      </c>
      <c r="B338" s="15">
        <v>45505</v>
      </c>
      <c r="C338" t="s">
        <v>19</v>
      </c>
      <c r="D338" t="s">
        <v>20</v>
      </c>
      <c r="E338" t="s">
        <v>34</v>
      </c>
      <c r="F338" t="s">
        <v>32</v>
      </c>
      <c r="G338" t="s">
        <v>5</v>
      </c>
      <c r="H338" s="8">
        <v>142</v>
      </c>
      <c r="I338" s="9">
        <v>139180.22</v>
      </c>
      <c r="J338" s="9">
        <v>6634.26</v>
      </c>
      <c r="K338" s="9">
        <v>1505.42</v>
      </c>
      <c r="L338" s="9">
        <v>131040.54</v>
      </c>
      <c r="M338" s="9">
        <v>125720.44</v>
      </c>
      <c r="N338" s="6" t="str">
        <f>_xlfn.XLOOKUP(tblSales[[#This Row],[ProductID]],tblProducts[ProductID],tblProducts[ProductName],"Not Found")</f>
        <v>Cardiovan</v>
      </c>
      <c r="O338" s="8">
        <f>YEAR(tblSales[[#This Row],[Month]])</f>
        <v>2024</v>
      </c>
      <c r="P338" s="8">
        <f>MONTH(tblSales[[#This Row],[Month]])</f>
        <v>8</v>
      </c>
      <c r="Q338" s="6">
        <f>IFERROR(tblSales[[#This Row],[NetSalesTRY]]/tblSales[[#This Row],[Units]],0)</f>
        <v>922.82070422535207</v>
      </c>
      <c r="R338" s="17">
        <f>IFERROR(tblSales[[#This Row],[NetSalesTRY]]/tblSales[[#This Row],[TargetTRY]],0)</f>
        <v>1.0423169056678452</v>
      </c>
      <c r="S338" s="6">
        <f>tblSales[[#This Row],[NetSalesTRY]]-tblSales[[#This Row],[TargetTRY]]</f>
        <v>5320.0999999999913</v>
      </c>
      <c r="T338" s="6">
        <f>MAX(tblSales[[#This Row],[TargetTRY]]-tblSales[[#This Row],[NetSalesTRY]],0)</f>
        <v>0</v>
      </c>
    </row>
    <row r="339" spans="1:20">
      <c r="A339" t="s">
        <v>727</v>
      </c>
      <c r="B339" s="15">
        <v>45505</v>
      </c>
      <c r="C339" t="s">
        <v>19</v>
      </c>
      <c r="D339" t="s">
        <v>20</v>
      </c>
      <c r="E339" t="s">
        <v>34</v>
      </c>
      <c r="F339" t="s">
        <v>32</v>
      </c>
      <c r="G339" t="s">
        <v>8</v>
      </c>
      <c r="H339" s="8">
        <v>167</v>
      </c>
      <c r="I339" s="9">
        <v>125645.19</v>
      </c>
      <c r="J339" s="9">
        <v>6894.41</v>
      </c>
      <c r="K339" s="9">
        <v>745.67</v>
      </c>
      <c r="L339" s="9">
        <v>118005.11</v>
      </c>
      <c r="M339" s="9">
        <v>118479.75</v>
      </c>
      <c r="N339" s="6" t="str">
        <f>_xlfn.XLOOKUP(tblSales[[#This Row],[ProductID]],tblProducts[ProductID],tblProducts[ProductName],"Not Found")</f>
        <v>GlucoRelief</v>
      </c>
      <c r="O339" s="8">
        <f>YEAR(tblSales[[#This Row],[Month]])</f>
        <v>2024</v>
      </c>
      <c r="P339" s="8">
        <f>MONTH(tblSales[[#This Row],[Month]])</f>
        <v>8</v>
      </c>
      <c r="Q339" s="6">
        <f>IFERROR(tblSales[[#This Row],[NetSalesTRY]]/tblSales[[#This Row],[Units]],0)</f>
        <v>706.61742514970058</v>
      </c>
      <c r="R339" s="17">
        <f>IFERROR(tblSales[[#This Row],[NetSalesTRY]]/tblSales[[#This Row],[TargetTRY]],0)</f>
        <v>0.99599391457189945</v>
      </c>
      <c r="S339" s="6">
        <f>tblSales[[#This Row],[NetSalesTRY]]-tblSales[[#This Row],[TargetTRY]]</f>
        <v>-474.63999999999942</v>
      </c>
      <c r="T339" s="6">
        <f>MAX(tblSales[[#This Row],[TargetTRY]]-tblSales[[#This Row],[NetSalesTRY]],0)</f>
        <v>474.63999999999942</v>
      </c>
    </row>
    <row r="340" spans="1:20">
      <c r="A340" t="s">
        <v>728</v>
      </c>
      <c r="B340" s="15">
        <v>45505</v>
      </c>
      <c r="C340" t="s">
        <v>19</v>
      </c>
      <c r="D340" t="s">
        <v>20</v>
      </c>
      <c r="E340" t="s">
        <v>34</v>
      </c>
      <c r="F340" t="s">
        <v>32</v>
      </c>
      <c r="G340" t="s">
        <v>11</v>
      </c>
      <c r="H340" s="8">
        <v>198</v>
      </c>
      <c r="I340" s="9">
        <v>121289.99</v>
      </c>
      <c r="J340" s="9">
        <v>7184.82</v>
      </c>
      <c r="K340" s="9">
        <v>1288.04</v>
      </c>
      <c r="L340" s="9">
        <v>112817.13</v>
      </c>
      <c r="M340" s="9">
        <v>115786.66</v>
      </c>
      <c r="N340" s="6" t="str">
        <f>_xlfn.XLOOKUP(tblSales[[#This Row],[ProductID]],tblProducts[ProductID],tblProducts[ProductName],"Not Found")</f>
        <v>RespiraX</v>
      </c>
      <c r="O340" s="8">
        <f>YEAR(tblSales[[#This Row],[Month]])</f>
        <v>2024</v>
      </c>
      <c r="P340" s="8">
        <f>MONTH(tblSales[[#This Row],[Month]])</f>
        <v>8</v>
      </c>
      <c r="Q340" s="6">
        <f>IFERROR(tblSales[[#This Row],[NetSalesTRY]]/tblSales[[#This Row],[Units]],0)</f>
        <v>569.78348484848482</v>
      </c>
      <c r="R340" s="17">
        <f>IFERROR(tblSales[[#This Row],[NetSalesTRY]]/tblSales[[#This Row],[TargetTRY]],0)</f>
        <v>0.97435343587940093</v>
      </c>
      <c r="S340" s="6">
        <f>tblSales[[#This Row],[NetSalesTRY]]-tblSales[[#This Row],[TargetTRY]]</f>
        <v>-2969.5299999999988</v>
      </c>
      <c r="T340" s="6">
        <f>MAX(tblSales[[#This Row],[TargetTRY]]-tblSales[[#This Row],[NetSalesTRY]],0)</f>
        <v>2969.5299999999988</v>
      </c>
    </row>
    <row r="341" spans="1:20">
      <c r="A341" t="s">
        <v>729</v>
      </c>
      <c r="B341" s="15">
        <v>45505</v>
      </c>
      <c r="C341" t="s">
        <v>19</v>
      </c>
      <c r="D341" t="s">
        <v>20</v>
      </c>
      <c r="E341" t="s">
        <v>34</v>
      </c>
      <c r="F341" t="s">
        <v>32</v>
      </c>
      <c r="G341" t="s">
        <v>14</v>
      </c>
      <c r="H341" s="8">
        <v>104</v>
      </c>
      <c r="I341" s="9">
        <v>115312.95</v>
      </c>
      <c r="J341" s="9">
        <v>4986.03</v>
      </c>
      <c r="K341" s="9">
        <v>869.52</v>
      </c>
      <c r="L341" s="9">
        <v>109457.41</v>
      </c>
      <c r="M341" s="9">
        <v>106775.82</v>
      </c>
      <c r="N341" s="6" t="str">
        <f>_xlfn.XLOOKUP(tblSales[[#This Row],[ProductID]],tblProducts[ProductID],tblProducts[ProductName],"Not Found")</f>
        <v>NeuroCalm</v>
      </c>
      <c r="O341" s="8">
        <f>YEAR(tblSales[[#This Row],[Month]])</f>
        <v>2024</v>
      </c>
      <c r="P341" s="8">
        <f>MONTH(tblSales[[#This Row],[Month]])</f>
        <v>8</v>
      </c>
      <c r="Q341" s="6">
        <f>IFERROR(tblSales[[#This Row],[NetSalesTRY]]/tblSales[[#This Row],[Units]],0)</f>
        <v>1052.4750961538462</v>
      </c>
      <c r="R341" s="17">
        <f>IFERROR(tblSales[[#This Row],[NetSalesTRY]]/tblSales[[#This Row],[TargetTRY]],0)</f>
        <v>1.0251142065684908</v>
      </c>
      <c r="S341" s="6">
        <f>tblSales[[#This Row],[NetSalesTRY]]-tblSales[[#This Row],[TargetTRY]]</f>
        <v>2681.5899999999965</v>
      </c>
      <c r="T341" s="6">
        <f>MAX(tblSales[[#This Row],[TargetTRY]]-tblSales[[#This Row],[NetSalesTRY]],0)</f>
        <v>0</v>
      </c>
    </row>
    <row r="342" spans="1:20">
      <c r="A342" t="s">
        <v>730</v>
      </c>
      <c r="B342" s="15">
        <v>45505</v>
      </c>
      <c r="C342" t="s">
        <v>19</v>
      </c>
      <c r="D342" t="s">
        <v>20</v>
      </c>
      <c r="E342" t="s">
        <v>37</v>
      </c>
      <c r="F342" t="s">
        <v>35</v>
      </c>
      <c r="G342" t="s">
        <v>5</v>
      </c>
      <c r="H342" s="8">
        <v>132</v>
      </c>
      <c r="I342" s="9">
        <v>130869.28</v>
      </c>
      <c r="J342" s="9">
        <v>8049.34</v>
      </c>
      <c r="K342" s="9">
        <v>828.72</v>
      </c>
      <c r="L342" s="9">
        <v>121991.22</v>
      </c>
      <c r="M342" s="9">
        <v>127727.38</v>
      </c>
      <c r="N342" s="6" t="str">
        <f>_xlfn.XLOOKUP(tblSales[[#This Row],[ProductID]],tblProducts[ProductID],tblProducts[ProductName],"Not Found")</f>
        <v>Cardiovan</v>
      </c>
      <c r="O342" s="8">
        <f>YEAR(tblSales[[#This Row],[Month]])</f>
        <v>2024</v>
      </c>
      <c r="P342" s="8">
        <f>MONTH(tblSales[[#This Row],[Month]])</f>
        <v>8</v>
      </c>
      <c r="Q342" s="6">
        <f>IFERROR(tblSales[[#This Row],[NetSalesTRY]]/tblSales[[#This Row],[Units]],0)</f>
        <v>924.17590909090904</v>
      </c>
      <c r="R342" s="17">
        <f>IFERROR(tblSales[[#This Row],[NetSalesTRY]]/tblSales[[#This Row],[TargetTRY]],0)</f>
        <v>0.95509059999508328</v>
      </c>
      <c r="S342" s="6">
        <f>tblSales[[#This Row],[NetSalesTRY]]-tblSales[[#This Row],[TargetTRY]]</f>
        <v>-5736.1600000000035</v>
      </c>
      <c r="T342" s="6">
        <f>MAX(tblSales[[#This Row],[TargetTRY]]-tblSales[[#This Row],[NetSalesTRY]],0)</f>
        <v>5736.1600000000035</v>
      </c>
    </row>
    <row r="343" spans="1:20">
      <c r="A343" t="s">
        <v>731</v>
      </c>
      <c r="B343" s="15">
        <v>45505</v>
      </c>
      <c r="C343" t="s">
        <v>19</v>
      </c>
      <c r="D343" t="s">
        <v>20</v>
      </c>
      <c r="E343" t="s">
        <v>37</v>
      </c>
      <c r="F343" t="s">
        <v>35</v>
      </c>
      <c r="G343" t="s">
        <v>8</v>
      </c>
      <c r="H343" s="8">
        <v>159</v>
      </c>
      <c r="I343" s="9">
        <v>120933.94</v>
      </c>
      <c r="J343" s="9">
        <v>8235.14</v>
      </c>
      <c r="K343" s="9">
        <v>540.37</v>
      </c>
      <c r="L343" s="9">
        <v>112158.43</v>
      </c>
      <c r="M343" s="9">
        <v>119752.77</v>
      </c>
      <c r="N343" s="6" t="str">
        <f>_xlfn.XLOOKUP(tblSales[[#This Row],[ProductID]],tblProducts[ProductID],tblProducts[ProductName],"Not Found")</f>
        <v>GlucoRelief</v>
      </c>
      <c r="O343" s="8">
        <f>YEAR(tblSales[[#This Row],[Month]])</f>
        <v>2024</v>
      </c>
      <c r="P343" s="8">
        <f>MONTH(tblSales[[#This Row],[Month]])</f>
        <v>8</v>
      </c>
      <c r="Q343" s="6">
        <f>IFERROR(tblSales[[#This Row],[NetSalesTRY]]/tblSales[[#This Row],[Units]],0)</f>
        <v>705.39893081760999</v>
      </c>
      <c r="R343" s="17">
        <f>IFERROR(tblSales[[#This Row],[NetSalesTRY]]/tblSales[[#This Row],[TargetTRY]],0)</f>
        <v>0.93658317882751263</v>
      </c>
      <c r="S343" s="6">
        <f>tblSales[[#This Row],[NetSalesTRY]]-tblSales[[#This Row],[TargetTRY]]</f>
        <v>-7594.3400000000111</v>
      </c>
      <c r="T343" s="6">
        <f>MAX(tblSales[[#This Row],[TargetTRY]]-tblSales[[#This Row],[NetSalesTRY]],0)</f>
        <v>7594.3400000000111</v>
      </c>
    </row>
    <row r="344" spans="1:20">
      <c r="A344" t="s">
        <v>732</v>
      </c>
      <c r="B344" s="15">
        <v>45505</v>
      </c>
      <c r="C344" t="s">
        <v>19</v>
      </c>
      <c r="D344" t="s">
        <v>20</v>
      </c>
      <c r="E344" t="s">
        <v>37</v>
      </c>
      <c r="F344" t="s">
        <v>35</v>
      </c>
      <c r="G344" t="s">
        <v>11</v>
      </c>
      <c r="H344" s="8">
        <v>196</v>
      </c>
      <c r="I344" s="9">
        <v>122644.1</v>
      </c>
      <c r="J344" s="9">
        <v>7856.79</v>
      </c>
      <c r="K344" s="9">
        <v>700.02</v>
      </c>
      <c r="L344" s="9">
        <v>114087.29</v>
      </c>
      <c r="M344" s="9">
        <v>115648.62</v>
      </c>
      <c r="N344" s="6" t="str">
        <f>_xlfn.XLOOKUP(tblSales[[#This Row],[ProductID]],tblProducts[ProductID],tblProducts[ProductName],"Not Found")</f>
        <v>RespiraX</v>
      </c>
      <c r="O344" s="8">
        <f>YEAR(tblSales[[#This Row],[Month]])</f>
        <v>2024</v>
      </c>
      <c r="P344" s="8">
        <f>MONTH(tblSales[[#This Row],[Month]])</f>
        <v>8</v>
      </c>
      <c r="Q344" s="6">
        <f>IFERROR(tblSales[[#This Row],[NetSalesTRY]]/tblSales[[#This Row],[Units]],0)</f>
        <v>582.07801020408158</v>
      </c>
      <c r="R344" s="17">
        <f>IFERROR(tblSales[[#This Row],[NetSalesTRY]]/tblSales[[#This Row],[TargetTRY]],0)</f>
        <v>0.98649936333005961</v>
      </c>
      <c r="S344" s="6">
        <f>tblSales[[#This Row],[NetSalesTRY]]-tblSales[[#This Row],[TargetTRY]]</f>
        <v>-1561.3300000000017</v>
      </c>
      <c r="T344" s="6">
        <f>MAX(tblSales[[#This Row],[TargetTRY]]-tblSales[[#This Row],[NetSalesTRY]],0)</f>
        <v>1561.3300000000017</v>
      </c>
    </row>
    <row r="345" spans="1:20">
      <c r="A345" t="s">
        <v>733</v>
      </c>
      <c r="B345" s="15">
        <v>45505</v>
      </c>
      <c r="C345" t="s">
        <v>19</v>
      </c>
      <c r="D345" t="s">
        <v>20</v>
      </c>
      <c r="E345" t="s">
        <v>37</v>
      </c>
      <c r="F345" t="s">
        <v>35</v>
      </c>
      <c r="G345" t="s">
        <v>14</v>
      </c>
      <c r="H345" s="8">
        <v>107</v>
      </c>
      <c r="I345" s="9">
        <v>118502.5</v>
      </c>
      <c r="J345" s="9">
        <v>5808.69</v>
      </c>
      <c r="K345" s="9">
        <v>1568.32</v>
      </c>
      <c r="L345" s="9">
        <v>111125.49</v>
      </c>
      <c r="M345" s="9">
        <v>109346.07</v>
      </c>
      <c r="N345" s="6" t="str">
        <f>_xlfn.XLOOKUP(tblSales[[#This Row],[ProductID]],tblProducts[ProductID],tblProducts[ProductName],"Not Found")</f>
        <v>NeuroCalm</v>
      </c>
      <c r="O345" s="8">
        <f>YEAR(tblSales[[#This Row],[Month]])</f>
        <v>2024</v>
      </c>
      <c r="P345" s="8">
        <f>MONTH(tblSales[[#This Row],[Month]])</f>
        <v>8</v>
      </c>
      <c r="Q345" s="6">
        <f>IFERROR(tblSales[[#This Row],[NetSalesTRY]]/tblSales[[#This Row],[Units]],0)</f>
        <v>1038.5559813084112</v>
      </c>
      <c r="R345" s="17">
        <f>IFERROR(tblSales[[#This Row],[NetSalesTRY]]/tblSales[[#This Row],[TargetTRY]],0)</f>
        <v>1.0162732871880993</v>
      </c>
      <c r="S345" s="6">
        <f>tblSales[[#This Row],[NetSalesTRY]]-tblSales[[#This Row],[TargetTRY]]</f>
        <v>1779.4199999999983</v>
      </c>
      <c r="T345" s="6">
        <f>MAX(tblSales[[#This Row],[TargetTRY]]-tblSales[[#This Row],[NetSalesTRY]],0)</f>
        <v>0</v>
      </c>
    </row>
    <row r="346" spans="1:20">
      <c r="A346" t="s">
        <v>734</v>
      </c>
      <c r="B346" s="15">
        <v>45505</v>
      </c>
      <c r="C346" t="s">
        <v>19</v>
      </c>
      <c r="D346" t="s">
        <v>20</v>
      </c>
      <c r="E346" t="s">
        <v>40</v>
      </c>
      <c r="F346" t="s">
        <v>38</v>
      </c>
      <c r="G346" t="s">
        <v>5</v>
      </c>
      <c r="H346" s="8">
        <v>147</v>
      </c>
      <c r="I346" s="9">
        <v>144297.26</v>
      </c>
      <c r="J346" s="9">
        <v>6471.44</v>
      </c>
      <c r="K346" s="9">
        <v>1461.43</v>
      </c>
      <c r="L346" s="9">
        <v>136364.38</v>
      </c>
      <c r="M346" s="9">
        <v>137858.45000000001</v>
      </c>
      <c r="N346" s="6" t="str">
        <f>_xlfn.XLOOKUP(tblSales[[#This Row],[ProductID]],tblProducts[ProductID],tblProducts[ProductName],"Not Found")</f>
        <v>Cardiovan</v>
      </c>
      <c r="O346" s="8">
        <f>YEAR(tblSales[[#This Row],[Month]])</f>
        <v>2024</v>
      </c>
      <c r="P346" s="8">
        <f>MONTH(tblSales[[#This Row],[Month]])</f>
        <v>8</v>
      </c>
      <c r="Q346" s="6">
        <f>IFERROR(tblSales[[#This Row],[NetSalesTRY]]/tblSales[[#This Row],[Units]],0)</f>
        <v>927.64884353741502</v>
      </c>
      <c r="R346" s="17">
        <f>IFERROR(tblSales[[#This Row],[NetSalesTRY]]/tblSales[[#This Row],[TargetTRY]],0)</f>
        <v>0.98916228929021033</v>
      </c>
      <c r="S346" s="6">
        <f>tblSales[[#This Row],[NetSalesTRY]]-tblSales[[#This Row],[TargetTRY]]</f>
        <v>-1494.070000000007</v>
      </c>
      <c r="T346" s="6">
        <f>MAX(tblSales[[#This Row],[TargetTRY]]-tblSales[[#This Row],[NetSalesTRY]],0)</f>
        <v>1494.070000000007</v>
      </c>
    </row>
    <row r="347" spans="1:20">
      <c r="A347" t="s">
        <v>735</v>
      </c>
      <c r="B347" s="15">
        <v>45505</v>
      </c>
      <c r="C347" t="s">
        <v>19</v>
      </c>
      <c r="D347" t="s">
        <v>20</v>
      </c>
      <c r="E347" t="s">
        <v>40</v>
      </c>
      <c r="F347" t="s">
        <v>38</v>
      </c>
      <c r="G347" t="s">
        <v>8</v>
      </c>
      <c r="H347" s="8">
        <v>173</v>
      </c>
      <c r="I347" s="9">
        <v>130148.41</v>
      </c>
      <c r="J347" s="9">
        <v>9470.5400000000009</v>
      </c>
      <c r="K347" s="9">
        <v>862.33</v>
      </c>
      <c r="L347" s="9">
        <v>119815.55</v>
      </c>
      <c r="M347" s="9">
        <v>127998.41</v>
      </c>
      <c r="N347" s="6" t="str">
        <f>_xlfn.XLOOKUP(tblSales[[#This Row],[ProductID]],tblProducts[ProductID],tblProducts[ProductName],"Not Found")</f>
        <v>GlucoRelief</v>
      </c>
      <c r="O347" s="8">
        <f>YEAR(tblSales[[#This Row],[Month]])</f>
        <v>2024</v>
      </c>
      <c r="P347" s="8">
        <f>MONTH(tblSales[[#This Row],[Month]])</f>
        <v>8</v>
      </c>
      <c r="Q347" s="6">
        <f>IFERROR(tblSales[[#This Row],[NetSalesTRY]]/tblSales[[#This Row],[Units]],0)</f>
        <v>692.57543352601158</v>
      </c>
      <c r="R347" s="17">
        <f>IFERROR(tblSales[[#This Row],[NetSalesTRY]]/tblSales[[#This Row],[TargetTRY]],0)</f>
        <v>0.93607061212713505</v>
      </c>
      <c r="S347" s="6">
        <f>tblSales[[#This Row],[NetSalesTRY]]-tblSales[[#This Row],[TargetTRY]]</f>
        <v>-8182.8600000000006</v>
      </c>
      <c r="T347" s="6">
        <f>MAX(tblSales[[#This Row],[TargetTRY]]-tblSales[[#This Row],[NetSalesTRY]],0)</f>
        <v>8182.8600000000006</v>
      </c>
    </row>
    <row r="348" spans="1:20">
      <c r="A348" t="s">
        <v>736</v>
      </c>
      <c r="B348" s="15">
        <v>45505</v>
      </c>
      <c r="C348" t="s">
        <v>19</v>
      </c>
      <c r="D348" t="s">
        <v>20</v>
      </c>
      <c r="E348" t="s">
        <v>40</v>
      </c>
      <c r="F348" t="s">
        <v>38</v>
      </c>
      <c r="G348" t="s">
        <v>11</v>
      </c>
      <c r="H348" s="8">
        <v>225</v>
      </c>
      <c r="I348" s="9">
        <v>138400.29999999999</v>
      </c>
      <c r="J348" s="9">
        <v>9913.2199999999993</v>
      </c>
      <c r="K348" s="9">
        <v>787.58</v>
      </c>
      <c r="L348" s="9">
        <v>127699.51</v>
      </c>
      <c r="M348" s="9">
        <v>128371.47</v>
      </c>
      <c r="N348" s="6" t="str">
        <f>_xlfn.XLOOKUP(tblSales[[#This Row],[ProductID]],tblProducts[ProductID],tblProducts[ProductName],"Not Found")</f>
        <v>RespiraX</v>
      </c>
      <c r="O348" s="8">
        <f>YEAR(tblSales[[#This Row],[Month]])</f>
        <v>2024</v>
      </c>
      <c r="P348" s="8">
        <f>MONTH(tblSales[[#This Row],[Month]])</f>
        <v>8</v>
      </c>
      <c r="Q348" s="6">
        <f>IFERROR(tblSales[[#This Row],[NetSalesTRY]]/tblSales[[#This Row],[Units]],0)</f>
        <v>567.55337777777777</v>
      </c>
      <c r="R348" s="17">
        <f>IFERROR(tblSales[[#This Row],[NetSalesTRY]]/tblSales[[#This Row],[TargetTRY]],0)</f>
        <v>0.99476550358113058</v>
      </c>
      <c r="S348" s="6">
        <f>tblSales[[#This Row],[NetSalesTRY]]-tblSales[[#This Row],[TargetTRY]]</f>
        <v>-671.9600000000064</v>
      </c>
      <c r="T348" s="6">
        <f>MAX(tblSales[[#This Row],[TargetTRY]]-tblSales[[#This Row],[NetSalesTRY]],0)</f>
        <v>671.9600000000064</v>
      </c>
    </row>
    <row r="349" spans="1:20">
      <c r="A349" t="s">
        <v>737</v>
      </c>
      <c r="B349" s="15">
        <v>45505</v>
      </c>
      <c r="C349" t="s">
        <v>19</v>
      </c>
      <c r="D349" t="s">
        <v>20</v>
      </c>
      <c r="E349" t="s">
        <v>40</v>
      </c>
      <c r="F349" t="s">
        <v>38</v>
      </c>
      <c r="G349" t="s">
        <v>14</v>
      </c>
      <c r="H349" s="8">
        <v>109</v>
      </c>
      <c r="I349" s="9">
        <v>119847.93</v>
      </c>
      <c r="J349" s="9">
        <v>6845.84</v>
      </c>
      <c r="K349" s="9">
        <v>1295.92</v>
      </c>
      <c r="L349" s="9">
        <v>111706.17</v>
      </c>
      <c r="M349" s="9">
        <v>118992.61</v>
      </c>
      <c r="N349" s="6" t="str">
        <f>_xlfn.XLOOKUP(tblSales[[#This Row],[ProductID]],tblProducts[ProductID],tblProducts[ProductName],"Not Found")</f>
        <v>NeuroCalm</v>
      </c>
      <c r="O349" s="8">
        <f>YEAR(tblSales[[#This Row],[Month]])</f>
        <v>2024</v>
      </c>
      <c r="P349" s="8">
        <f>MONTH(tblSales[[#This Row],[Month]])</f>
        <v>8</v>
      </c>
      <c r="Q349" s="6">
        <f>IFERROR(tblSales[[#This Row],[NetSalesTRY]]/tblSales[[#This Row],[Units]],0)</f>
        <v>1024.827247706422</v>
      </c>
      <c r="R349" s="17">
        <f>IFERROR(tblSales[[#This Row],[NetSalesTRY]]/tblSales[[#This Row],[TargetTRY]],0)</f>
        <v>0.93876560905757089</v>
      </c>
      <c r="S349" s="6">
        <f>tblSales[[#This Row],[NetSalesTRY]]-tblSales[[#This Row],[TargetTRY]]</f>
        <v>-7286.4400000000023</v>
      </c>
      <c r="T349" s="6">
        <f>MAX(tblSales[[#This Row],[TargetTRY]]-tblSales[[#This Row],[NetSalesTRY]],0)</f>
        <v>7286.4400000000023</v>
      </c>
    </row>
    <row r="350" spans="1:20">
      <c r="A350" t="s">
        <v>738</v>
      </c>
      <c r="B350" s="15">
        <v>45505</v>
      </c>
      <c r="C350" t="s">
        <v>21</v>
      </c>
      <c r="D350" t="s">
        <v>22</v>
      </c>
      <c r="E350" t="s">
        <v>43</v>
      </c>
      <c r="F350" t="s">
        <v>41</v>
      </c>
      <c r="G350" t="s">
        <v>5</v>
      </c>
      <c r="H350" s="8">
        <v>112</v>
      </c>
      <c r="I350" s="9">
        <v>109783.02</v>
      </c>
      <c r="J350" s="9">
        <v>7172.97</v>
      </c>
      <c r="K350" s="9">
        <v>1029.96</v>
      </c>
      <c r="L350" s="9">
        <v>101580.09</v>
      </c>
      <c r="M350" s="9">
        <v>100260.66</v>
      </c>
      <c r="N350" s="6" t="str">
        <f>_xlfn.XLOOKUP(tblSales[[#This Row],[ProductID]],tblProducts[ProductID],tblProducts[ProductName],"Not Found")</f>
        <v>Cardiovan</v>
      </c>
      <c r="O350" s="8">
        <f>YEAR(tblSales[[#This Row],[Month]])</f>
        <v>2024</v>
      </c>
      <c r="P350" s="8">
        <f>MONTH(tblSales[[#This Row],[Month]])</f>
        <v>8</v>
      </c>
      <c r="Q350" s="6">
        <f>IFERROR(tblSales[[#This Row],[NetSalesTRY]]/tblSales[[#This Row],[Units]],0)</f>
        <v>906.96508928571427</v>
      </c>
      <c r="R350" s="17">
        <f>IFERROR(tblSales[[#This Row],[NetSalesTRY]]/tblSales[[#This Row],[TargetTRY]],0)</f>
        <v>1.0131599971514251</v>
      </c>
      <c r="S350" s="6">
        <f>tblSales[[#This Row],[NetSalesTRY]]-tblSales[[#This Row],[TargetTRY]]</f>
        <v>1319.429999999993</v>
      </c>
      <c r="T350" s="6">
        <f>MAX(tblSales[[#This Row],[TargetTRY]]-tblSales[[#This Row],[NetSalesTRY]],0)</f>
        <v>0</v>
      </c>
    </row>
    <row r="351" spans="1:20">
      <c r="A351" t="s">
        <v>739</v>
      </c>
      <c r="B351" s="15">
        <v>45505</v>
      </c>
      <c r="C351" t="s">
        <v>21</v>
      </c>
      <c r="D351" t="s">
        <v>22</v>
      </c>
      <c r="E351" t="s">
        <v>43</v>
      </c>
      <c r="F351" t="s">
        <v>41</v>
      </c>
      <c r="G351" t="s">
        <v>8</v>
      </c>
      <c r="H351" s="8">
        <v>126</v>
      </c>
      <c r="I351" s="9">
        <v>96478.05</v>
      </c>
      <c r="J351" s="9">
        <v>6485.89</v>
      </c>
      <c r="K351" s="9">
        <v>408.32</v>
      </c>
      <c r="L351" s="9">
        <v>89583.84</v>
      </c>
      <c r="M351" s="9">
        <v>95044.9</v>
      </c>
      <c r="N351" s="6" t="str">
        <f>_xlfn.XLOOKUP(tblSales[[#This Row],[ProductID]],tblProducts[ProductID],tblProducts[ProductName],"Not Found")</f>
        <v>GlucoRelief</v>
      </c>
      <c r="O351" s="8">
        <f>YEAR(tblSales[[#This Row],[Month]])</f>
        <v>2024</v>
      </c>
      <c r="P351" s="8">
        <f>MONTH(tblSales[[#This Row],[Month]])</f>
        <v>8</v>
      </c>
      <c r="Q351" s="6">
        <f>IFERROR(tblSales[[#This Row],[NetSalesTRY]]/tblSales[[#This Row],[Units]],0)</f>
        <v>710.98285714285714</v>
      </c>
      <c r="R351" s="17">
        <f>IFERROR(tblSales[[#This Row],[NetSalesTRY]]/tblSales[[#This Row],[TargetTRY]],0)</f>
        <v>0.9425423142114937</v>
      </c>
      <c r="S351" s="6">
        <f>tblSales[[#This Row],[NetSalesTRY]]-tblSales[[#This Row],[TargetTRY]]</f>
        <v>-5461.0599999999977</v>
      </c>
      <c r="T351" s="6">
        <f>MAX(tblSales[[#This Row],[TargetTRY]]-tblSales[[#This Row],[NetSalesTRY]],0)</f>
        <v>5461.0599999999977</v>
      </c>
    </row>
    <row r="352" spans="1:20">
      <c r="A352" t="s">
        <v>740</v>
      </c>
      <c r="B352" s="15">
        <v>45505</v>
      </c>
      <c r="C352" t="s">
        <v>21</v>
      </c>
      <c r="D352" t="s">
        <v>22</v>
      </c>
      <c r="E352" t="s">
        <v>43</v>
      </c>
      <c r="F352" t="s">
        <v>41</v>
      </c>
      <c r="G352" t="s">
        <v>11</v>
      </c>
      <c r="H352" s="8">
        <v>153</v>
      </c>
      <c r="I352" s="9">
        <v>94874.82</v>
      </c>
      <c r="J352" s="9">
        <v>4563.21</v>
      </c>
      <c r="K352" s="9">
        <v>695.57</v>
      </c>
      <c r="L352" s="9">
        <v>89616.04</v>
      </c>
      <c r="M352" s="9">
        <v>92941.26</v>
      </c>
      <c r="N352" s="6" t="str">
        <f>_xlfn.XLOOKUP(tblSales[[#This Row],[ProductID]],tblProducts[ProductID],tblProducts[ProductName],"Not Found")</f>
        <v>RespiraX</v>
      </c>
      <c r="O352" s="8">
        <f>YEAR(tblSales[[#This Row],[Month]])</f>
        <v>2024</v>
      </c>
      <c r="P352" s="8">
        <f>MONTH(tblSales[[#This Row],[Month]])</f>
        <v>8</v>
      </c>
      <c r="Q352" s="6">
        <f>IFERROR(tblSales[[#This Row],[NetSalesTRY]]/tblSales[[#This Row],[Units]],0)</f>
        <v>585.72575163398687</v>
      </c>
      <c r="R352" s="17">
        <f>IFERROR(tblSales[[#This Row],[NetSalesTRY]]/tblSales[[#This Row],[TargetTRY]],0)</f>
        <v>0.96422234861029432</v>
      </c>
      <c r="S352" s="6">
        <f>tblSales[[#This Row],[NetSalesTRY]]-tblSales[[#This Row],[TargetTRY]]</f>
        <v>-3325.2200000000012</v>
      </c>
      <c r="T352" s="6">
        <f>MAX(tblSales[[#This Row],[TargetTRY]]-tblSales[[#This Row],[NetSalesTRY]],0)</f>
        <v>3325.2200000000012</v>
      </c>
    </row>
    <row r="353" spans="1:20">
      <c r="A353" t="s">
        <v>741</v>
      </c>
      <c r="B353" s="15">
        <v>45505</v>
      </c>
      <c r="C353" t="s">
        <v>21</v>
      </c>
      <c r="D353" t="s">
        <v>22</v>
      </c>
      <c r="E353" t="s">
        <v>43</v>
      </c>
      <c r="F353" t="s">
        <v>41</v>
      </c>
      <c r="G353" t="s">
        <v>14</v>
      </c>
      <c r="H353" s="8">
        <v>84</v>
      </c>
      <c r="I353" s="9">
        <v>92194.68</v>
      </c>
      <c r="J353" s="9">
        <v>3605.15</v>
      </c>
      <c r="K353" s="9">
        <v>543.44000000000005</v>
      </c>
      <c r="L353" s="9">
        <v>88046.09</v>
      </c>
      <c r="M353" s="9">
        <v>87559.86</v>
      </c>
      <c r="N353" s="6" t="str">
        <f>_xlfn.XLOOKUP(tblSales[[#This Row],[ProductID]],tblProducts[ProductID],tblProducts[ProductName],"Not Found")</f>
        <v>NeuroCalm</v>
      </c>
      <c r="O353" s="8">
        <f>YEAR(tblSales[[#This Row],[Month]])</f>
        <v>2024</v>
      </c>
      <c r="P353" s="8">
        <f>MONTH(tblSales[[#This Row],[Month]])</f>
        <v>8</v>
      </c>
      <c r="Q353" s="6">
        <f>IFERROR(tblSales[[#This Row],[NetSalesTRY]]/tblSales[[#This Row],[Units]],0)</f>
        <v>1048.1677380952381</v>
      </c>
      <c r="R353" s="17">
        <f>IFERROR(tblSales[[#This Row],[NetSalesTRY]]/tblSales[[#This Row],[TargetTRY]],0)</f>
        <v>1.0055531153201935</v>
      </c>
      <c r="S353" s="6">
        <f>tblSales[[#This Row],[NetSalesTRY]]-tblSales[[#This Row],[TargetTRY]]</f>
        <v>486.22999999999593</v>
      </c>
      <c r="T353" s="6">
        <f>MAX(tblSales[[#This Row],[TargetTRY]]-tblSales[[#This Row],[NetSalesTRY]],0)</f>
        <v>0</v>
      </c>
    </row>
    <row r="354" spans="1:20">
      <c r="A354" t="s">
        <v>742</v>
      </c>
      <c r="B354" s="15">
        <v>45505</v>
      </c>
      <c r="C354" t="s">
        <v>21</v>
      </c>
      <c r="D354" t="s">
        <v>22</v>
      </c>
      <c r="E354" t="s">
        <v>46</v>
      </c>
      <c r="F354" t="s">
        <v>44</v>
      </c>
      <c r="G354" t="s">
        <v>5</v>
      </c>
      <c r="H354" s="8">
        <v>92</v>
      </c>
      <c r="I354" s="9">
        <v>89246.74</v>
      </c>
      <c r="J354" s="9">
        <v>6442.69</v>
      </c>
      <c r="K354" s="9">
        <v>1192.08</v>
      </c>
      <c r="L354" s="9">
        <v>81611.97</v>
      </c>
      <c r="M354" s="9">
        <v>89996.15</v>
      </c>
      <c r="N354" s="6" t="str">
        <f>_xlfn.XLOOKUP(tblSales[[#This Row],[ProductID]],tblProducts[ProductID],tblProducts[ProductName],"Not Found")</f>
        <v>Cardiovan</v>
      </c>
      <c r="O354" s="8">
        <f>YEAR(tblSales[[#This Row],[Month]])</f>
        <v>2024</v>
      </c>
      <c r="P354" s="8">
        <f>MONTH(tblSales[[#This Row],[Month]])</f>
        <v>8</v>
      </c>
      <c r="Q354" s="6">
        <f>IFERROR(tblSales[[#This Row],[NetSalesTRY]]/tblSales[[#This Row],[Units]],0)</f>
        <v>887.08663043478259</v>
      </c>
      <c r="R354" s="17">
        <f>IFERROR(tblSales[[#This Row],[NetSalesTRY]]/tblSales[[#This Row],[TargetTRY]],0)</f>
        <v>0.90683845920075479</v>
      </c>
      <c r="S354" s="6">
        <f>tblSales[[#This Row],[NetSalesTRY]]-tblSales[[#This Row],[TargetTRY]]</f>
        <v>-8384.179999999993</v>
      </c>
      <c r="T354" s="6">
        <f>MAX(tblSales[[#This Row],[TargetTRY]]-tblSales[[#This Row],[NetSalesTRY]],0)</f>
        <v>8384.179999999993</v>
      </c>
    </row>
    <row r="355" spans="1:20">
      <c r="A355" t="s">
        <v>743</v>
      </c>
      <c r="B355" s="15">
        <v>45505</v>
      </c>
      <c r="C355" t="s">
        <v>21</v>
      </c>
      <c r="D355" t="s">
        <v>22</v>
      </c>
      <c r="E355" t="s">
        <v>46</v>
      </c>
      <c r="F355" t="s">
        <v>44</v>
      </c>
      <c r="G355" t="s">
        <v>8</v>
      </c>
      <c r="H355" s="8">
        <v>114</v>
      </c>
      <c r="I355" s="9">
        <v>86160.91</v>
      </c>
      <c r="J355" s="9">
        <v>3129.82</v>
      </c>
      <c r="K355" s="9">
        <v>1022.54</v>
      </c>
      <c r="L355" s="9">
        <v>82008.55</v>
      </c>
      <c r="M355" s="9">
        <v>82753.38</v>
      </c>
      <c r="N355" s="6" t="str">
        <f>_xlfn.XLOOKUP(tblSales[[#This Row],[ProductID]],tblProducts[ProductID],tblProducts[ProductName],"Not Found")</f>
        <v>GlucoRelief</v>
      </c>
      <c r="O355" s="8">
        <f>YEAR(tblSales[[#This Row],[Month]])</f>
        <v>2024</v>
      </c>
      <c r="P355" s="8">
        <f>MONTH(tblSales[[#This Row],[Month]])</f>
        <v>8</v>
      </c>
      <c r="Q355" s="6">
        <f>IFERROR(tblSales[[#This Row],[NetSalesTRY]]/tblSales[[#This Row],[Units]],0)</f>
        <v>719.37324561403511</v>
      </c>
      <c r="R355" s="17">
        <f>IFERROR(tblSales[[#This Row],[NetSalesTRY]]/tblSales[[#This Row],[TargetTRY]],0)</f>
        <v>0.9909994008703934</v>
      </c>
      <c r="S355" s="6">
        <f>tblSales[[#This Row],[NetSalesTRY]]-tblSales[[#This Row],[TargetTRY]]</f>
        <v>-744.83000000000175</v>
      </c>
      <c r="T355" s="6">
        <f>MAX(tblSales[[#This Row],[TargetTRY]]-tblSales[[#This Row],[NetSalesTRY]],0)</f>
        <v>744.83000000000175</v>
      </c>
    </row>
    <row r="356" spans="1:20">
      <c r="A356" t="s">
        <v>744</v>
      </c>
      <c r="B356" s="15">
        <v>45505</v>
      </c>
      <c r="C356" t="s">
        <v>21</v>
      </c>
      <c r="D356" t="s">
        <v>22</v>
      </c>
      <c r="E356" t="s">
        <v>46</v>
      </c>
      <c r="F356" t="s">
        <v>44</v>
      </c>
      <c r="G356" t="s">
        <v>11</v>
      </c>
      <c r="H356" s="8">
        <v>133</v>
      </c>
      <c r="I356" s="9">
        <v>81359.02</v>
      </c>
      <c r="J356" s="9">
        <v>3347.12</v>
      </c>
      <c r="K356" s="9">
        <v>1107.7</v>
      </c>
      <c r="L356" s="9">
        <v>76904.2</v>
      </c>
      <c r="M356" s="9">
        <v>81980.45</v>
      </c>
      <c r="N356" s="6" t="str">
        <f>_xlfn.XLOOKUP(tblSales[[#This Row],[ProductID]],tblProducts[ProductID],tblProducts[ProductName],"Not Found")</f>
        <v>RespiraX</v>
      </c>
      <c r="O356" s="8">
        <f>YEAR(tblSales[[#This Row],[Month]])</f>
        <v>2024</v>
      </c>
      <c r="P356" s="8">
        <f>MONTH(tblSales[[#This Row],[Month]])</f>
        <v>8</v>
      </c>
      <c r="Q356" s="6">
        <f>IFERROR(tblSales[[#This Row],[NetSalesTRY]]/tblSales[[#This Row],[Units]],0)</f>
        <v>578.22706766917292</v>
      </c>
      <c r="R356" s="17">
        <f>IFERROR(tblSales[[#This Row],[NetSalesTRY]]/tblSales[[#This Row],[TargetTRY]],0)</f>
        <v>0.93807974950125306</v>
      </c>
      <c r="S356" s="6">
        <f>tblSales[[#This Row],[NetSalesTRY]]-tblSales[[#This Row],[TargetTRY]]</f>
        <v>-5076.25</v>
      </c>
      <c r="T356" s="6">
        <f>MAX(tblSales[[#This Row],[TargetTRY]]-tblSales[[#This Row],[NetSalesTRY]],0)</f>
        <v>5076.25</v>
      </c>
    </row>
    <row r="357" spans="1:20">
      <c r="A357" t="s">
        <v>745</v>
      </c>
      <c r="B357" s="15">
        <v>45505</v>
      </c>
      <c r="C357" t="s">
        <v>21</v>
      </c>
      <c r="D357" t="s">
        <v>22</v>
      </c>
      <c r="E357" t="s">
        <v>46</v>
      </c>
      <c r="F357" t="s">
        <v>44</v>
      </c>
      <c r="G357" t="s">
        <v>14</v>
      </c>
      <c r="H357" s="8">
        <v>71</v>
      </c>
      <c r="I357" s="9">
        <v>79033.02</v>
      </c>
      <c r="J357" s="9">
        <v>4795.46</v>
      </c>
      <c r="K357" s="9">
        <v>550.08000000000004</v>
      </c>
      <c r="L357" s="9">
        <v>73687.490000000005</v>
      </c>
      <c r="M357" s="9">
        <v>75727.69</v>
      </c>
      <c r="N357" s="6" t="str">
        <f>_xlfn.XLOOKUP(tblSales[[#This Row],[ProductID]],tblProducts[ProductID],tblProducts[ProductName],"Not Found")</f>
        <v>NeuroCalm</v>
      </c>
      <c r="O357" s="8">
        <f>YEAR(tblSales[[#This Row],[Month]])</f>
        <v>2024</v>
      </c>
      <c r="P357" s="8">
        <f>MONTH(tblSales[[#This Row],[Month]])</f>
        <v>8</v>
      </c>
      <c r="Q357" s="6">
        <f>IFERROR(tblSales[[#This Row],[NetSalesTRY]]/tblSales[[#This Row],[Units]],0)</f>
        <v>1037.851971830986</v>
      </c>
      <c r="R357" s="17">
        <f>IFERROR(tblSales[[#This Row],[NetSalesTRY]]/tblSales[[#This Row],[TargetTRY]],0)</f>
        <v>0.97305873188525893</v>
      </c>
      <c r="S357" s="6">
        <f>tblSales[[#This Row],[NetSalesTRY]]-tblSales[[#This Row],[TargetTRY]]</f>
        <v>-2040.1999999999971</v>
      </c>
      <c r="T357" s="6">
        <f>MAX(tblSales[[#This Row],[TargetTRY]]-tblSales[[#This Row],[NetSalesTRY]],0)</f>
        <v>2040.1999999999971</v>
      </c>
    </row>
    <row r="358" spans="1:20">
      <c r="A358" t="s">
        <v>746</v>
      </c>
      <c r="B358" s="15">
        <v>45505</v>
      </c>
      <c r="C358" t="s">
        <v>21</v>
      </c>
      <c r="D358" t="s">
        <v>22</v>
      </c>
      <c r="E358" t="s">
        <v>49</v>
      </c>
      <c r="F358" t="s">
        <v>47</v>
      </c>
      <c r="G358" t="s">
        <v>5</v>
      </c>
      <c r="H358" s="8">
        <v>111</v>
      </c>
      <c r="I358" s="9">
        <v>107322.64</v>
      </c>
      <c r="J358" s="9">
        <v>5313.2</v>
      </c>
      <c r="K358" s="9">
        <v>1114.74</v>
      </c>
      <c r="L358" s="9">
        <v>100894.71</v>
      </c>
      <c r="M358" s="9">
        <v>101974.5</v>
      </c>
      <c r="N358" s="6" t="str">
        <f>_xlfn.XLOOKUP(tblSales[[#This Row],[ProductID]],tblProducts[ProductID],tblProducts[ProductName],"Not Found")</f>
        <v>Cardiovan</v>
      </c>
      <c r="O358" s="8">
        <f>YEAR(tblSales[[#This Row],[Month]])</f>
        <v>2024</v>
      </c>
      <c r="P358" s="8">
        <f>MONTH(tblSales[[#This Row],[Month]])</f>
        <v>8</v>
      </c>
      <c r="Q358" s="6">
        <f>IFERROR(tblSales[[#This Row],[NetSalesTRY]]/tblSales[[#This Row],[Units]],0)</f>
        <v>908.96135135135137</v>
      </c>
      <c r="R358" s="17">
        <f>IFERROR(tblSales[[#This Row],[NetSalesTRY]]/tblSales[[#This Row],[TargetTRY]],0)</f>
        <v>0.98941117632349274</v>
      </c>
      <c r="S358" s="6">
        <f>tblSales[[#This Row],[NetSalesTRY]]-tblSales[[#This Row],[TargetTRY]]</f>
        <v>-1079.7899999999936</v>
      </c>
      <c r="T358" s="6">
        <f>MAX(tblSales[[#This Row],[TargetTRY]]-tblSales[[#This Row],[NetSalesTRY]],0)</f>
        <v>1079.7899999999936</v>
      </c>
    </row>
    <row r="359" spans="1:20">
      <c r="A359" t="s">
        <v>747</v>
      </c>
      <c r="B359" s="15">
        <v>45505</v>
      </c>
      <c r="C359" t="s">
        <v>21</v>
      </c>
      <c r="D359" t="s">
        <v>22</v>
      </c>
      <c r="E359" t="s">
        <v>49</v>
      </c>
      <c r="F359" t="s">
        <v>47</v>
      </c>
      <c r="G359" t="s">
        <v>8</v>
      </c>
      <c r="H359" s="8">
        <v>130</v>
      </c>
      <c r="I359" s="9">
        <v>99182.67</v>
      </c>
      <c r="J359" s="9">
        <v>7025.13</v>
      </c>
      <c r="K359" s="9">
        <v>419.56</v>
      </c>
      <c r="L359" s="9">
        <v>91737.97</v>
      </c>
      <c r="M359" s="9">
        <v>93550.15</v>
      </c>
      <c r="N359" s="6" t="str">
        <f>_xlfn.XLOOKUP(tblSales[[#This Row],[ProductID]],tblProducts[ProductID],tblProducts[ProductName],"Not Found")</f>
        <v>GlucoRelief</v>
      </c>
      <c r="O359" s="8">
        <f>YEAR(tblSales[[#This Row],[Month]])</f>
        <v>2024</v>
      </c>
      <c r="P359" s="8">
        <f>MONTH(tblSales[[#This Row],[Month]])</f>
        <v>8</v>
      </c>
      <c r="Q359" s="6">
        <f>IFERROR(tblSales[[#This Row],[NetSalesTRY]]/tblSales[[#This Row],[Units]],0)</f>
        <v>705.67669230769229</v>
      </c>
      <c r="R359" s="17">
        <f>IFERROR(tblSales[[#This Row],[NetSalesTRY]]/tblSales[[#This Row],[TargetTRY]],0)</f>
        <v>0.9806287857368482</v>
      </c>
      <c r="S359" s="6">
        <f>tblSales[[#This Row],[NetSalesTRY]]-tblSales[[#This Row],[TargetTRY]]</f>
        <v>-1812.179999999993</v>
      </c>
      <c r="T359" s="6">
        <f>MAX(tblSales[[#This Row],[TargetTRY]]-tblSales[[#This Row],[NetSalesTRY]],0)</f>
        <v>1812.179999999993</v>
      </c>
    </row>
    <row r="360" spans="1:20">
      <c r="A360" t="s">
        <v>748</v>
      </c>
      <c r="B360" s="15">
        <v>45505</v>
      </c>
      <c r="C360" t="s">
        <v>21</v>
      </c>
      <c r="D360" t="s">
        <v>22</v>
      </c>
      <c r="E360" t="s">
        <v>49</v>
      </c>
      <c r="F360" t="s">
        <v>47</v>
      </c>
      <c r="G360" t="s">
        <v>11</v>
      </c>
      <c r="H360" s="8">
        <v>151</v>
      </c>
      <c r="I360" s="9">
        <v>94559.63</v>
      </c>
      <c r="J360" s="9">
        <v>6187.75</v>
      </c>
      <c r="K360" s="9">
        <v>1211.99</v>
      </c>
      <c r="L360" s="9">
        <v>87159.89</v>
      </c>
      <c r="M360" s="9">
        <v>92867.87</v>
      </c>
      <c r="N360" s="6" t="str">
        <f>_xlfn.XLOOKUP(tblSales[[#This Row],[ProductID]],tblProducts[ProductID],tblProducts[ProductName],"Not Found")</f>
        <v>RespiraX</v>
      </c>
      <c r="O360" s="8">
        <f>YEAR(tblSales[[#This Row],[Month]])</f>
        <v>2024</v>
      </c>
      <c r="P360" s="8">
        <f>MONTH(tblSales[[#This Row],[Month]])</f>
        <v>8</v>
      </c>
      <c r="Q360" s="6">
        <f>IFERROR(tblSales[[#This Row],[NetSalesTRY]]/tblSales[[#This Row],[Units]],0)</f>
        <v>577.21781456953647</v>
      </c>
      <c r="R360" s="17">
        <f>IFERROR(tblSales[[#This Row],[NetSalesTRY]]/tblSales[[#This Row],[TargetTRY]],0)</f>
        <v>0.9385365466011012</v>
      </c>
      <c r="S360" s="6">
        <f>tblSales[[#This Row],[NetSalesTRY]]-tblSales[[#This Row],[TargetTRY]]</f>
        <v>-5707.9799999999959</v>
      </c>
      <c r="T360" s="6">
        <f>MAX(tblSales[[#This Row],[TargetTRY]]-tblSales[[#This Row],[NetSalesTRY]],0)</f>
        <v>5707.9799999999959</v>
      </c>
    </row>
    <row r="361" spans="1:20">
      <c r="A361" t="s">
        <v>749</v>
      </c>
      <c r="B361" s="15">
        <v>45505</v>
      </c>
      <c r="C361" t="s">
        <v>21</v>
      </c>
      <c r="D361" t="s">
        <v>22</v>
      </c>
      <c r="E361" t="s">
        <v>49</v>
      </c>
      <c r="F361" t="s">
        <v>47</v>
      </c>
      <c r="G361" t="s">
        <v>14</v>
      </c>
      <c r="H361" s="8">
        <v>86</v>
      </c>
      <c r="I361" s="9">
        <v>94595.27</v>
      </c>
      <c r="J361" s="9">
        <v>3664.59</v>
      </c>
      <c r="K361" s="9">
        <v>1007.44</v>
      </c>
      <c r="L361" s="9">
        <v>89923.25</v>
      </c>
      <c r="M361" s="9">
        <v>85663.85</v>
      </c>
      <c r="N361" s="6" t="str">
        <f>_xlfn.XLOOKUP(tblSales[[#This Row],[ProductID]],tblProducts[ProductID],tblProducts[ProductName],"Not Found")</f>
        <v>NeuroCalm</v>
      </c>
      <c r="O361" s="8">
        <f>YEAR(tblSales[[#This Row],[Month]])</f>
        <v>2024</v>
      </c>
      <c r="P361" s="8">
        <f>MONTH(tblSales[[#This Row],[Month]])</f>
        <v>8</v>
      </c>
      <c r="Q361" s="6">
        <f>IFERROR(tblSales[[#This Row],[NetSalesTRY]]/tblSales[[#This Row],[Units]],0)</f>
        <v>1045.6191860465117</v>
      </c>
      <c r="R361" s="17">
        <f>IFERROR(tblSales[[#This Row],[NetSalesTRY]]/tblSales[[#This Row],[TargetTRY]],0)</f>
        <v>1.0497222574049614</v>
      </c>
      <c r="S361" s="6">
        <f>tblSales[[#This Row],[NetSalesTRY]]-tblSales[[#This Row],[TargetTRY]]</f>
        <v>4259.3999999999942</v>
      </c>
      <c r="T361" s="6">
        <f>MAX(tblSales[[#This Row],[TargetTRY]]-tblSales[[#This Row],[NetSalesTRY]],0)</f>
        <v>0</v>
      </c>
    </row>
    <row r="362" spans="1:20">
      <c r="A362" t="s">
        <v>750</v>
      </c>
      <c r="B362" s="15">
        <v>45505</v>
      </c>
      <c r="C362" t="s">
        <v>23</v>
      </c>
      <c r="D362" t="s">
        <v>24</v>
      </c>
      <c r="E362" t="s">
        <v>52</v>
      </c>
      <c r="F362" t="s">
        <v>50</v>
      </c>
      <c r="G362" t="s">
        <v>5</v>
      </c>
      <c r="H362" s="8">
        <v>107</v>
      </c>
      <c r="I362" s="9">
        <v>103476.68</v>
      </c>
      <c r="J362" s="9">
        <v>4907.6499999999996</v>
      </c>
      <c r="K362" s="9">
        <v>1323.52</v>
      </c>
      <c r="L362" s="9">
        <v>97245.52</v>
      </c>
      <c r="M362" s="9">
        <v>99333.24</v>
      </c>
      <c r="N362" s="6" t="str">
        <f>_xlfn.XLOOKUP(tblSales[[#This Row],[ProductID]],tblProducts[ProductID],tblProducts[ProductName],"Not Found")</f>
        <v>Cardiovan</v>
      </c>
      <c r="O362" s="8">
        <f>YEAR(tblSales[[#This Row],[Month]])</f>
        <v>2024</v>
      </c>
      <c r="P362" s="8">
        <f>MONTH(tblSales[[#This Row],[Month]])</f>
        <v>8</v>
      </c>
      <c r="Q362" s="6">
        <f>IFERROR(tblSales[[#This Row],[NetSalesTRY]]/tblSales[[#This Row],[Units]],0)</f>
        <v>908.83663551401878</v>
      </c>
      <c r="R362" s="17">
        <f>IFERROR(tblSales[[#This Row],[NetSalesTRY]]/tblSales[[#This Row],[TargetTRY]],0)</f>
        <v>0.97898266481592666</v>
      </c>
      <c r="S362" s="6">
        <f>tblSales[[#This Row],[NetSalesTRY]]-tblSales[[#This Row],[TargetTRY]]</f>
        <v>-2087.7200000000012</v>
      </c>
      <c r="T362" s="6">
        <f>MAX(tblSales[[#This Row],[TargetTRY]]-tblSales[[#This Row],[NetSalesTRY]],0)</f>
        <v>2087.7200000000012</v>
      </c>
    </row>
    <row r="363" spans="1:20">
      <c r="A363" t="s">
        <v>751</v>
      </c>
      <c r="B363" s="15">
        <v>45505</v>
      </c>
      <c r="C363" t="s">
        <v>23</v>
      </c>
      <c r="D363" t="s">
        <v>24</v>
      </c>
      <c r="E363" t="s">
        <v>52</v>
      </c>
      <c r="F363" t="s">
        <v>50</v>
      </c>
      <c r="G363" t="s">
        <v>8</v>
      </c>
      <c r="H363" s="8">
        <v>127</v>
      </c>
      <c r="I363" s="9">
        <v>96463.98</v>
      </c>
      <c r="J363" s="9">
        <v>3682.46</v>
      </c>
      <c r="K363" s="9">
        <v>562.66999999999996</v>
      </c>
      <c r="L363" s="9">
        <v>92218.85</v>
      </c>
      <c r="M363" s="9">
        <v>93139.77</v>
      </c>
      <c r="N363" s="6" t="str">
        <f>_xlfn.XLOOKUP(tblSales[[#This Row],[ProductID]],tblProducts[ProductID],tblProducts[ProductName],"Not Found")</f>
        <v>GlucoRelief</v>
      </c>
      <c r="O363" s="8">
        <f>YEAR(tblSales[[#This Row],[Month]])</f>
        <v>2024</v>
      </c>
      <c r="P363" s="8">
        <f>MONTH(tblSales[[#This Row],[Month]])</f>
        <v>8</v>
      </c>
      <c r="Q363" s="6">
        <f>IFERROR(tblSales[[#This Row],[NetSalesTRY]]/tblSales[[#This Row],[Units]],0)</f>
        <v>726.13267716535438</v>
      </c>
      <c r="R363" s="17">
        <f>IFERROR(tblSales[[#This Row],[NetSalesTRY]]/tblSales[[#This Row],[TargetTRY]],0)</f>
        <v>0.99011249437270465</v>
      </c>
      <c r="S363" s="6">
        <f>tblSales[[#This Row],[NetSalesTRY]]-tblSales[[#This Row],[TargetTRY]]</f>
        <v>-920.91999999999825</v>
      </c>
      <c r="T363" s="6">
        <f>MAX(tblSales[[#This Row],[TargetTRY]]-tblSales[[#This Row],[NetSalesTRY]],0)</f>
        <v>920.91999999999825</v>
      </c>
    </row>
    <row r="364" spans="1:20">
      <c r="A364" t="s">
        <v>752</v>
      </c>
      <c r="B364" s="15">
        <v>45505</v>
      </c>
      <c r="C364" t="s">
        <v>23</v>
      </c>
      <c r="D364" t="s">
        <v>24</v>
      </c>
      <c r="E364" t="s">
        <v>52</v>
      </c>
      <c r="F364" t="s">
        <v>50</v>
      </c>
      <c r="G364" t="s">
        <v>11</v>
      </c>
      <c r="H364" s="8">
        <v>157</v>
      </c>
      <c r="I364" s="9">
        <v>96207.5</v>
      </c>
      <c r="J364" s="9">
        <v>3734.54</v>
      </c>
      <c r="K364" s="9">
        <v>1066.95</v>
      </c>
      <c r="L364" s="9">
        <v>91406.02</v>
      </c>
      <c r="M364" s="9">
        <v>92005.2</v>
      </c>
      <c r="N364" s="6" t="str">
        <f>_xlfn.XLOOKUP(tblSales[[#This Row],[ProductID]],tblProducts[ProductID],tblProducts[ProductName],"Not Found")</f>
        <v>RespiraX</v>
      </c>
      <c r="O364" s="8">
        <f>YEAR(tblSales[[#This Row],[Month]])</f>
        <v>2024</v>
      </c>
      <c r="P364" s="8">
        <f>MONTH(tblSales[[#This Row],[Month]])</f>
        <v>8</v>
      </c>
      <c r="Q364" s="6">
        <f>IFERROR(tblSales[[#This Row],[NetSalesTRY]]/tblSales[[#This Row],[Units]],0)</f>
        <v>582.20394904458601</v>
      </c>
      <c r="R364" s="17">
        <f>IFERROR(tblSales[[#This Row],[NetSalesTRY]]/tblSales[[#This Row],[TargetTRY]],0)</f>
        <v>0.99348754200849521</v>
      </c>
      <c r="S364" s="6">
        <f>tblSales[[#This Row],[NetSalesTRY]]-tblSales[[#This Row],[TargetTRY]]</f>
        <v>-599.17999999999302</v>
      </c>
      <c r="T364" s="6">
        <f>MAX(tblSales[[#This Row],[TargetTRY]]-tblSales[[#This Row],[NetSalesTRY]],0)</f>
        <v>599.17999999999302</v>
      </c>
    </row>
    <row r="365" spans="1:20">
      <c r="A365" t="s">
        <v>753</v>
      </c>
      <c r="B365" s="15">
        <v>45505</v>
      </c>
      <c r="C365" t="s">
        <v>23</v>
      </c>
      <c r="D365" t="s">
        <v>24</v>
      </c>
      <c r="E365" t="s">
        <v>52</v>
      </c>
      <c r="F365" t="s">
        <v>50</v>
      </c>
      <c r="G365" t="s">
        <v>14</v>
      </c>
      <c r="H365" s="8">
        <v>83</v>
      </c>
      <c r="I365" s="9">
        <v>91256.83</v>
      </c>
      <c r="J365" s="9">
        <v>4138.46</v>
      </c>
      <c r="K365" s="9">
        <v>1241.18</v>
      </c>
      <c r="L365" s="9">
        <v>85877.19</v>
      </c>
      <c r="M365" s="9">
        <v>87105.43</v>
      </c>
      <c r="N365" s="6" t="str">
        <f>_xlfn.XLOOKUP(tblSales[[#This Row],[ProductID]],tblProducts[ProductID],tblProducts[ProductName],"Not Found")</f>
        <v>NeuroCalm</v>
      </c>
      <c r="O365" s="8">
        <f>YEAR(tblSales[[#This Row],[Month]])</f>
        <v>2024</v>
      </c>
      <c r="P365" s="8">
        <f>MONTH(tblSales[[#This Row],[Month]])</f>
        <v>8</v>
      </c>
      <c r="Q365" s="6">
        <f>IFERROR(tblSales[[#This Row],[NetSalesTRY]]/tblSales[[#This Row],[Units]],0)</f>
        <v>1034.6649397590361</v>
      </c>
      <c r="R365" s="17">
        <f>IFERROR(tblSales[[#This Row],[NetSalesTRY]]/tblSales[[#This Row],[TargetTRY]],0)</f>
        <v>0.98589938652504228</v>
      </c>
      <c r="S365" s="6">
        <f>tblSales[[#This Row],[NetSalesTRY]]-tblSales[[#This Row],[TargetTRY]]</f>
        <v>-1228.2399999999907</v>
      </c>
      <c r="T365" s="6">
        <f>MAX(tblSales[[#This Row],[TargetTRY]]-tblSales[[#This Row],[NetSalesTRY]],0)</f>
        <v>1228.2399999999907</v>
      </c>
    </row>
    <row r="366" spans="1:20">
      <c r="A366" t="s">
        <v>754</v>
      </c>
      <c r="B366" s="15">
        <v>45505</v>
      </c>
      <c r="C366" t="s">
        <v>23</v>
      </c>
      <c r="D366" t="s">
        <v>24</v>
      </c>
      <c r="E366" t="s">
        <v>55</v>
      </c>
      <c r="F366" t="s">
        <v>53</v>
      </c>
      <c r="G366" t="s">
        <v>5</v>
      </c>
      <c r="H366" s="8">
        <v>117</v>
      </c>
      <c r="I366" s="9">
        <v>113233.76</v>
      </c>
      <c r="J366" s="9">
        <v>6943.94</v>
      </c>
      <c r="K366" s="9">
        <v>565.87</v>
      </c>
      <c r="L366" s="9">
        <v>105723.94</v>
      </c>
      <c r="M366" s="9">
        <v>101308.74</v>
      </c>
      <c r="N366" s="6" t="str">
        <f>_xlfn.XLOOKUP(tblSales[[#This Row],[ProductID]],tblProducts[ProductID],tblProducts[ProductName],"Not Found")</f>
        <v>Cardiovan</v>
      </c>
      <c r="O366" s="8">
        <f>YEAR(tblSales[[#This Row],[Month]])</f>
        <v>2024</v>
      </c>
      <c r="P366" s="8">
        <f>MONTH(tblSales[[#This Row],[Month]])</f>
        <v>8</v>
      </c>
      <c r="Q366" s="6">
        <f>IFERROR(tblSales[[#This Row],[NetSalesTRY]]/tblSales[[#This Row],[Units]],0)</f>
        <v>903.62341880341887</v>
      </c>
      <c r="R366" s="17">
        <f>IFERROR(tblSales[[#This Row],[NetSalesTRY]]/tblSales[[#This Row],[TargetTRY]],0)</f>
        <v>1.0435816297784377</v>
      </c>
      <c r="S366" s="6">
        <f>tblSales[[#This Row],[NetSalesTRY]]-tblSales[[#This Row],[TargetTRY]]</f>
        <v>4415.1999999999971</v>
      </c>
      <c r="T366" s="6">
        <f>MAX(tblSales[[#This Row],[TargetTRY]]-tblSales[[#This Row],[NetSalesTRY]],0)</f>
        <v>0</v>
      </c>
    </row>
    <row r="367" spans="1:20">
      <c r="A367" t="s">
        <v>755</v>
      </c>
      <c r="B367" s="15">
        <v>45505</v>
      </c>
      <c r="C367" t="s">
        <v>23</v>
      </c>
      <c r="D367" t="s">
        <v>24</v>
      </c>
      <c r="E367" t="s">
        <v>55</v>
      </c>
      <c r="F367" t="s">
        <v>53</v>
      </c>
      <c r="G367" t="s">
        <v>8</v>
      </c>
      <c r="H367" s="8">
        <v>128</v>
      </c>
      <c r="I367" s="9">
        <v>97544.62</v>
      </c>
      <c r="J367" s="9">
        <v>4357.6400000000003</v>
      </c>
      <c r="K367" s="9">
        <v>1258.67</v>
      </c>
      <c r="L367" s="9">
        <v>91928.31</v>
      </c>
      <c r="M367" s="9">
        <v>94999.24</v>
      </c>
      <c r="N367" s="6" t="str">
        <f>_xlfn.XLOOKUP(tblSales[[#This Row],[ProductID]],tblProducts[ProductID],tblProducts[ProductName],"Not Found")</f>
        <v>GlucoRelief</v>
      </c>
      <c r="O367" s="8">
        <f>YEAR(tblSales[[#This Row],[Month]])</f>
        <v>2024</v>
      </c>
      <c r="P367" s="8">
        <f>MONTH(tblSales[[#This Row],[Month]])</f>
        <v>8</v>
      </c>
      <c r="Q367" s="6">
        <f>IFERROR(tblSales[[#This Row],[NetSalesTRY]]/tblSales[[#This Row],[Units]],0)</f>
        <v>718.18992187499998</v>
      </c>
      <c r="R367" s="17">
        <f>IFERROR(tblSales[[#This Row],[NetSalesTRY]]/tblSales[[#This Row],[TargetTRY]],0)</f>
        <v>0.96767416244593107</v>
      </c>
      <c r="S367" s="6">
        <f>tblSales[[#This Row],[NetSalesTRY]]-tblSales[[#This Row],[TargetTRY]]</f>
        <v>-3070.9300000000076</v>
      </c>
      <c r="T367" s="6">
        <f>MAX(tblSales[[#This Row],[TargetTRY]]-tblSales[[#This Row],[NetSalesTRY]],0)</f>
        <v>3070.9300000000076</v>
      </c>
    </row>
    <row r="368" spans="1:20">
      <c r="A368" t="s">
        <v>756</v>
      </c>
      <c r="B368" s="15">
        <v>45505</v>
      </c>
      <c r="C368" t="s">
        <v>23</v>
      </c>
      <c r="D368" t="s">
        <v>24</v>
      </c>
      <c r="E368" t="s">
        <v>55</v>
      </c>
      <c r="F368" t="s">
        <v>53</v>
      </c>
      <c r="G368" t="s">
        <v>11</v>
      </c>
      <c r="H368" s="8">
        <v>154</v>
      </c>
      <c r="I368" s="9">
        <v>96453.13</v>
      </c>
      <c r="J368" s="9">
        <v>5920.28</v>
      </c>
      <c r="K368" s="9">
        <v>1217.52</v>
      </c>
      <c r="L368" s="9">
        <v>89315.33</v>
      </c>
      <c r="M368" s="9">
        <v>94567.84</v>
      </c>
      <c r="N368" s="6" t="str">
        <f>_xlfn.XLOOKUP(tblSales[[#This Row],[ProductID]],tblProducts[ProductID],tblProducts[ProductName],"Not Found")</f>
        <v>RespiraX</v>
      </c>
      <c r="O368" s="8">
        <f>YEAR(tblSales[[#This Row],[Month]])</f>
        <v>2024</v>
      </c>
      <c r="P368" s="8">
        <f>MONTH(tblSales[[#This Row],[Month]])</f>
        <v>8</v>
      </c>
      <c r="Q368" s="6">
        <f>IFERROR(tblSales[[#This Row],[NetSalesTRY]]/tblSales[[#This Row],[Units]],0)</f>
        <v>579.96967532467534</v>
      </c>
      <c r="R368" s="17">
        <f>IFERROR(tblSales[[#This Row],[NetSalesTRY]]/tblSales[[#This Row],[TargetTRY]],0)</f>
        <v>0.94445775646350816</v>
      </c>
      <c r="S368" s="6">
        <f>tblSales[[#This Row],[NetSalesTRY]]-tblSales[[#This Row],[TargetTRY]]</f>
        <v>-5252.5099999999948</v>
      </c>
      <c r="T368" s="6">
        <f>MAX(tblSales[[#This Row],[TargetTRY]]-tblSales[[#This Row],[NetSalesTRY]],0)</f>
        <v>5252.5099999999948</v>
      </c>
    </row>
    <row r="369" spans="1:20">
      <c r="A369" t="s">
        <v>757</v>
      </c>
      <c r="B369" s="15">
        <v>45505</v>
      </c>
      <c r="C369" t="s">
        <v>23</v>
      </c>
      <c r="D369" t="s">
        <v>24</v>
      </c>
      <c r="E369" t="s">
        <v>55</v>
      </c>
      <c r="F369" t="s">
        <v>53</v>
      </c>
      <c r="G369" t="s">
        <v>14</v>
      </c>
      <c r="H369" s="8">
        <v>81</v>
      </c>
      <c r="I369" s="9">
        <v>88264.16</v>
      </c>
      <c r="J369" s="9">
        <v>4378.3999999999996</v>
      </c>
      <c r="K369" s="9">
        <v>827.13</v>
      </c>
      <c r="L369" s="9">
        <v>83058.64</v>
      </c>
      <c r="M369" s="9">
        <v>88254.81</v>
      </c>
      <c r="N369" s="6" t="str">
        <f>_xlfn.XLOOKUP(tblSales[[#This Row],[ProductID]],tblProducts[ProductID],tblProducts[ProductName],"Not Found")</f>
        <v>NeuroCalm</v>
      </c>
      <c r="O369" s="8">
        <f>YEAR(tblSales[[#This Row],[Month]])</f>
        <v>2024</v>
      </c>
      <c r="P369" s="8">
        <f>MONTH(tblSales[[#This Row],[Month]])</f>
        <v>8</v>
      </c>
      <c r="Q369" s="6">
        <f>IFERROR(tblSales[[#This Row],[NetSalesTRY]]/tblSales[[#This Row],[Units]],0)</f>
        <v>1025.4153086419753</v>
      </c>
      <c r="R369" s="17">
        <f>IFERROR(tblSales[[#This Row],[NetSalesTRY]]/tblSales[[#This Row],[TargetTRY]],0)</f>
        <v>0.94112309572702046</v>
      </c>
      <c r="S369" s="6">
        <f>tblSales[[#This Row],[NetSalesTRY]]-tblSales[[#This Row],[TargetTRY]]</f>
        <v>-5196.1699999999983</v>
      </c>
      <c r="T369" s="6">
        <f>MAX(tblSales[[#This Row],[TargetTRY]]-tblSales[[#This Row],[NetSalesTRY]],0)</f>
        <v>5196.1699999999983</v>
      </c>
    </row>
    <row r="370" spans="1:20">
      <c r="A370" t="s">
        <v>758</v>
      </c>
      <c r="B370" s="15">
        <v>45505</v>
      </c>
      <c r="C370" t="s">
        <v>23</v>
      </c>
      <c r="D370" t="s">
        <v>24</v>
      </c>
      <c r="E370" t="s">
        <v>58</v>
      </c>
      <c r="F370" t="s">
        <v>56</v>
      </c>
      <c r="G370" t="s">
        <v>5</v>
      </c>
      <c r="H370" s="8">
        <v>112</v>
      </c>
      <c r="I370" s="9">
        <v>109473.45</v>
      </c>
      <c r="J370" s="9">
        <v>5542.08</v>
      </c>
      <c r="K370" s="9">
        <v>750.49</v>
      </c>
      <c r="L370" s="9">
        <v>103180.88</v>
      </c>
      <c r="M370" s="9">
        <v>103826.16</v>
      </c>
      <c r="N370" s="6" t="str">
        <f>_xlfn.XLOOKUP(tblSales[[#This Row],[ProductID]],tblProducts[ProductID],tblProducts[ProductName],"Not Found")</f>
        <v>Cardiovan</v>
      </c>
      <c r="O370" s="8">
        <f>YEAR(tblSales[[#This Row],[Month]])</f>
        <v>2024</v>
      </c>
      <c r="P370" s="8">
        <f>MONTH(tblSales[[#This Row],[Month]])</f>
        <v>8</v>
      </c>
      <c r="Q370" s="6">
        <f>IFERROR(tblSales[[#This Row],[NetSalesTRY]]/tblSales[[#This Row],[Units]],0)</f>
        <v>921.25785714285723</v>
      </c>
      <c r="R370" s="17">
        <f>IFERROR(tblSales[[#This Row],[NetSalesTRY]]/tblSales[[#This Row],[TargetTRY]],0)</f>
        <v>0.99378499599715531</v>
      </c>
      <c r="S370" s="6">
        <f>tblSales[[#This Row],[NetSalesTRY]]-tblSales[[#This Row],[TargetTRY]]</f>
        <v>-645.27999999999884</v>
      </c>
      <c r="T370" s="6">
        <f>MAX(tblSales[[#This Row],[TargetTRY]]-tblSales[[#This Row],[NetSalesTRY]],0)</f>
        <v>645.27999999999884</v>
      </c>
    </row>
    <row r="371" spans="1:20">
      <c r="A371" t="s">
        <v>759</v>
      </c>
      <c r="B371" s="15">
        <v>45505</v>
      </c>
      <c r="C371" t="s">
        <v>23</v>
      </c>
      <c r="D371" t="s">
        <v>24</v>
      </c>
      <c r="E371" t="s">
        <v>58</v>
      </c>
      <c r="F371" t="s">
        <v>56</v>
      </c>
      <c r="G371" t="s">
        <v>8</v>
      </c>
      <c r="H371" s="8">
        <v>137</v>
      </c>
      <c r="I371" s="9">
        <v>103094.67</v>
      </c>
      <c r="J371" s="9">
        <v>6301.46</v>
      </c>
      <c r="K371" s="9">
        <v>1320.32</v>
      </c>
      <c r="L371" s="9">
        <v>95472.89</v>
      </c>
      <c r="M371" s="9">
        <v>98675.04</v>
      </c>
      <c r="N371" s="6" t="str">
        <f>_xlfn.XLOOKUP(tblSales[[#This Row],[ProductID]],tblProducts[ProductID],tblProducts[ProductName],"Not Found")</f>
        <v>GlucoRelief</v>
      </c>
      <c r="O371" s="8">
        <f>YEAR(tblSales[[#This Row],[Month]])</f>
        <v>2024</v>
      </c>
      <c r="P371" s="8">
        <f>MONTH(tblSales[[#This Row],[Month]])</f>
        <v>8</v>
      </c>
      <c r="Q371" s="6">
        <f>IFERROR(tblSales[[#This Row],[NetSalesTRY]]/tblSales[[#This Row],[Units]],0)</f>
        <v>696.88240875912413</v>
      </c>
      <c r="R371" s="17">
        <f>IFERROR(tblSales[[#This Row],[NetSalesTRY]]/tblSales[[#This Row],[TargetTRY]],0)</f>
        <v>0.96754853101655702</v>
      </c>
      <c r="S371" s="6">
        <f>tblSales[[#This Row],[NetSalesTRY]]-tblSales[[#This Row],[TargetTRY]]</f>
        <v>-3202.1499999999942</v>
      </c>
      <c r="T371" s="6">
        <f>MAX(tblSales[[#This Row],[TargetTRY]]-tblSales[[#This Row],[NetSalesTRY]],0)</f>
        <v>3202.1499999999942</v>
      </c>
    </row>
    <row r="372" spans="1:20">
      <c r="A372" t="s">
        <v>760</v>
      </c>
      <c r="B372" s="15">
        <v>45505</v>
      </c>
      <c r="C372" t="s">
        <v>23</v>
      </c>
      <c r="D372" t="s">
        <v>24</v>
      </c>
      <c r="E372" t="s">
        <v>58</v>
      </c>
      <c r="F372" t="s">
        <v>56</v>
      </c>
      <c r="G372" t="s">
        <v>11</v>
      </c>
      <c r="H372" s="8">
        <v>172</v>
      </c>
      <c r="I372" s="9">
        <v>106887.78</v>
      </c>
      <c r="J372" s="9">
        <v>7778.8</v>
      </c>
      <c r="K372" s="9">
        <v>1482.62</v>
      </c>
      <c r="L372" s="9">
        <v>97626.36</v>
      </c>
      <c r="M372" s="9">
        <v>94768.81</v>
      </c>
      <c r="N372" s="6" t="str">
        <f>_xlfn.XLOOKUP(tblSales[[#This Row],[ProductID]],tblProducts[ProductID],tblProducts[ProductName],"Not Found")</f>
        <v>RespiraX</v>
      </c>
      <c r="O372" s="8">
        <f>YEAR(tblSales[[#This Row],[Month]])</f>
        <v>2024</v>
      </c>
      <c r="P372" s="8">
        <f>MONTH(tblSales[[#This Row],[Month]])</f>
        <v>8</v>
      </c>
      <c r="Q372" s="6">
        <f>IFERROR(tblSales[[#This Row],[NetSalesTRY]]/tblSales[[#This Row],[Units]],0)</f>
        <v>567.59511627906977</v>
      </c>
      <c r="R372" s="17">
        <f>IFERROR(tblSales[[#This Row],[NetSalesTRY]]/tblSales[[#This Row],[TargetTRY]],0)</f>
        <v>1.0301528530325537</v>
      </c>
      <c r="S372" s="6">
        <f>tblSales[[#This Row],[NetSalesTRY]]-tblSales[[#This Row],[TargetTRY]]</f>
        <v>2857.5500000000029</v>
      </c>
      <c r="T372" s="6">
        <f>MAX(tblSales[[#This Row],[TargetTRY]]-tblSales[[#This Row],[NetSalesTRY]],0)</f>
        <v>0</v>
      </c>
    </row>
    <row r="373" spans="1:20">
      <c r="A373" t="s">
        <v>761</v>
      </c>
      <c r="B373" s="15">
        <v>45505</v>
      </c>
      <c r="C373" t="s">
        <v>23</v>
      </c>
      <c r="D373" t="s">
        <v>24</v>
      </c>
      <c r="E373" t="s">
        <v>58</v>
      </c>
      <c r="F373" t="s">
        <v>56</v>
      </c>
      <c r="G373" t="s">
        <v>14</v>
      </c>
      <c r="H373" s="8">
        <v>85</v>
      </c>
      <c r="I373" s="9">
        <v>92528.639999999999</v>
      </c>
      <c r="J373" s="9">
        <v>4698.22</v>
      </c>
      <c r="K373" s="9">
        <v>1081.99</v>
      </c>
      <c r="L373" s="9">
        <v>86748.43</v>
      </c>
      <c r="M373" s="9">
        <v>89713.17</v>
      </c>
      <c r="N373" s="6" t="str">
        <f>_xlfn.XLOOKUP(tblSales[[#This Row],[ProductID]],tblProducts[ProductID],tblProducts[ProductName],"Not Found")</f>
        <v>NeuroCalm</v>
      </c>
      <c r="O373" s="8">
        <f>YEAR(tblSales[[#This Row],[Month]])</f>
        <v>2024</v>
      </c>
      <c r="P373" s="8">
        <f>MONTH(tblSales[[#This Row],[Month]])</f>
        <v>8</v>
      </c>
      <c r="Q373" s="6">
        <f>IFERROR(tblSales[[#This Row],[NetSalesTRY]]/tblSales[[#This Row],[Units]],0)</f>
        <v>1020.5697647058822</v>
      </c>
      <c r="R373" s="17">
        <f>IFERROR(tblSales[[#This Row],[NetSalesTRY]]/tblSales[[#This Row],[TargetTRY]],0)</f>
        <v>0.96695312405079425</v>
      </c>
      <c r="S373" s="6">
        <f>tblSales[[#This Row],[NetSalesTRY]]-tblSales[[#This Row],[TargetTRY]]</f>
        <v>-2964.7400000000052</v>
      </c>
      <c r="T373" s="6">
        <f>MAX(tblSales[[#This Row],[TargetTRY]]-tblSales[[#This Row],[NetSalesTRY]],0)</f>
        <v>2964.7400000000052</v>
      </c>
    </row>
    <row r="374" spans="1:20">
      <c r="A374" t="s">
        <v>762</v>
      </c>
      <c r="B374" s="15">
        <v>45505</v>
      </c>
      <c r="C374" t="s">
        <v>25</v>
      </c>
      <c r="D374" t="s">
        <v>26</v>
      </c>
      <c r="E374" t="s">
        <v>61</v>
      </c>
      <c r="F374" t="s">
        <v>59</v>
      </c>
      <c r="G374" t="s">
        <v>5</v>
      </c>
      <c r="H374" s="8">
        <v>89</v>
      </c>
      <c r="I374" s="9">
        <v>87285.95</v>
      </c>
      <c r="J374" s="9">
        <v>3832.1</v>
      </c>
      <c r="K374" s="9">
        <v>570.30999999999995</v>
      </c>
      <c r="L374" s="9">
        <v>82883.539999999994</v>
      </c>
      <c r="M374" s="9">
        <v>82274.86</v>
      </c>
      <c r="N374" s="6" t="str">
        <f>_xlfn.XLOOKUP(tblSales[[#This Row],[ProductID]],tblProducts[ProductID],tblProducts[ProductName],"Not Found")</f>
        <v>Cardiovan</v>
      </c>
      <c r="O374" s="8">
        <f>YEAR(tblSales[[#This Row],[Month]])</f>
        <v>2024</v>
      </c>
      <c r="P374" s="8">
        <f>MONTH(tblSales[[#This Row],[Month]])</f>
        <v>8</v>
      </c>
      <c r="Q374" s="6">
        <f>IFERROR(tblSales[[#This Row],[NetSalesTRY]]/tblSales[[#This Row],[Units]],0)</f>
        <v>931.27573033707858</v>
      </c>
      <c r="R374" s="17">
        <f>IFERROR(tblSales[[#This Row],[NetSalesTRY]]/tblSales[[#This Row],[TargetTRY]],0)</f>
        <v>1.0073981286628746</v>
      </c>
      <c r="S374" s="6">
        <f>tblSales[[#This Row],[NetSalesTRY]]-tblSales[[#This Row],[TargetTRY]]</f>
        <v>608.67999999999302</v>
      </c>
      <c r="T374" s="6">
        <f>MAX(tblSales[[#This Row],[TargetTRY]]-tblSales[[#This Row],[NetSalesTRY]],0)</f>
        <v>0</v>
      </c>
    </row>
    <row r="375" spans="1:20">
      <c r="A375" t="s">
        <v>763</v>
      </c>
      <c r="B375" s="15">
        <v>45505</v>
      </c>
      <c r="C375" t="s">
        <v>25</v>
      </c>
      <c r="D375" t="s">
        <v>26</v>
      </c>
      <c r="E375" t="s">
        <v>61</v>
      </c>
      <c r="F375" t="s">
        <v>59</v>
      </c>
      <c r="G375" t="s">
        <v>8</v>
      </c>
      <c r="H375" s="8">
        <v>102</v>
      </c>
      <c r="I375" s="9">
        <v>76385.119999999995</v>
      </c>
      <c r="J375" s="9">
        <v>3287.58</v>
      </c>
      <c r="K375" s="9">
        <v>869.18</v>
      </c>
      <c r="L375" s="9">
        <v>72228.37</v>
      </c>
      <c r="M375" s="9">
        <v>76962.33</v>
      </c>
      <c r="N375" s="6" t="str">
        <f>_xlfn.XLOOKUP(tblSales[[#This Row],[ProductID]],tblProducts[ProductID],tblProducts[ProductName],"Not Found")</f>
        <v>GlucoRelief</v>
      </c>
      <c r="O375" s="8">
        <f>YEAR(tblSales[[#This Row],[Month]])</f>
        <v>2024</v>
      </c>
      <c r="P375" s="8">
        <f>MONTH(tblSales[[#This Row],[Month]])</f>
        <v>8</v>
      </c>
      <c r="Q375" s="6">
        <f>IFERROR(tblSales[[#This Row],[NetSalesTRY]]/tblSales[[#This Row],[Units]],0)</f>
        <v>708.12127450980392</v>
      </c>
      <c r="R375" s="17">
        <f>IFERROR(tblSales[[#This Row],[NetSalesTRY]]/tblSales[[#This Row],[TargetTRY]],0)</f>
        <v>0.93848990798485432</v>
      </c>
      <c r="S375" s="6">
        <f>tblSales[[#This Row],[NetSalesTRY]]-tblSales[[#This Row],[TargetTRY]]</f>
        <v>-4733.9600000000064</v>
      </c>
      <c r="T375" s="6">
        <f>MAX(tblSales[[#This Row],[TargetTRY]]-tblSales[[#This Row],[NetSalesTRY]],0)</f>
        <v>4733.9600000000064</v>
      </c>
    </row>
    <row r="376" spans="1:20">
      <c r="A376" t="s">
        <v>764</v>
      </c>
      <c r="B376" s="15">
        <v>45505</v>
      </c>
      <c r="C376" t="s">
        <v>25</v>
      </c>
      <c r="D376" t="s">
        <v>26</v>
      </c>
      <c r="E376" t="s">
        <v>61</v>
      </c>
      <c r="F376" t="s">
        <v>59</v>
      </c>
      <c r="G376" t="s">
        <v>11</v>
      </c>
      <c r="H376" s="8">
        <v>130</v>
      </c>
      <c r="I376" s="9">
        <v>81554.5</v>
      </c>
      <c r="J376" s="9">
        <v>5134.1400000000003</v>
      </c>
      <c r="K376" s="9">
        <v>1052.7</v>
      </c>
      <c r="L376" s="9">
        <v>75367.649999999994</v>
      </c>
      <c r="M376" s="9">
        <v>74968.990000000005</v>
      </c>
      <c r="N376" s="6" t="str">
        <f>_xlfn.XLOOKUP(tblSales[[#This Row],[ProductID]],tblProducts[ProductID],tblProducts[ProductName],"Not Found")</f>
        <v>RespiraX</v>
      </c>
      <c r="O376" s="8">
        <f>YEAR(tblSales[[#This Row],[Month]])</f>
        <v>2024</v>
      </c>
      <c r="P376" s="8">
        <f>MONTH(tblSales[[#This Row],[Month]])</f>
        <v>8</v>
      </c>
      <c r="Q376" s="6">
        <f>IFERROR(tblSales[[#This Row],[NetSalesTRY]]/tblSales[[#This Row],[Units]],0)</f>
        <v>579.75115384615378</v>
      </c>
      <c r="R376" s="17">
        <f>IFERROR(tblSales[[#This Row],[NetSalesTRY]]/tblSales[[#This Row],[TargetTRY]],0)</f>
        <v>1.0053176653440308</v>
      </c>
      <c r="S376" s="6">
        <f>tblSales[[#This Row],[NetSalesTRY]]-tblSales[[#This Row],[TargetTRY]]</f>
        <v>398.65999999998894</v>
      </c>
      <c r="T376" s="6">
        <f>MAX(tblSales[[#This Row],[TargetTRY]]-tblSales[[#This Row],[NetSalesTRY]],0)</f>
        <v>0</v>
      </c>
    </row>
    <row r="377" spans="1:20">
      <c r="A377" t="s">
        <v>765</v>
      </c>
      <c r="B377" s="15">
        <v>45505</v>
      </c>
      <c r="C377" t="s">
        <v>25</v>
      </c>
      <c r="D377" t="s">
        <v>26</v>
      </c>
      <c r="E377" t="s">
        <v>61</v>
      </c>
      <c r="F377" t="s">
        <v>59</v>
      </c>
      <c r="G377" t="s">
        <v>14</v>
      </c>
      <c r="H377" s="8">
        <v>71</v>
      </c>
      <c r="I377" s="9">
        <v>78151.13</v>
      </c>
      <c r="J377" s="9">
        <v>3158.57</v>
      </c>
      <c r="K377" s="9">
        <v>780.05</v>
      </c>
      <c r="L377" s="9">
        <v>74212.509999999995</v>
      </c>
      <c r="M377" s="9">
        <v>70440</v>
      </c>
      <c r="N377" s="6" t="str">
        <f>_xlfn.XLOOKUP(tblSales[[#This Row],[ProductID]],tblProducts[ProductID],tblProducts[ProductName],"Not Found")</f>
        <v>NeuroCalm</v>
      </c>
      <c r="O377" s="8">
        <f>YEAR(tblSales[[#This Row],[Month]])</f>
        <v>2024</v>
      </c>
      <c r="P377" s="8">
        <f>MONTH(tblSales[[#This Row],[Month]])</f>
        <v>8</v>
      </c>
      <c r="Q377" s="6">
        <f>IFERROR(tblSales[[#This Row],[NetSalesTRY]]/tblSales[[#This Row],[Units]],0)</f>
        <v>1045.2466197183098</v>
      </c>
      <c r="R377" s="17">
        <f>IFERROR(tblSales[[#This Row],[NetSalesTRY]]/tblSales[[#This Row],[TargetTRY]],0)</f>
        <v>1.0535563600227142</v>
      </c>
      <c r="S377" s="6">
        <f>tblSales[[#This Row],[NetSalesTRY]]-tblSales[[#This Row],[TargetTRY]]</f>
        <v>3772.5099999999948</v>
      </c>
      <c r="T377" s="6">
        <f>MAX(tblSales[[#This Row],[TargetTRY]]-tblSales[[#This Row],[NetSalesTRY]],0)</f>
        <v>0</v>
      </c>
    </row>
    <row r="378" spans="1:20">
      <c r="A378" t="s">
        <v>766</v>
      </c>
      <c r="B378" s="15">
        <v>45505</v>
      </c>
      <c r="C378" t="s">
        <v>25</v>
      </c>
      <c r="D378" t="s">
        <v>26</v>
      </c>
      <c r="E378" t="s">
        <v>64</v>
      </c>
      <c r="F378" t="s">
        <v>62</v>
      </c>
      <c r="G378" t="s">
        <v>5</v>
      </c>
      <c r="H378" s="8">
        <v>93</v>
      </c>
      <c r="I378" s="9">
        <v>90567.85</v>
      </c>
      <c r="J378" s="9">
        <v>5448.32</v>
      </c>
      <c r="K378" s="9">
        <v>693.61</v>
      </c>
      <c r="L378" s="9">
        <v>84425.91</v>
      </c>
      <c r="M378" s="9">
        <v>80732.539999999994</v>
      </c>
      <c r="N378" s="6" t="str">
        <f>_xlfn.XLOOKUP(tblSales[[#This Row],[ProductID]],tblProducts[ProductID],tblProducts[ProductName],"Not Found")</f>
        <v>Cardiovan</v>
      </c>
      <c r="O378" s="8">
        <f>YEAR(tblSales[[#This Row],[Month]])</f>
        <v>2024</v>
      </c>
      <c r="P378" s="8">
        <f>MONTH(tblSales[[#This Row],[Month]])</f>
        <v>8</v>
      </c>
      <c r="Q378" s="6">
        <f>IFERROR(tblSales[[#This Row],[NetSalesTRY]]/tblSales[[#This Row],[Units]],0)</f>
        <v>907.80548387096781</v>
      </c>
      <c r="R378" s="17">
        <f>IFERROR(tblSales[[#This Row],[NetSalesTRY]]/tblSales[[#This Row],[TargetTRY]],0)</f>
        <v>1.0457482199866375</v>
      </c>
      <c r="S378" s="6">
        <f>tblSales[[#This Row],[NetSalesTRY]]-tblSales[[#This Row],[TargetTRY]]</f>
        <v>3693.3700000000099</v>
      </c>
      <c r="T378" s="6">
        <f>MAX(tblSales[[#This Row],[TargetTRY]]-tblSales[[#This Row],[NetSalesTRY]],0)</f>
        <v>0</v>
      </c>
    </row>
    <row r="379" spans="1:20">
      <c r="A379" t="s">
        <v>767</v>
      </c>
      <c r="B379" s="15">
        <v>45505</v>
      </c>
      <c r="C379" t="s">
        <v>25</v>
      </c>
      <c r="D379" t="s">
        <v>26</v>
      </c>
      <c r="E379" t="s">
        <v>64</v>
      </c>
      <c r="F379" t="s">
        <v>62</v>
      </c>
      <c r="G379" t="s">
        <v>8</v>
      </c>
      <c r="H379" s="8">
        <v>111</v>
      </c>
      <c r="I379" s="9">
        <v>84971.25</v>
      </c>
      <c r="J379" s="9">
        <v>5769.87</v>
      </c>
      <c r="K379" s="9">
        <v>803.26</v>
      </c>
      <c r="L379" s="9">
        <v>78398.12</v>
      </c>
      <c r="M379" s="9">
        <v>76503.58</v>
      </c>
      <c r="N379" s="6" t="str">
        <f>_xlfn.XLOOKUP(tblSales[[#This Row],[ProductID]],tblProducts[ProductID],tblProducts[ProductName],"Not Found")</f>
        <v>GlucoRelief</v>
      </c>
      <c r="O379" s="8">
        <f>YEAR(tblSales[[#This Row],[Month]])</f>
        <v>2024</v>
      </c>
      <c r="P379" s="8">
        <f>MONTH(tblSales[[#This Row],[Month]])</f>
        <v>8</v>
      </c>
      <c r="Q379" s="6">
        <f>IFERROR(tblSales[[#This Row],[NetSalesTRY]]/tblSales[[#This Row],[Units]],0)</f>
        <v>706.2893693693693</v>
      </c>
      <c r="R379" s="17">
        <f>IFERROR(tblSales[[#This Row],[NetSalesTRY]]/tblSales[[#This Row],[TargetTRY]],0)</f>
        <v>1.0247640698644429</v>
      </c>
      <c r="S379" s="6">
        <f>tblSales[[#This Row],[NetSalesTRY]]-tblSales[[#This Row],[TargetTRY]]</f>
        <v>1894.5399999999936</v>
      </c>
      <c r="T379" s="6">
        <f>MAX(tblSales[[#This Row],[TargetTRY]]-tblSales[[#This Row],[NetSalesTRY]],0)</f>
        <v>0</v>
      </c>
    </row>
    <row r="380" spans="1:20">
      <c r="A380" t="s">
        <v>768</v>
      </c>
      <c r="B380" s="15">
        <v>45505</v>
      </c>
      <c r="C380" t="s">
        <v>25</v>
      </c>
      <c r="D380" t="s">
        <v>26</v>
      </c>
      <c r="E380" t="s">
        <v>64</v>
      </c>
      <c r="F380" t="s">
        <v>62</v>
      </c>
      <c r="G380" t="s">
        <v>11</v>
      </c>
      <c r="H380" s="8">
        <v>124</v>
      </c>
      <c r="I380" s="9">
        <v>77554.009999999995</v>
      </c>
      <c r="J380" s="9">
        <v>3853.51</v>
      </c>
      <c r="K380" s="9">
        <v>517.41999999999996</v>
      </c>
      <c r="L380" s="9">
        <v>73183.070000000007</v>
      </c>
      <c r="M380" s="9">
        <v>74706.3</v>
      </c>
      <c r="N380" s="6" t="str">
        <f>_xlfn.XLOOKUP(tblSales[[#This Row],[ProductID]],tblProducts[ProductID],tblProducts[ProductName],"Not Found")</f>
        <v>RespiraX</v>
      </c>
      <c r="O380" s="8">
        <f>YEAR(tblSales[[#This Row],[Month]])</f>
        <v>2024</v>
      </c>
      <c r="P380" s="8">
        <f>MONTH(tblSales[[#This Row],[Month]])</f>
        <v>8</v>
      </c>
      <c r="Q380" s="6">
        <f>IFERROR(tblSales[[#This Row],[NetSalesTRY]]/tblSales[[#This Row],[Units]],0)</f>
        <v>590.18604838709678</v>
      </c>
      <c r="R380" s="17">
        <f>IFERROR(tblSales[[#This Row],[NetSalesTRY]]/tblSales[[#This Row],[TargetTRY]],0)</f>
        <v>0.97961042107559881</v>
      </c>
      <c r="S380" s="6">
        <f>tblSales[[#This Row],[NetSalesTRY]]-tblSales[[#This Row],[TargetTRY]]</f>
        <v>-1523.2299999999959</v>
      </c>
      <c r="T380" s="6">
        <f>MAX(tblSales[[#This Row],[TargetTRY]]-tblSales[[#This Row],[NetSalesTRY]],0)</f>
        <v>1523.2299999999959</v>
      </c>
    </row>
    <row r="381" spans="1:20">
      <c r="A381" t="s">
        <v>769</v>
      </c>
      <c r="B381" s="15">
        <v>45505</v>
      </c>
      <c r="C381" t="s">
        <v>25</v>
      </c>
      <c r="D381" t="s">
        <v>26</v>
      </c>
      <c r="E381" t="s">
        <v>64</v>
      </c>
      <c r="F381" t="s">
        <v>62</v>
      </c>
      <c r="G381" t="s">
        <v>14</v>
      </c>
      <c r="H381" s="8">
        <v>66</v>
      </c>
      <c r="I381" s="9">
        <v>73575.73</v>
      </c>
      <c r="J381" s="9">
        <v>4125.63</v>
      </c>
      <c r="K381" s="9">
        <v>581.36</v>
      </c>
      <c r="L381" s="9">
        <v>68868.75</v>
      </c>
      <c r="M381" s="9">
        <v>70514.59</v>
      </c>
      <c r="N381" s="6" t="str">
        <f>_xlfn.XLOOKUP(tblSales[[#This Row],[ProductID]],tblProducts[ProductID],tblProducts[ProductName],"Not Found")</f>
        <v>NeuroCalm</v>
      </c>
      <c r="O381" s="8">
        <f>YEAR(tblSales[[#This Row],[Month]])</f>
        <v>2024</v>
      </c>
      <c r="P381" s="8">
        <f>MONTH(tblSales[[#This Row],[Month]])</f>
        <v>8</v>
      </c>
      <c r="Q381" s="6">
        <f>IFERROR(tblSales[[#This Row],[NetSalesTRY]]/tblSales[[#This Row],[Units]],0)</f>
        <v>1043.465909090909</v>
      </c>
      <c r="R381" s="17">
        <f>IFERROR(tblSales[[#This Row],[NetSalesTRY]]/tblSales[[#This Row],[TargetTRY]],0)</f>
        <v>0.97665958208081483</v>
      </c>
      <c r="S381" s="6">
        <f>tblSales[[#This Row],[NetSalesTRY]]-tblSales[[#This Row],[TargetTRY]]</f>
        <v>-1645.8399999999965</v>
      </c>
      <c r="T381" s="6">
        <f>MAX(tblSales[[#This Row],[TargetTRY]]-tblSales[[#This Row],[NetSalesTRY]],0)</f>
        <v>1645.8399999999965</v>
      </c>
    </row>
    <row r="382" spans="1:20">
      <c r="A382" t="s">
        <v>770</v>
      </c>
      <c r="B382" s="15">
        <v>45505</v>
      </c>
      <c r="C382" t="s">
        <v>25</v>
      </c>
      <c r="D382" t="s">
        <v>26</v>
      </c>
      <c r="E382" t="s">
        <v>67</v>
      </c>
      <c r="F382" t="s">
        <v>65</v>
      </c>
      <c r="G382" t="s">
        <v>5</v>
      </c>
      <c r="H382" s="8">
        <v>103</v>
      </c>
      <c r="I382" s="9">
        <v>101608.69</v>
      </c>
      <c r="J382" s="9">
        <v>5256.94</v>
      </c>
      <c r="K382" s="9">
        <v>1146.1500000000001</v>
      </c>
      <c r="L382" s="9">
        <v>95205.6</v>
      </c>
      <c r="M382" s="9">
        <v>90993.41</v>
      </c>
      <c r="N382" s="6" t="str">
        <f>_xlfn.XLOOKUP(tblSales[[#This Row],[ProductID]],tblProducts[ProductID],tblProducts[ProductName],"Not Found")</f>
        <v>Cardiovan</v>
      </c>
      <c r="O382" s="8">
        <f>YEAR(tblSales[[#This Row],[Month]])</f>
        <v>2024</v>
      </c>
      <c r="P382" s="8">
        <f>MONTH(tblSales[[#This Row],[Month]])</f>
        <v>8</v>
      </c>
      <c r="Q382" s="6">
        <f>IFERROR(tblSales[[#This Row],[NetSalesTRY]]/tblSales[[#This Row],[Units]],0)</f>
        <v>924.3262135922331</v>
      </c>
      <c r="R382" s="17">
        <f>IFERROR(tblSales[[#This Row],[NetSalesTRY]]/tblSales[[#This Row],[TargetTRY]],0)</f>
        <v>1.0462911544912978</v>
      </c>
      <c r="S382" s="6">
        <f>tblSales[[#This Row],[NetSalesTRY]]-tblSales[[#This Row],[TargetTRY]]</f>
        <v>4212.1900000000023</v>
      </c>
      <c r="T382" s="6">
        <f>MAX(tblSales[[#This Row],[TargetTRY]]-tblSales[[#This Row],[NetSalesTRY]],0)</f>
        <v>0</v>
      </c>
    </row>
    <row r="383" spans="1:20">
      <c r="A383" t="s">
        <v>771</v>
      </c>
      <c r="B383" s="15">
        <v>45505</v>
      </c>
      <c r="C383" t="s">
        <v>25</v>
      </c>
      <c r="D383" t="s">
        <v>26</v>
      </c>
      <c r="E383" t="s">
        <v>67</v>
      </c>
      <c r="F383" t="s">
        <v>65</v>
      </c>
      <c r="G383" t="s">
        <v>8</v>
      </c>
      <c r="H383" s="8">
        <v>121</v>
      </c>
      <c r="I383" s="9">
        <v>92936.69</v>
      </c>
      <c r="J383" s="9">
        <v>3746.95</v>
      </c>
      <c r="K383" s="9">
        <v>419.48</v>
      </c>
      <c r="L383" s="9">
        <v>88770.26</v>
      </c>
      <c r="M383" s="9">
        <v>86111.19</v>
      </c>
      <c r="N383" s="6" t="str">
        <f>_xlfn.XLOOKUP(tblSales[[#This Row],[ProductID]],tblProducts[ProductID],tblProducts[ProductName],"Not Found")</f>
        <v>GlucoRelief</v>
      </c>
      <c r="O383" s="8">
        <f>YEAR(tblSales[[#This Row],[Month]])</f>
        <v>2024</v>
      </c>
      <c r="P383" s="8">
        <f>MONTH(tblSales[[#This Row],[Month]])</f>
        <v>8</v>
      </c>
      <c r="Q383" s="6">
        <f>IFERROR(tblSales[[#This Row],[NetSalesTRY]]/tblSales[[#This Row],[Units]],0)</f>
        <v>733.63851239669418</v>
      </c>
      <c r="R383" s="17">
        <f>IFERROR(tblSales[[#This Row],[NetSalesTRY]]/tblSales[[#This Row],[TargetTRY]],0)</f>
        <v>1.0308794942910438</v>
      </c>
      <c r="S383" s="6">
        <f>tblSales[[#This Row],[NetSalesTRY]]-tblSales[[#This Row],[TargetTRY]]</f>
        <v>2659.0699999999924</v>
      </c>
      <c r="T383" s="6">
        <f>MAX(tblSales[[#This Row],[TargetTRY]]-tblSales[[#This Row],[NetSalesTRY]],0)</f>
        <v>0</v>
      </c>
    </row>
    <row r="384" spans="1:20">
      <c r="A384" t="s">
        <v>772</v>
      </c>
      <c r="B384" s="15">
        <v>45505</v>
      </c>
      <c r="C384" t="s">
        <v>25</v>
      </c>
      <c r="D384" t="s">
        <v>26</v>
      </c>
      <c r="E384" t="s">
        <v>67</v>
      </c>
      <c r="F384" t="s">
        <v>65</v>
      </c>
      <c r="G384" t="s">
        <v>11</v>
      </c>
      <c r="H384" s="8">
        <v>141</v>
      </c>
      <c r="I384" s="9">
        <v>87293.8</v>
      </c>
      <c r="J384" s="9">
        <v>5957.07</v>
      </c>
      <c r="K384" s="9">
        <v>887.89</v>
      </c>
      <c r="L384" s="9">
        <v>80448.850000000006</v>
      </c>
      <c r="M384" s="9">
        <v>84702.71</v>
      </c>
      <c r="N384" s="6" t="str">
        <f>_xlfn.XLOOKUP(tblSales[[#This Row],[ProductID]],tblProducts[ProductID],tblProducts[ProductName],"Not Found")</f>
        <v>RespiraX</v>
      </c>
      <c r="O384" s="8">
        <f>YEAR(tblSales[[#This Row],[Month]])</f>
        <v>2024</v>
      </c>
      <c r="P384" s="8">
        <f>MONTH(tblSales[[#This Row],[Month]])</f>
        <v>8</v>
      </c>
      <c r="Q384" s="6">
        <f>IFERROR(tblSales[[#This Row],[NetSalesTRY]]/tblSales[[#This Row],[Units]],0)</f>
        <v>570.5592198581561</v>
      </c>
      <c r="R384" s="17">
        <f>IFERROR(tblSales[[#This Row],[NetSalesTRY]]/tblSales[[#This Row],[TargetTRY]],0)</f>
        <v>0.94977893859594342</v>
      </c>
      <c r="S384" s="6">
        <f>tblSales[[#This Row],[NetSalesTRY]]-tblSales[[#This Row],[TargetTRY]]</f>
        <v>-4253.8600000000006</v>
      </c>
      <c r="T384" s="6">
        <f>MAX(tblSales[[#This Row],[TargetTRY]]-tblSales[[#This Row],[NetSalesTRY]],0)</f>
        <v>4253.8600000000006</v>
      </c>
    </row>
    <row r="385" spans="1:20">
      <c r="A385" t="s">
        <v>773</v>
      </c>
      <c r="B385" s="15">
        <v>45505</v>
      </c>
      <c r="C385" t="s">
        <v>25</v>
      </c>
      <c r="D385" t="s">
        <v>26</v>
      </c>
      <c r="E385" t="s">
        <v>67</v>
      </c>
      <c r="F385" t="s">
        <v>65</v>
      </c>
      <c r="G385" t="s">
        <v>14</v>
      </c>
      <c r="H385" s="8">
        <v>79</v>
      </c>
      <c r="I385" s="9">
        <v>87534.93</v>
      </c>
      <c r="J385" s="9">
        <v>4662.78</v>
      </c>
      <c r="K385" s="9">
        <v>1014.18</v>
      </c>
      <c r="L385" s="9">
        <v>81857.97</v>
      </c>
      <c r="M385" s="9">
        <v>78264.490000000005</v>
      </c>
      <c r="N385" s="6" t="str">
        <f>_xlfn.XLOOKUP(tblSales[[#This Row],[ProductID]],tblProducts[ProductID],tblProducts[ProductName],"Not Found")</f>
        <v>NeuroCalm</v>
      </c>
      <c r="O385" s="8">
        <f>YEAR(tblSales[[#This Row],[Month]])</f>
        <v>2024</v>
      </c>
      <c r="P385" s="8">
        <f>MONTH(tblSales[[#This Row],[Month]])</f>
        <v>8</v>
      </c>
      <c r="Q385" s="6">
        <f>IFERROR(tblSales[[#This Row],[NetSalesTRY]]/tblSales[[#This Row],[Units]],0)</f>
        <v>1036.176835443038</v>
      </c>
      <c r="R385" s="17">
        <f>IFERROR(tblSales[[#This Row],[NetSalesTRY]]/tblSales[[#This Row],[TargetTRY]],0)</f>
        <v>1.0459145648301036</v>
      </c>
      <c r="S385" s="6">
        <f>tblSales[[#This Row],[NetSalesTRY]]-tblSales[[#This Row],[TargetTRY]]</f>
        <v>3593.4799999999959</v>
      </c>
      <c r="T385" s="6">
        <f>MAX(tblSales[[#This Row],[TargetTRY]]-tblSales[[#This Row],[NetSalesTRY]],0)</f>
        <v>0</v>
      </c>
    </row>
    <row r="386" spans="1:20">
      <c r="A386" t="s">
        <v>774</v>
      </c>
      <c r="B386" s="15">
        <v>45536</v>
      </c>
      <c r="C386" t="s">
        <v>19</v>
      </c>
      <c r="D386" t="s">
        <v>20</v>
      </c>
      <c r="E386" t="s">
        <v>34</v>
      </c>
      <c r="F386" t="s">
        <v>32</v>
      </c>
      <c r="G386" t="s">
        <v>5</v>
      </c>
      <c r="H386" s="8">
        <v>150</v>
      </c>
      <c r="I386" s="9">
        <v>147666.73000000001</v>
      </c>
      <c r="J386" s="9">
        <v>7526.35</v>
      </c>
      <c r="K386" s="9">
        <v>857.52</v>
      </c>
      <c r="L386" s="9">
        <v>139282.87</v>
      </c>
      <c r="M386" s="9">
        <v>135888.47</v>
      </c>
      <c r="N386" s="6" t="str">
        <f>_xlfn.XLOOKUP(tblSales[[#This Row],[ProductID]],tblProducts[ProductID],tblProducts[ProductName],"Not Found")</f>
        <v>Cardiovan</v>
      </c>
      <c r="O386" s="8">
        <f>YEAR(tblSales[[#This Row],[Month]])</f>
        <v>2024</v>
      </c>
      <c r="P386" s="8">
        <f>MONTH(tblSales[[#This Row],[Month]])</f>
        <v>9</v>
      </c>
      <c r="Q386" s="6">
        <f>IFERROR(tblSales[[#This Row],[NetSalesTRY]]/tblSales[[#This Row],[Units]],0)</f>
        <v>928.55246666666665</v>
      </c>
      <c r="R386" s="17">
        <f>IFERROR(tblSales[[#This Row],[NetSalesTRY]]/tblSales[[#This Row],[TargetTRY]],0)</f>
        <v>1.0249793083990129</v>
      </c>
      <c r="S386" s="6">
        <f>tblSales[[#This Row],[NetSalesTRY]]-tblSales[[#This Row],[TargetTRY]]</f>
        <v>3394.3999999999942</v>
      </c>
      <c r="T386" s="6">
        <f>MAX(tblSales[[#This Row],[TargetTRY]]-tblSales[[#This Row],[NetSalesTRY]],0)</f>
        <v>0</v>
      </c>
    </row>
    <row r="387" spans="1:20">
      <c r="A387" t="s">
        <v>775</v>
      </c>
      <c r="B387" s="15">
        <v>45536</v>
      </c>
      <c r="C387" t="s">
        <v>19</v>
      </c>
      <c r="D387" t="s">
        <v>20</v>
      </c>
      <c r="E387" t="s">
        <v>34</v>
      </c>
      <c r="F387" t="s">
        <v>32</v>
      </c>
      <c r="G387" t="s">
        <v>8</v>
      </c>
      <c r="H387" s="8">
        <v>185</v>
      </c>
      <c r="I387" s="9">
        <v>139326</v>
      </c>
      <c r="J387" s="9">
        <v>7436.53</v>
      </c>
      <c r="K387" s="9">
        <v>669.62</v>
      </c>
      <c r="L387" s="9">
        <v>131219.84</v>
      </c>
      <c r="M387" s="9">
        <v>125099.92</v>
      </c>
      <c r="N387" s="6" t="str">
        <f>_xlfn.XLOOKUP(tblSales[[#This Row],[ProductID]],tblProducts[ProductID],tblProducts[ProductName],"Not Found")</f>
        <v>GlucoRelief</v>
      </c>
      <c r="O387" s="8">
        <f>YEAR(tblSales[[#This Row],[Month]])</f>
        <v>2024</v>
      </c>
      <c r="P387" s="8">
        <f>MONTH(tblSales[[#This Row],[Month]])</f>
        <v>9</v>
      </c>
      <c r="Q387" s="6">
        <f>IFERROR(tblSales[[#This Row],[NetSalesTRY]]/tblSales[[#This Row],[Units]],0)</f>
        <v>709.29643243243243</v>
      </c>
      <c r="R387" s="17">
        <f>IFERROR(tblSales[[#This Row],[NetSalesTRY]]/tblSales[[#This Row],[TargetTRY]],0)</f>
        <v>1.0489202551048793</v>
      </c>
      <c r="S387" s="6">
        <f>tblSales[[#This Row],[NetSalesTRY]]-tblSales[[#This Row],[TargetTRY]]</f>
        <v>6119.9199999999983</v>
      </c>
      <c r="T387" s="6">
        <f>MAX(tblSales[[#This Row],[TargetTRY]]-tblSales[[#This Row],[NetSalesTRY]],0)</f>
        <v>0</v>
      </c>
    </row>
    <row r="388" spans="1:20">
      <c r="A388" t="s">
        <v>776</v>
      </c>
      <c r="B388" s="15">
        <v>45536</v>
      </c>
      <c r="C388" t="s">
        <v>19</v>
      </c>
      <c r="D388" t="s">
        <v>20</v>
      </c>
      <c r="E388" t="s">
        <v>34</v>
      </c>
      <c r="F388" t="s">
        <v>32</v>
      </c>
      <c r="G388" t="s">
        <v>11</v>
      </c>
      <c r="H388" s="8">
        <v>216</v>
      </c>
      <c r="I388" s="9">
        <v>134374.04999999999</v>
      </c>
      <c r="J388" s="9">
        <v>6235.1</v>
      </c>
      <c r="K388" s="9">
        <v>748.42</v>
      </c>
      <c r="L388" s="9">
        <v>127390.54</v>
      </c>
      <c r="M388" s="9">
        <v>122774.76</v>
      </c>
      <c r="N388" s="6" t="str">
        <f>_xlfn.XLOOKUP(tblSales[[#This Row],[ProductID]],tblProducts[ProductID],tblProducts[ProductName],"Not Found")</f>
        <v>RespiraX</v>
      </c>
      <c r="O388" s="8">
        <f>YEAR(tblSales[[#This Row],[Month]])</f>
        <v>2024</v>
      </c>
      <c r="P388" s="8">
        <f>MONTH(tblSales[[#This Row],[Month]])</f>
        <v>9</v>
      </c>
      <c r="Q388" s="6">
        <f>IFERROR(tblSales[[#This Row],[NetSalesTRY]]/tblSales[[#This Row],[Units]],0)</f>
        <v>589.77101851851853</v>
      </c>
      <c r="R388" s="17">
        <f>IFERROR(tblSales[[#This Row],[NetSalesTRY]]/tblSales[[#This Row],[TargetTRY]],0)</f>
        <v>1.0375955123023657</v>
      </c>
      <c r="S388" s="6">
        <f>tblSales[[#This Row],[NetSalesTRY]]-tblSales[[#This Row],[TargetTRY]]</f>
        <v>4615.7799999999988</v>
      </c>
      <c r="T388" s="6">
        <f>MAX(tblSales[[#This Row],[TargetTRY]]-tblSales[[#This Row],[NetSalesTRY]],0)</f>
        <v>0</v>
      </c>
    </row>
    <row r="389" spans="1:20">
      <c r="A389" t="s">
        <v>777</v>
      </c>
      <c r="B389" s="15">
        <v>45536</v>
      </c>
      <c r="C389" t="s">
        <v>19</v>
      </c>
      <c r="D389" t="s">
        <v>20</v>
      </c>
      <c r="E389" t="s">
        <v>34</v>
      </c>
      <c r="F389" t="s">
        <v>32</v>
      </c>
      <c r="G389" t="s">
        <v>14</v>
      </c>
      <c r="H389" s="8">
        <v>106</v>
      </c>
      <c r="I389" s="9">
        <v>114918.41</v>
      </c>
      <c r="J389" s="9">
        <v>6772.29</v>
      </c>
      <c r="K389" s="9">
        <v>1173.8</v>
      </c>
      <c r="L389" s="9">
        <v>106972.32</v>
      </c>
      <c r="M389" s="9">
        <v>114777.43</v>
      </c>
      <c r="N389" s="6" t="str">
        <f>_xlfn.XLOOKUP(tblSales[[#This Row],[ProductID]],tblProducts[ProductID],tblProducts[ProductName],"Not Found")</f>
        <v>NeuroCalm</v>
      </c>
      <c r="O389" s="8">
        <f>YEAR(tblSales[[#This Row],[Month]])</f>
        <v>2024</v>
      </c>
      <c r="P389" s="8">
        <f>MONTH(tblSales[[#This Row],[Month]])</f>
        <v>9</v>
      </c>
      <c r="Q389" s="6">
        <f>IFERROR(tblSales[[#This Row],[NetSalesTRY]]/tblSales[[#This Row],[Units]],0)</f>
        <v>1009.1728301886793</v>
      </c>
      <c r="R389" s="17">
        <f>IFERROR(tblSales[[#This Row],[NetSalesTRY]]/tblSales[[#This Row],[TargetTRY]],0)</f>
        <v>0.93199786752500047</v>
      </c>
      <c r="S389" s="6">
        <f>tblSales[[#This Row],[NetSalesTRY]]-tblSales[[#This Row],[TargetTRY]]</f>
        <v>-7805.109999999986</v>
      </c>
      <c r="T389" s="6">
        <f>MAX(tblSales[[#This Row],[TargetTRY]]-tblSales[[#This Row],[NetSalesTRY]],0)</f>
        <v>7805.109999999986</v>
      </c>
    </row>
    <row r="390" spans="1:20">
      <c r="A390" t="s">
        <v>778</v>
      </c>
      <c r="B390" s="15">
        <v>45536</v>
      </c>
      <c r="C390" t="s">
        <v>19</v>
      </c>
      <c r="D390" t="s">
        <v>20</v>
      </c>
      <c r="E390" t="s">
        <v>37</v>
      </c>
      <c r="F390" t="s">
        <v>35</v>
      </c>
      <c r="G390" t="s">
        <v>5</v>
      </c>
      <c r="H390" s="8">
        <v>153</v>
      </c>
      <c r="I390" s="9">
        <v>150455.88</v>
      </c>
      <c r="J390" s="9">
        <v>6921.46</v>
      </c>
      <c r="K390" s="9">
        <v>865.49</v>
      </c>
      <c r="L390" s="9">
        <v>142668.93</v>
      </c>
      <c r="M390" s="9">
        <v>136596.62</v>
      </c>
      <c r="N390" s="6" t="str">
        <f>_xlfn.XLOOKUP(tblSales[[#This Row],[ProductID]],tblProducts[ProductID],tblProducts[ProductName],"Not Found")</f>
        <v>Cardiovan</v>
      </c>
      <c r="O390" s="8">
        <f>YEAR(tblSales[[#This Row],[Month]])</f>
        <v>2024</v>
      </c>
      <c r="P390" s="8">
        <f>MONTH(tblSales[[#This Row],[Month]])</f>
        <v>9</v>
      </c>
      <c r="Q390" s="6">
        <f>IFERROR(tblSales[[#This Row],[NetSalesTRY]]/tblSales[[#This Row],[Units]],0)</f>
        <v>932.47666666666657</v>
      </c>
      <c r="R390" s="17">
        <f>IFERROR(tblSales[[#This Row],[NetSalesTRY]]/tblSales[[#This Row],[TargetTRY]],0)</f>
        <v>1.0444543210512822</v>
      </c>
      <c r="S390" s="6">
        <f>tblSales[[#This Row],[NetSalesTRY]]-tblSales[[#This Row],[TargetTRY]]</f>
        <v>6072.3099999999977</v>
      </c>
      <c r="T390" s="6">
        <f>MAX(tblSales[[#This Row],[TargetTRY]]-tblSales[[#This Row],[NetSalesTRY]],0)</f>
        <v>0</v>
      </c>
    </row>
    <row r="391" spans="1:20">
      <c r="A391" t="s">
        <v>779</v>
      </c>
      <c r="B391" s="15">
        <v>45536</v>
      </c>
      <c r="C391" t="s">
        <v>19</v>
      </c>
      <c r="D391" t="s">
        <v>20</v>
      </c>
      <c r="E391" t="s">
        <v>37</v>
      </c>
      <c r="F391" t="s">
        <v>35</v>
      </c>
      <c r="G391" t="s">
        <v>8</v>
      </c>
      <c r="H391" s="8">
        <v>183</v>
      </c>
      <c r="I391" s="9">
        <v>140977.06</v>
      </c>
      <c r="J391" s="9">
        <v>8455.7099999999991</v>
      </c>
      <c r="K391" s="9">
        <v>1051.24</v>
      </c>
      <c r="L391" s="9">
        <v>131470.1</v>
      </c>
      <c r="M391" s="9">
        <v>126289.03</v>
      </c>
      <c r="N391" s="6" t="str">
        <f>_xlfn.XLOOKUP(tblSales[[#This Row],[ProductID]],tblProducts[ProductID],tblProducts[ProductName],"Not Found")</f>
        <v>GlucoRelief</v>
      </c>
      <c r="O391" s="8">
        <f>YEAR(tblSales[[#This Row],[Month]])</f>
        <v>2024</v>
      </c>
      <c r="P391" s="8">
        <f>MONTH(tblSales[[#This Row],[Month]])</f>
        <v>9</v>
      </c>
      <c r="Q391" s="6">
        <f>IFERROR(tblSales[[#This Row],[NetSalesTRY]]/tblSales[[#This Row],[Units]],0)</f>
        <v>718.41584699453551</v>
      </c>
      <c r="R391" s="17">
        <f>IFERROR(tblSales[[#This Row],[NetSalesTRY]]/tblSales[[#This Row],[TargetTRY]],0)</f>
        <v>1.0410254952468951</v>
      </c>
      <c r="S391" s="6">
        <f>tblSales[[#This Row],[NetSalesTRY]]-tblSales[[#This Row],[TargetTRY]]</f>
        <v>5181.070000000007</v>
      </c>
      <c r="T391" s="6">
        <f>MAX(tblSales[[#This Row],[TargetTRY]]-tblSales[[#This Row],[NetSalesTRY]],0)</f>
        <v>0</v>
      </c>
    </row>
    <row r="392" spans="1:20">
      <c r="A392" t="s">
        <v>780</v>
      </c>
      <c r="B392" s="15">
        <v>45536</v>
      </c>
      <c r="C392" t="s">
        <v>19</v>
      </c>
      <c r="D392" t="s">
        <v>20</v>
      </c>
      <c r="E392" t="s">
        <v>37</v>
      </c>
      <c r="F392" t="s">
        <v>35</v>
      </c>
      <c r="G392" t="s">
        <v>11</v>
      </c>
      <c r="H392" s="8">
        <v>216</v>
      </c>
      <c r="I392" s="9">
        <v>135645.69</v>
      </c>
      <c r="J392" s="9">
        <v>5637.32</v>
      </c>
      <c r="K392" s="9">
        <v>1392.76</v>
      </c>
      <c r="L392" s="9">
        <v>128615.61</v>
      </c>
      <c r="M392" s="9">
        <v>123618.6</v>
      </c>
      <c r="N392" s="6" t="str">
        <f>_xlfn.XLOOKUP(tblSales[[#This Row],[ProductID]],tblProducts[ProductID],tblProducts[ProductName],"Not Found")</f>
        <v>RespiraX</v>
      </c>
      <c r="O392" s="8">
        <f>YEAR(tblSales[[#This Row],[Month]])</f>
        <v>2024</v>
      </c>
      <c r="P392" s="8">
        <f>MONTH(tblSales[[#This Row],[Month]])</f>
        <v>9</v>
      </c>
      <c r="Q392" s="6">
        <f>IFERROR(tblSales[[#This Row],[NetSalesTRY]]/tblSales[[#This Row],[Units]],0)</f>
        <v>595.44263888888884</v>
      </c>
      <c r="R392" s="17">
        <f>IFERROR(tblSales[[#This Row],[NetSalesTRY]]/tblSales[[#This Row],[TargetTRY]],0)</f>
        <v>1.040422800452359</v>
      </c>
      <c r="S392" s="6">
        <f>tblSales[[#This Row],[NetSalesTRY]]-tblSales[[#This Row],[TargetTRY]]</f>
        <v>4997.0099999999948</v>
      </c>
      <c r="T392" s="6">
        <f>MAX(tblSales[[#This Row],[TargetTRY]]-tblSales[[#This Row],[NetSalesTRY]],0)</f>
        <v>0</v>
      </c>
    </row>
    <row r="393" spans="1:20">
      <c r="A393" t="s">
        <v>781</v>
      </c>
      <c r="B393" s="15">
        <v>45536</v>
      </c>
      <c r="C393" t="s">
        <v>19</v>
      </c>
      <c r="D393" t="s">
        <v>20</v>
      </c>
      <c r="E393" t="s">
        <v>37</v>
      </c>
      <c r="F393" t="s">
        <v>35</v>
      </c>
      <c r="G393" t="s">
        <v>14</v>
      </c>
      <c r="H393" s="8">
        <v>109</v>
      </c>
      <c r="I393" s="9">
        <v>120199.12</v>
      </c>
      <c r="J393" s="9">
        <v>7025.72</v>
      </c>
      <c r="K393" s="9">
        <v>1535.71</v>
      </c>
      <c r="L393" s="9">
        <v>111637.69</v>
      </c>
      <c r="M393" s="9">
        <v>116276.49</v>
      </c>
      <c r="N393" s="6" t="str">
        <f>_xlfn.XLOOKUP(tblSales[[#This Row],[ProductID]],tblProducts[ProductID],tblProducts[ProductName],"Not Found")</f>
        <v>NeuroCalm</v>
      </c>
      <c r="O393" s="8">
        <f>YEAR(tblSales[[#This Row],[Month]])</f>
        <v>2024</v>
      </c>
      <c r="P393" s="8">
        <f>MONTH(tblSales[[#This Row],[Month]])</f>
        <v>9</v>
      </c>
      <c r="Q393" s="6">
        <f>IFERROR(tblSales[[#This Row],[NetSalesTRY]]/tblSales[[#This Row],[Units]],0)</f>
        <v>1024.198990825688</v>
      </c>
      <c r="R393" s="17">
        <f>IFERROR(tblSales[[#This Row],[NetSalesTRY]]/tblSales[[#This Row],[TargetTRY]],0)</f>
        <v>0.96010543489917866</v>
      </c>
      <c r="S393" s="6">
        <f>tblSales[[#This Row],[NetSalesTRY]]-tblSales[[#This Row],[TargetTRY]]</f>
        <v>-4638.8000000000029</v>
      </c>
      <c r="T393" s="6">
        <f>MAX(tblSales[[#This Row],[TargetTRY]]-tblSales[[#This Row],[NetSalesTRY]],0)</f>
        <v>4638.8000000000029</v>
      </c>
    </row>
    <row r="394" spans="1:20">
      <c r="A394" t="s">
        <v>782</v>
      </c>
      <c r="B394" s="15">
        <v>45536</v>
      </c>
      <c r="C394" t="s">
        <v>19</v>
      </c>
      <c r="D394" t="s">
        <v>20</v>
      </c>
      <c r="E394" t="s">
        <v>40</v>
      </c>
      <c r="F394" t="s">
        <v>38</v>
      </c>
      <c r="G394" t="s">
        <v>5</v>
      </c>
      <c r="H394" s="8">
        <v>170</v>
      </c>
      <c r="I394" s="9">
        <v>167075.89000000001</v>
      </c>
      <c r="J394" s="9">
        <v>6044.3</v>
      </c>
      <c r="K394" s="9">
        <v>908.28</v>
      </c>
      <c r="L394" s="9">
        <v>160123.32</v>
      </c>
      <c r="M394" s="9">
        <v>149601.01</v>
      </c>
      <c r="N394" s="6" t="str">
        <f>_xlfn.XLOOKUP(tblSales[[#This Row],[ProductID]],tblProducts[ProductID],tblProducts[ProductName],"Not Found")</f>
        <v>Cardiovan</v>
      </c>
      <c r="O394" s="8">
        <f>YEAR(tblSales[[#This Row],[Month]])</f>
        <v>2024</v>
      </c>
      <c r="P394" s="8">
        <f>MONTH(tblSales[[#This Row],[Month]])</f>
        <v>9</v>
      </c>
      <c r="Q394" s="6">
        <f>IFERROR(tblSales[[#This Row],[NetSalesTRY]]/tblSales[[#This Row],[Units]],0)</f>
        <v>941.90188235294124</v>
      </c>
      <c r="R394" s="17">
        <f>IFERROR(tblSales[[#This Row],[NetSalesTRY]]/tblSales[[#This Row],[TargetTRY]],0)</f>
        <v>1.0703358219306141</v>
      </c>
      <c r="S394" s="6">
        <f>tblSales[[#This Row],[NetSalesTRY]]-tblSales[[#This Row],[TargetTRY]]</f>
        <v>10522.309999999998</v>
      </c>
      <c r="T394" s="6">
        <f>MAX(tblSales[[#This Row],[TargetTRY]]-tblSales[[#This Row],[NetSalesTRY]],0)</f>
        <v>0</v>
      </c>
    </row>
    <row r="395" spans="1:20">
      <c r="A395" t="s">
        <v>783</v>
      </c>
      <c r="B395" s="15">
        <v>45536</v>
      </c>
      <c r="C395" t="s">
        <v>19</v>
      </c>
      <c r="D395" t="s">
        <v>20</v>
      </c>
      <c r="E395" t="s">
        <v>40</v>
      </c>
      <c r="F395" t="s">
        <v>38</v>
      </c>
      <c r="G395" t="s">
        <v>8</v>
      </c>
      <c r="H395" s="8">
        <v>190</v>
      </c>
      <c r="I395" s="9">
        <v>145893.01999999999</v>
      </c>
      <c r="J395" s="9">
        <v>7611.45</v>
      </c>
      <c r="K395" s="9">
        <v>593.70000000000005</v>
      </c>
      <c r="L395" s="9">
        <v>137687.88</v>
      </c>
      <c r="M395" s="9">
        <v>138908.37</v>
      </c>
      <c r="N395" s="6" t="str">
        <f>_xlfn.XLOOKUP(tblSales[[#This Row],[ProductID]],tblProducts[ProductID],tblProducts[ProductName],"Not Found")</f>
        <v>GlucoRelief</v>
      </c>
      <c r="O395" s="8">
        <f>YEAR(tblSales[[#This Row],[Month]])</f>
        <v>2024</v>
      </c>
      <c r="P395" s="8">
        <f>MONTH(tblSales[[#This Row],[Month]])</f>
        <v>9</v>
      </c>
      <c r="Q395" s="6">
        <f>IFERROR(tblSales[[#This Row],[NetSalesTRY]]/tblSales[[#This Row],[Units]],0)</f>
        <v>724.67305263157903</v>
      </c>
      <c r="R395" s="17">
        <f>IFERROR(tblSales[[#This Row],[NetSalesTRY]]/tblSales[[#This Row],[TargetTRY]],0)</f>
        <v>0.99121370440096601</v>
      </c>
      <c r="S395" s="6">
        <f>tblSales[[#This Row],[NetSalesTRY]]-tblSales[[#This Row],[TargetTRY]]</f>
        <v>-1220.4899999999907</v>
      </c>
      <c r="T395" s="6">
        <f>MAX(tblSales[[#This Row],[TargetTRY]]-tblSales[[#This Row],[NetSalesTRY]],0)</f>
        <v>1220.4899999999907</v>
      </c>
    </row>
    <row r="396" spans="1:20">
      <c r="A396" t="s">
        <v>784</v>
      </c>
      <c r="B396" s="15">
        <v>45536</v>
      </c>
      <c r="C396" t="s">
        <v>19</v>
      </c>
      <c r="D396" t="s">
        <v>20</v>
      </c>
      <c r="E396" t="s">
        <v>40</v>
      </c>
      <c r="F396" t="s">
        <v>38</v>
      </c>
      <c r="G396" t="s">
        <v>11</v>
      </c>
      <c r="H396" s="8">
        <v>247</v>
      </c>
      <c r="I396" s="9">
        <v>151031.92000000001</v>
      </c>
      <c r="J396" s="9">
        <v>11277.66</v>
      </c>
      <c r="K396" s="9">
        <v>874.31</v>
      </c>
      <c r="L396" s="9">
        <v>138879.95000000001</v>
      </c>
      <c r="M396" s="9">
        <v>138425.07</v>
      </c>
      <c r="N396" s="6" t="str">
        <f>_xlfn.XLOOKUP(tblSales[[#This Row],[ProductID]],tblProducts[ProductID],tblProducts[ProductName],"Not Found")</f>
        <v>RespiraX</v>
      </c>
      <c r="O396" s="8">
        <f>YEAR(tblSales[[#This Row],[Month]])</f>
        <v>2024</v>
      </c>
      <c r="P396" s="8">
        <f>MONTH(tblSales[[#This Row],[Month]])</f>
        <v>9</v>
      </c>
      <c r="Q396" s="6">
        <f>IFERROR(tblSales[[#This Row],[NetSalesTRY]]/tblSales[[#This Row],[Units]],0)</f>
        <v>562.26700404858309</v>
      </c>
      <c r="R396" s="17">
        <f>IFERROR(tblSales[[#This Row],[NetSalesTRY]]/tblSales[[#This Row],[TargetTRY]],0)</f>
        <v>1.0032861099510371</v>
      </c>
      <c r="S396" s="6">
        <f>tblSales[[#This Row],[NetSalesTRY]]-tblSales[[#This Row],[TargetTRY]]</f>
        <v>454.88000000000466</v>
      </c>
      <c r="T396" s="6">
        <f>MAX(tblSales[[#This Row],[TargetTRY]]-tblSales[[#This Row],[NetSalesTRY]],0)</f>
        <v>0</v>
      </c>
    </row>
    <row r="397" spans="1:20">
      <c r="A397" t="s">
        <v>785</v>
      </c>
      <c r="B397" s="15">
        <v>45536</v>
      </c>
      <c r="C397" t="s">
        <v>19</v>
      </c>
      <c r="D397" t="s">
        <v>20</v>
      </c>
      <c r="E397" t="s">
        <v>40</v>
      </c>
      <c r="F397" t="s">
        <v>38</v>
      </c>
      <c r="G397" t="s">
        <v>14</v>
      </c>
      <c r="H397" s="8">
        <v>123</v>
      </c>
      <c r="I397" s="9">
        <v>133917.66</v>
      </c>
      <c r="J397" s="9">
        <v>6992.67</v>
      </c>
      <c r="K397" s="9">
        <v>1050.55</v>
      </c>
      <c r="L397" s="9">
        <v>125874.43</v>
      </c>
      <c r="M397" s="9">
        <v>129474.02</v>
      </c>
      <c r="N397" s="6" t="str">
        <f>_xlfn.XLOOKUP(tblSales[[#This Row],[ProductID]],tblProducts[ProductID],tblProducts[ProductName],"Not Found")</f>
        <v>NeuroCalm</v>
      </c>
      <c r="O397" s="8">
        <f>YEAR(tblSales[[#This Row],[Month]])</f>
        <v>2024</v>
      </c>
      <c r="P397" s="8">
        <f>MONTH(tblSales[[#This Row],[Month]])</f>
        <v>9</v>
      </c>
      <c r="Q397" s="6">
        <f>IFERROR(tblSales[[#This Row],[NetSalesTRY]]/tblSales[[#This Row],[Units]],0)</f>
        <v>1023.3693495934958</v>
      </c>
      <c r="R397" s="17">
        <f>IFERROR(tblSales[[#This Row],[NetSalesTRY]]/tblSales[[#This Row],[TargetTRY]],0)</f>
        <v>0.97219836072132459</v>
      </c>
      <c r="S397" s="6">
        <f>tblSales[[#This Row],[NetSalesTRY]]-tblSales[[#This Row],[TargetTRY]]</f>
        <v>-3599.5900000000111</v>
      </c>
      <c r="T397" s="6">
        <f>MAX(tblSales[[#This Row],[TargetTRY]]-tblSales[[#This Row],[NetSalesTRY]],0)</f>
        <v>3599.5900000000111</v>
      </c>
    </row>
    <row r="398" spans="1:20">
      <c r="A398" t="s">
        <v>786</v>
      </c>
      <c r="B398" s="15">
        <v>45536</v>
      </c>
      <c r="C398" t="s">
        <v>21</v>
      </c>
      <c r="D398" t="s">
        <v>22</v>
      </c>
      <c r="E398" t="s">
        <v>43</v>
      </c>
      <c r="F398" t="s">
        <v>41</v>
      </c>
      <c r="G398" t="s">
        <v>5</v>
      </c>
      <c r="H398" s="8">
        <v>120</v>
      </c>
      <c r="I398" s="9">
        <v>116295.76</v>
      </c>
      <c r="J398" s="9">
        <v>8070.45</v>
      </c>
      <c r="K398" s="9">
        <v>796.43</v>
      </c>
      <c r="L398" s="9">
        <v>107428.88</v>
      </c>
      <c r="M398" s="9">
        <v>108027.83</v>
      </c>
      <c r="N398" s="6" t="str">
        <f>_xlfn.XLOOKUP(tblSales[[#This Row],[ProductID]],tblProducts[ProductID],tblProducts[ProductName],"Not Found")</f>
        <v>Cardiovan</v>
      </c>
      <c r="O398" s="8">
        <f>YEAR(tblSales[[#This Row],[Month]])</f>
        <v>2024</v>
      </c>
      <c r="P398" s="8">
        <f>MONTH(tblSales[[#This Row],[Month]])</f>
        <v>9</v>
      </c>
      <c r="Q398" s="6">
        <f>IFERROR(tblSales[[#This Row],[NetSalesTRY]]/tblSales[[#This Row],[Units]],0)</f>
        <v>895.2406666666667</v>
      </c>
      <c r="R398" s="17">
        <f>IFERROR(tblSales[[#This Row],[NetSalesTRY]]/tblSales[[#This Row],[TargetTRY]],0)</f>
        <v>0.99445559537759853</v>
      </c>
      <c r="S398" s="6">
        <f>tblSales[[#This Row],[NetSalesTRY]]-tblSales[[#This Row],[TargetTRY]]</f>
        <v>-598.94999999999709</v>
      </c>
      <c r="T398" s="6">
        <f>MAX(tblSales[[#This Row],[TargetTRY]]-tblSales[[#This Row],[NetSalesTRY]],0)</f>
        <v>598.94999999999709</v>
      </c>
    </row>
    <row r="399" spans="1:20">
      <c r="A399" t="s">
        <v>787</v>
      </c>
      <c r="B399" s="15">
        <v>45536</v>
      </c>
      <c r="C399" t="s">
        <v>21</v>
      </c>
      <c r="D399" t="s">
        <v>22</v>
      </c>
      <c r="E399" t="s">
        <v>43</v>
      </c>
      <c r="F399" t="s">
        <v>41</v>
      </c>
      <c r="G399" t="s">
        <v>8</v>
      </c>
      <c r="H399" s="8">
        <v>139</v>
      </c>
      <c r="I399" s="9">
        <v>104444.51</v>
      </c>
      <c r="J399" s="9">
        <v>6821.96</v>
      </c>
      <c r="K399" s="9">
        <v>587.53</v>
      </c>
      <c r="L399" s="9">
        <v>97035.02</v>
      </c>
      <c r="M399" s="9">
        <v>103160.52</v>
      </c>
      <c r="N399" s="6" t="str">
        <f>_xlfn.XLOOKUP(tblSales[[#This Row],[ProductID]],tblProducts[ProductID],tblProducts[ProductName],"Not Found")</f>
        <v>GlucoRelief</v>
      </c>
      <c r="O399" s="8">
        <f>YEAR(tblSales[[#This Row],[Month]])</f>
        <v>2024</v>
      </c>
      <c r="P399" s="8">
        <f>MONTH(tblSales[[#This Row],[Month]])</f>
        <v>9</v>
      </c>
      <c r="Q399" s="6">
        <f>IFERROR(tblSales[[#This Row],[NetSalesTRY]]/tblSales[[#This Row],[Units]],0)</f>
        <v>698.09366906474827</v>
      </c>
      <c r="R399" s="17">
        <f>IFERROR(tblSales[[#This Row],[NetSalesTRY]]/tblSales[[#This Row],[TargetTRY]],0)</f>
        <v>0.94062166417928095</v>
      </c>
      <c r="S399" s="6">
        <f>tblSales[[#This Row],[NetSalesTRY]]-tblSales[[#This Row],[TargetTRY]]</f>
        <v>-6125.5</v>
      </c>
      <c r="T399" s="6">
        <f>MAX(tblSales[[#This Row],[TargetTRY]]-tblSales[[#This Row],[NetSalesTRY]],0)</f>
        <v>6125.5</v>
      </c>
    </row>
    <row r="400" spans="1:20">
      <c r="A400" t="s">
        <v>788</v>
      </c>
      <c r="B400" s="15">
        <v>45536</v>
      </c>
      <c r="C400" t="s">
        <v>21</v>
      </c>
      <c r="D400" t="s">
        <v>22</v>
      </c>
      <c r="E400" t="s">
        <v>43</v>
      </c>
      <c r="F400" t="s">
        <v>41</v>
      </c>
      <c r="G400" t="s">
        <v>11</v>
      </c>
      <c r="H400" s="8">
        <v>182</v>
      </c>
      <c r="I400" s="9">
        <v>114123.83</v>
      </c>
      <c r="J400" s="9">
        <v>6686.64</v>
      </c>
      <c r="K400" s="9">
        <v>940.61</v>
      </c>
      <c r="L400" s="9">
        <v>106496.58</v>
      </c>
      <c r="M400" s="9">
        <v>99392.8</v>
      </c>
      <c r="N400" s="6" t="str">
        <f>_xlfn.XLOOKUP(tblSales[[#This Row],[ProductID]],tblProducts[ProductID],tblProducts[ProductName],"Not Found")</f>
        <v>RespiraX</v>
      </c>
      <c r="O400" s="8">
        <f>YEAR(tblSales[[#This Row],[Month]])</f>
        <v>2024</v>
      </c>
      <c r="P400" s="8">
        <f>MONTH(tblSales[[#This Row],[Month]])</f>
        <v>9</v>
      </c>
      <c r="Q400" s="6">
        <f>IFERROR(tblSales[[#This Row],[NetSalesTRY]]/tblSales[[#This Row],[Units]],0)</f>
        <v>585.14604395604397</v>
      </c>
      <c r="R400" s="17">
        <f>IFERROR(tblSales[[#This Row],[NetSalesTRY]]/tblSales[[#This Row],[TargetTRY]],0)</f>
        <v>1.0714717766276833</v>
      </c>
      <c r="S400" s="6">
        <f>tblSales[[#This Row],[NetSalesTRY]]-tblSales[[#This Row],[TargetTRY]]</f>
        <v>7103.7799999999988</v>
      </c>
      <c r="T400" s="6">
        <f>MAX(tblSales[[#This Row],[TargetTRY]]-tblSales[[#This Row],[NetSalesTRY]],0)</f>
        <v>0</v>
      </c>
    </row>
    <row r="401" spans="1:20">
      <c r="A401" t="s">
        <v>789</v>
      </c>
      <c r="B401" s="15">
        <v>45536</v>
      </c>
      <c r="C401" t="s">
        <v>21</v>
      </c>
      <c r="D401" t="s">
        <v>22</v>
      </c>
      <c r="E401" t="s">
        <v>43</v>
      </c>
      <c r="F401" t="s">
        <v>41</v>
      </c>
      <c r="G401" t="s">
        <v>14</v>
      </c>
      <c r="H401" s="8">
        <v>86</v>
      </c>
      <c r="I401" s="9">
        <v>95736.29</v>
      </c>
      <c r="J401" s="9">
        <v>3941.25</v>
      </c>
      <c r="K401" s="9">
        <v>1313.55</v>
      </c>
      <c r="L401" s="9">
        <v>90481.48</v>
      </c>
      <c r="M401" s="9">
        <v>94398.52</v>
      </c>
      <c r="N401" s="6" t="str">
        <f>_xlfn.XLOOKUP(tblSales[[#This Row],[ProductID]],tblProducts[ProductID],tblProducts[ProductName],"Not Found")</f>
        <v>NeuroCalm</v>
      </c>
      <c r="O401" s="8">
        <f>YEAR(tblSales[[#This Row],[Month]])</f>
        <v>2024</v>
      </c>
      <c r="P401" s="8">
        <f>MONTH(tblSales[[#This Row],[Month]])</f>
        <v>9</v>
      </c>
      <c r="Q401" s="6">
        <f>IFERROR(tblSales[[#This Row],[NetSalesTRY]]/tblSales[[#This Row],[Units]],0)</f>
        <v>1052.1102325581394</v>
      </c>
      <c r="R401" s="17">
        <f>IFERROR(tblSales[[#This Row],[NetSalesTRY]]/tblSales[[#This Row],[TargetTRY]],0)</f>
        <v>0.95850528165060211</v>
      </c>
      <c r="S401" s="6">
        <f>tblSales[[#This Row],[NetSalesTRY]]-tblSales[[#This Row],[TargetTRY]]</f>
        <v>-3917.0400000000081</v>
      </c>
      <c r="T401" s="6">
        <f>MAX(tblSales[[#This Row],[TargetTRY]]-tblSales[[#This Row],[NetSalesTRY]],0)</f>
        <v>3917.0400000000081</v>
      </c>
    </row>
    <row r="402" spans="1:20">
      <c r="A402" t="s">
        <v>790</v>
      </c>
      <c r="B402" s="15">
        <v>45536</v>
      </c>
      <c r="C402" t="s">
        <v>21</v>
      </c>
      <c r="D402" t="s">
        <v>22</v>
      </c>
      <c r="E402" t="s">
        <v>46</v>
      </c>
      <c r="F402" t="s">
        <v>44</v>
      </c>
      <c r="G402" t="s">
        <v>5</v>
      </c>
      <c r="H402" s="8">
        <v>105</v>
      </c>
      <c r="I402" s="9">
        <v>103039.37</v>
      </c>
      <c r="J402" s="9">
        <v>6480.61</v>
      </c>
      <c r="K402" s="9">
        <v>1132.17</v>
      </c>
      <c r="L402" s="9">
        <v>95426.59</v>
      </c>
      <c r="M402" s="9">
        <v>97028.36</v>
      </c>
      <c r="N402" s="6" t="str">
        <f>_xlfn.XLOOKUP(tblSales[[#This Row],[ProductID]],tblProducts[ProductID],tblProducts[ProductName],"Not Found")</f>
        <v>Cardiovan</v>
      </c>
      <c r="O402" s="8">
        <f>YEAR(tblSales[[#This Row],[Month]])</f>
        <v>2024</v>
      </c>
      <c r="P402" s="8">
        <f>MONTH(tblSales[[#This Row],[Month]])</f>
        <v>9</v>
      </c>
      <c r="Q402" s="6">
        <f>IFERROR(tblSales[[#This Row],[NetSalesTRY]]/tblSales[[#This Row],[Units]],0)</f>
        <v>908.82466666666664</v>
      </c>
      <c r="R402" s="17">
        <f>IFERROR(tblSales[[#This Row],[NetSalesTRY]]/tblSales[[#This Row],[TargetTRY]],0)</f>
        <v>0.98349173375701693</v>
      </c>
      <c r="S402" s="6">
        <f>tblSales[[#This Row],[NetSalesTRY]]-tblSales[[#This Row],[TargetTRY]]</f>
        <v>-1601.7700000000041</v>
      </c>
      <c r="T402" s="6">
        <f>MAX(tblSales[[#This Row],[TargetTRY]]-tblSales[[#This Row],[NetSalesTRY]],0)</f>
        <v>1601.7700000000041</v>
      </c>
    </row>
    <row r="403" spans="1:20">
      <c r="A403" t="s">
        <v>791</v>
      </c>
      <c r="B403" s="15">
        <v>45536</v>
      </c>
      <c r="C403" t="s">
        <v>21</v>
      </c>
      <c r="D403" t="s">
        <v>22</v>
      </c>
      <c r="E403" t="s">
        <v>46</v>
      </c>
      <c r="F403" t="s">
        <v>44</v>
      </c>
      <c r="G403" t="s">
        <v>8</v>
      </c>
      <c r="H403" s="8">
        <v>125</v>
      </c>
      <c r="I403" s="9">
        <v>94852.87</v>
      </c>
      <c r="J403" s="9">
        <v>5014.8100000000004</v>
      </c>
      <c r="K403" s="9">
        <v>1160.6300000000001</v>
      </c>
      <c r="L403" s="9">
        <v>88677.42</v>
      </c>
      <c r="M403" s="9">
        <v>90747.92</v>
      </c>
      <c r="N403" s="6" t="str">
        <f>_xlfn.XLOOKUP(tblSales[[#This Row],[ProductID]],tblProducts[ProductID],tblProducts[ProductName],"Not Found")</f>
        <v>GlucoRelief</v>
      </c>
      <c r="O403" s="8">
        <f>YEAR(tblSales[[#This Row],[Month]])</f>
        <v>2024</v>
      </c>
      <c r="P403" s="8">
        <f>MONTH(tblSales[[#This Row],[Month]])</f>
        <v>9</v>
      </c>
      <c r="Q403" s="6">
        <f>IFERROR(tblSales[[#This Row],[NetSalesTRY]]/tblSales[[#This Row],[Units]],0)</f>
        <v>709.41935999999998</v>
      </c>
      <c r="R403" s="17">
        <f>IFERROR(tblSales[[#This Row],[NetSalesTRY]]/tblSales[[#This Row],[TargetTRY]],0)</f>
        <v>0.97718405005866804</v>
      </c>
      <c r="S403" s="6">
        <f>tblSales[[#This Row],[NetSalesTRY]]-tblSales[[#This Row],[TargetTRY]]</f>
        <v>-2070.5</v>
      </c>
      <c r="T403" s="6">
        <f>MAX(tblSales[[#This Row],[TargetTRY]]-tblSales[[#This Row],[NetSalesTRY]],0)</f>
        <v>2070.5</v>
      </c>
    </row>
    <row r="404" spans="1:20">
      <c r="A404" t="s">
        <v>792</v>
      </c>
      <c r="B404" s="15">
        <v>45536</v>
      </c>
      <c r="C404" t="s">
        <v>21</v>
      </c>
      <c r="D404" t="s">
        <v>22</v>
      </c>
      <c r="E404" t="s">
        <v>46</v>
      </c>
      <c r="F404" t="s">
        <v>44</v>
      </c>
      <c r="G404" t="s">
        <v>11</v>
      </c>
      <c r="H404" s="8">
        <v>150</v>
      </c>
      <c r="I404" s="9">
        <v>92758.41</v>
      </c>
      <c r="J404" s="9">
        <v>4398</v>
      </c>
      <c r="K404" s="9">
        <v>864.99</v>
      </c>
      <c r="L404" s="9">
        <v>87495.42</v>
      </c>
      <c r="M404" s="9">
        <v>87351.28</v>
      </c>
      <c r="N404" s="6" t="str">
        <f>_xlfn.XLOOKUP(tblSales[[#This Row],[ProductID]],tblProducts[ProductID],tblProducts[ProductName],"Not Found")</f>
        <v>RespiraX</v>
      </c>
      <c r="O404" s="8">
        <f>YEAR(tblSales[[#This Row],[Month]])</f>
        <v>2024</v>
      </c>
      <c r="P404" s="8">
        <f>MONTH(tblSales[[#This Row],[Month]])</f>
        <v>9</v>
      </c>
      <c r="Q404" s="6">
        <f>IFERROR(tblSales[[#This Row],[NetSalesTRY]]/tblSales[[#This Row],[Units]],0)</f>
        <v>583.30279999999993</v>
      </c>
      <c r="R404" s="17">
        <f>IFERROR(tblSales[[#This Row],[NetSalesTRY]]/tblSales[[#This Row],[TargetTRY]],0)</f>
        <v>1.0016501189221267</v>
      </c>
      <c r="S404" s="6">
        <f>tblSales[[#This Row],[NetSalesTRY]]-tblSales[[#This Row],[TargetTRY]]</f>
        <v>144.13999999999942</v>
      </c>
      <c r="T404" s="6">
        <f>MAX(tblSales[[#This Row],[TargetTRY]]-tblSales[[#This Row],[NetSalesTRY]],0)</f>
        <v>0</v>
      </c>
    </row>
    <row r="405" spans="1:20">
      <c r="A405" t="s">
        <v>793</v>
      </c>
      <c r="B405" s="15">
        <v>45536</v>
      </c>
      <c r="C405" t="s">
        <v>21</v>
      </c>
      <c r="D405" t="s">
        <v>22</v>
      </c>
      <c r="E405" t="s">
        <v>46</v>
      </c>
      <c r="F405" t="s">
        <v>44</v>
      </c>
      <c r="G405" t="s">
        <v>14</v>
      </c>
      <c r="H405" s="8">
        <v>84</v>
      </c>
      <c r="I405" s="9">
        <v>92334.73</v>
      </c>
      <c r="J405" s="9">
        <v>4233.17</v>
      </c>
      <c r="K405" s="9">
        <v>1085.6199999999999</v>
      </c>
      <c r="L405" s="9">
        <v>87015.94</v>
      </c>
      <c r="M405" s="9">
        <v>83729.42</v>
      </c>
      <c r="N405" s="6" t="str">
        <f>_xlfn.XLOOKUP(tblSales[[#This Row],[ProductID]],tblProducts[ProductID],tblProducts[ProductName],"Not Found")</f>
        <v>NeuroCalm</v>
      </c>
      <c r="O405" s="8">
        <f>YEAR(tblSales[[#This Row],[Month]])</f>
        <v>2024</v>
      </c>
      <c r="P405" s="8">
        <f>MONTH(tblSales[[#This Row],[Month]])</f>
        <v>9</v>
      </c>
      <c r="Q405" s="6">
        <f>IFERROR(tblSales[[#This Row],[NetSalesTRY]]/tblSales[[#This Row],[Units]],0)</f>
        <v>1035.9040476190476</v>
      </c>
      <c r="R405" s="17">
        <f>IFERROR(tblSales[[#This Row],[NetSalesTRY]]/tblSales[[#This Row],[TargetTRY]],0)</f>
        <v>1.0392516752176237</v>
      </c>
      <c r="S405" s="6">
        <f>tblSales[[#This Row],[NetSalesTRY]]-tblSales[[#This Row],[TargetTRY]]</f>
        <v>3286.5200000000041</v>
      </c>
      <c r="T405" s="6">
        <f>MAX(tblSales[[#This Row],[TargetTRY]]-tblSales[[#This Row],[NetSalesTRY]],0)</f>
        <v>0</v>
      </c>
    </row>
    <row r="406" spans="1:20">
      <c r="A406" t="s">
        <v>794</v>
      </c>
      <c r="B406" s="15">
        <v>45536</v>
      </c>
      <c r="C406" t="s">
        <v>21</v>
      </c>
      <c r="D406" t="s">
        <v>22</v>
      </c>
      <c r="E406" t="s">
        <v>49</v>
      </c>
      <c r="F406" t="s">
        <v>47</v>
      </c>
      <c r="G406" t="s">
        <v>5</v>
      </c>
      <c r="H406" s="8">
        <v>113</v>
      </c>
      <c r="I406" s="9">
        <v>110343.88</v>
      </c>
      <c r="J406" s="9">
        <v>6363.22</v>
      </c>
      <c r="K406" s="9">
        <v>734.99</v>
      </c>
      <c r="L406" s="9">
        <v>103245.67</v>
      </c>
      <c r="M406" s="9">
        <v>109079.38</v>
      </c>
      <c r="N406" s="6" t="str">
        <f>_xlfn.XLOOKUP(tblSales[[#This Row],[ProductID]],tblProducts[ProductID],tblProducts[ProductName],"Not Found")</f>
        <v>Cardiovan</v>
      </c>
      <c r="O406" s="8">
        <f>YEAR(tblSales[[#This Row],[Month]])</f>
        <v>2024</v>
      </c>
      <c r="P406" s="8">
        <f>MONTH(tblSales[[#This Row],[Month]])</f>
        <v>9</v>
      </c>
      <c r="Q406" s="6">
        <f>IFERROR(tblSales[[#This Row],[NetSalesTRY]]/tblSales[[#This Row],[Units]],0)</f>
        <v>913.67849557522118</v>
      </c>
      <c r="R406" s="17">
        <f>IFERROR(tblSales[[#This Row],[NetSalesTRY]]/tblSales[[#This Row],[TargetTRY]],0)</f>
        <v>0.94651867291508252</v>
      </c>
      <c r="S406" s="6">
        <f>tblSales[[#This Row],[NetSalesTRY]]-tblSales[[#This Row],[TargetTRY]]</f>
        <v>-5833.7100000000064</v>
      </c>
      <c r="T406" s="6">
        <f>MAX(tblSales[[#This Row],[TargetTRY]]-tblSales[[#This Row],[NetSalesTRY]],0)</f>
        <v>5833.7100000000064</v>
      </c>
    </row>
    <row r="407" spans="1:20">
      <c r="A407" t="s">
        <v>795</v>
      </c>
      <c r="B407" s="15">
        <v>45536</v>
      </c>
      <c r="C407" t="s">
        <v>21</v>
      </c>
      <c r="D407" t="s">
        <v>22</v>
      </c>
      <c r="E407" t="s">
        <v>49</v>
      </c>
      <c r="F407" t="s">
        <v>47</v>
      </c>
      <c r="G407" t="s">
        <v>8</v>
      </c>
      <c r="H407" s="8">
        <v>148</v>
      </c>
      <c r="I407" s="9">
        <v>112929.52</v>
      </c>
      <c r="J407" s="9">
        <v>5865.84</v>
      </c>
      <c r="K407" s="9">
        <v>756.63</v>
      </c>
      <c r="L407" s="9">
        <v>106307.05</v>
      </c>
      <c r="M407" s="9">
        <v>100302.82</v>
      </c>
      <c r="N407" s="6" t="str">
        <f>_xlfn.XLOOKUP(tblSales[[#This Row],[ProductID]],tblProducts[ProductID],tblProducts[ProductName],"Not Found")</f>
        <v>GlucoRelief</v>
      </c>
      <c r="O407" s="8">
        <f>YEAR(tblSales[[#This Row],[Month]])</f>
        <v>2024</v>
      </c>
      <c r="P407" s="8">
        <f>MONTH(tblSales[[#This Row],[Month]])</f>
        <v>9</v>
      </c>
      <c r="Q407" s="6">
        <f>IFERROR(tblSales[[#This Row],[NetSalesTRY]]/tblSales[[#This Row],[Units]],0)</f>
        <v>718.29087837837835</v>
      </c>
      <c r="R407" s="17">
        <f>IFERROR(tblSales[[#This Row],[NetSalesTRY]]/tblSales[[#This Row],[TargetTRY]],0)</f>
        <v>1.0598610288324894</v>
      </c>
      <c r="S407" s="6">
        <f>tblSales[[#This Row],[NetSalesTRY]]-tblSales[[#This Row],[TargetTRY]]</f>
        <v>6004.2299999999959</v>
      </c>
      <c r="T407" s="6">
        <f>MAX(tblSales[[#This Row],[TargetTRY]]-tblSales[[#This Row],[NetSalesTRY]],0)</f>
        <v>0</v>
      </c>
    </row>
    <row r="408" spans="1:20">
      <c r="A408" t="s">
        <v>796</v>
      </c>
      <c r="B408" s="15">
        <v>45536</v>
      </c>
      <c r="C408" t="s">
        <v>21</v>
      </c>
      <c r="D408" t="s">
        <v>22</v>
      </c>
      <c r="E408" t="s">
        <v>49</v>
      </c>
      <c r="F408" t="s">
        <v>47</v>
      </c>
      <c r="G408" t="s">
        <v>11</v>
      </c>
      <c r="H408" s="8">
        <v>161</v>
      </c>
      <c r="I408" s="9">
        <v>100605.56</v>
      </c>
      <c r="J408" s="9">
        <v>3918.2</v>
      </c>
      <c r="K408" s="9">
        <v>599.91</v>
      </c>
      <c r="L408" s="9">
        <v>96087.45</v>
      </c>
      <c r="M408" s="9">
        <v>98588.25</v>
      </c>
      <c r="N408" s="6" t="str">
        <f>_xlfn.XLOOKUP(tblSales[[#This Row],[ProductID]],tblProducts[ProductID],tblProducts[ProductName],"Not Found")</f>
        <v>RespiraX</v>
      </c>
      <c r="O408" s="8">
        <f>YEAR(tblSales[[#This Row],[Month]])</f>
        <v>2024</v>
      </c>
      <c r="P408" s="8">
        <f>MONTH(tblSales[[#This Row],[Month]])</f>
        <v>9</v>
      </c>
      <c r="Q408" s="6">
        <f>IFERROR(tblSales[[#This Row],[NetSalesTRY]]/tblSales[[#This Row],[Units]],0)</f>
        <v>596.81645962732921</v>
      </c>
      <c r="R408" s="17">
        <f>IFERROR(tblSales[[#This Row],[NetSalesTRY]]/tblSales[[#This Row],[TargetTRY]],0)</f>
        <v>0.97463389399852418</v>
      </c>
      <c r="S408" s="6">
        <f>tblSales[[#This Row],[NetSalesTRY]]-tblSales[[#This Row],[TargetTRY]]</f>
        <v>-2500.8000000000029</v>
      </c>
      <c r="T408" s="6">
        <f>MAX(tblSales[[#This Row],[TargetTRY]]-tblSales[[#This Row],[NetSalesTRY]],0)</f>
        <v>2500.8000000000029</v>
      </c>
    </row>
    <row r="409" spans="1:20">
      <c r="A409" t="s">
        <v>797</v>
      </c>
      <c r="B409" s="15">
        <v>45536</v>
      </c>
      <c r="C409" t="s">
        <v>21</v>
      </c>
      <c r="D409" t="s">
        <v>22</v>
      </c>
      <c r="E409" t="s">
        <v>49</v>
      </c>
      <c r="F409" t="s">
        <v>47</v>
      </c>
      <c r="G409" t="s">
        <v>14</v>
      </c>
      <c r="H409" s="8">
        <v>91</v>
      </c>
      <c r="I409" s="9">
        <v>100991.24</v>
      </c>
      <c r="J409" s="9">
        <v>4054.66</v>
      </c>
      <c r="K409" s="9">
        <v>1203.75</v>
      </c>
      <c r="L409" s="9">
        <v>95732.83</v>
      </c>
      <c r="M409" s="9">
        <v>94198.28</v>
      </c>
      <c r="N409" s="6" t="str">
        <f>_xlfn.XLOOKUP(tblSales[[#This Row],[ProductID]],tblProducts[ProductID],tblProducts[ProductName],"Not Found")</f>
        <v>NeuroCalm</v>
      </c>
      <c r="O409" s="8">
        <f>YEAR(tblSales[[#This Row],[Month]])</f>
        <v>2024</v>
      </c>
      <c r="P409" s="8">
        <f>MONTH(tblSales[[#This Row],[Month]])</f>
        <v>9</v>
      </c>
      <c r="Q409" s="6">
        <f>IFERROR(tblSales[[#This Row],[NetSalesTRY]]/tblSales[[#This Row],[Units]],0)</f>
        <v>1052.0091208791209</v>
      </c>
      <c r="R409" s="17">
        <f>IFERROR(tblSales[[#This Row],[NetSalesTRY]]/tblSales[[#This Row],[TargetTRY]],0)</f>
        <v>1.0162906371538845</v>
      </c>
      <c r="S409" s="6">
        <f>tblSales[[#This Row],[NetSalesTRY]]-tblSales[[#This Row],[TargetTRY]]</f>
        <v>1534.5500000000029</v>
      </c>
      <c r="T409" s="6">
        <f>MAX(tblSales[[#This Row],[TargetTRY]]-tblSales[[#This Row],[NetSalesTRY]],0)</f>
        <v>0</v>
      </c>
    </row>
    <row r="410" spans="1:20">
      <c r="A410" t="s">
        <v>798</v>
      </c>
      <c r="B410" s="15">
        <v>45536</v>
      </c>
      <c r="C410" t="s">
        <v>23</v>
      </c>
      <c r="D410" t="s">
        <v>24</v>
      </c>
      <c r="E410" t="s">
        <v>52</v>
      </c>
      <c r="F410" t="s">
        <v>50</v>
      </c>
      <c r="G410" t="s">
        <v>5</v>
      </c>
      <c r="H410" s="8">
        <v>110</v>
      </c>
      <c r="I410" s="9">
        <v>108551.49</v>
      </c>
      <c r="J410" s="9">
        <v>6219.16</v>
      </c>
      <c r="K410" s="9">
        <v>1363.59</v>
      </c>
      <c r="L410" s="9">
        <v>100968.74</v>
      </c>
      <c r="M410" s="9">
        <v>109626.94</v>
      </c>
      <c r="N410" s="6" t="str">
        <f>_xlfn.XLOOKUP(tblSales[[#This Row],[ProductID]],tblProducts[ProductID],tblProducts[ProductName],"Not Found")</f>
        <v>Cardiovan</v>
      </c>
      <c r="O410" s="8">
        <f>YEAR(tblSales[[#This Row],[Month]])</f>
        <v>2024</v>
      </c>
      <c r="P410" s="8">
        <f>MONTH(tblSales[[#This Row],[Month]])</f>
        <v>9</v>
      </c>
      <c r="Q410" s="6">
        <f>IFERROR(tblSales[[#This Row],[NetSalesTRY]]/tblSales[[#This Row],[Units]],0)</f>
        <v>917.89763636363637</v>
      </c>
      <c r="R410" s="17">
        <f>IFERROR(tblSales[[#This Row],[NetSalesTRY]]/tblSales[[#This Row],[TargetTRY]],0)</f>
        <v>0.921021238027806</v>
      </c>
      <c r="S410" s="6">
        <f>tblSales[[#This Row],[NetSalesTRY]]-tblSales[[#This Row],[TargetTRY]]</f>
        <v>-8658.1999999999971</v>
      </c>
      <c r="T410" s="6">
        <f>MAX(tblSales[[#This Row],[TargetTRY]]-tblSales[[#This Row],[NetSalesTRY]],0)</f>
        <v>8658.1999999999971</v>
      </c>
    </row>
    <row r="411" spans="1:20">
      <c r="A411" t="s">
        <v>799</v>
      </c>
      <c r="B411" s="15">
        <v>45536</v>
      </c>
      <c r="C411" t="s">
        <v>23</v>
      </c>
      <c r="D411" t="s">
        <v>24</v>
      </c>
      <c r="E411" t="s">
        <v>52</v>
      </c>
      <c r="F411" t="s">
        <v>50</v>
      </c>
      <c r="G411" t="s">
        <v>8</v>
      </c>
      <c r="H411" s="8">
        <v>145</v>
      </c>
      <c r="I411" s="9">
        <v>108957.88</v>
      </c>
      <c r="J411" s="9">
        <v>6544.41</v>
      </c>
      <c r="K411" s="9">
        <v>563.29999999999995</v>
      </c>
      <c r="L411" s="9">
        <v>101850.17</v>
      </c>
      <c r="M411" s="9">
        <v>101596.92</v>
      </c>
      <c r="N411" s="6" t="str">
        <f>_xlfn.XLOOKUP(tblSales[[#This Row],[ProductID]],tblProducts[ProductID],tblProducts[ProductName],"Not Found")</f>
        <v>GlucoRelief</v>
      </c>
      <c r="O411" s="8">
        <f>YEAR(tblSales[[#This Row],[Month]])</f>
        <v>2024</v>
      </c>
      <c r="P411" s="8">
        <f>MONTH(tblSales[[#This Row],[Month]])</f>
        <v>9</v>
      </c>
      <c r="Q411" s="6">
        <f>IFERROR(tblSales[[#This Row],[NetSalesTRY]]/tblSales[[#This Row],[Units]],0)</f>
        <v>702.4149655172414</v>
      </c>
      <c r="R411" s="17">
        <f>IFERROR(tblSales[[#This Row],[NetSalesTRY]]/tblSales[[#This Row],[TargetTRY]],0)</f>
        <v>1.0024926936761469</v>
      </c>
      <c r="S411" s="6">
        <f>tblSales[[#This Row],[NetSalesTRY]]-tblSales[[#This Row],[TargetTRY]]</f>
        <v>253.25</v>
      </c>
      <c r="T411" s="6">
        <f>MAX(tblSales[[#This Row],[TargetTRY]]-tblSales[[#This Row],[NetSalesTRY]],0)</f>
        <v>0</v>
      </c>
    </row>
    <row r="412" spans="1:20">
      <c r="A412" t="s">
        <v>800</v>
      </c>
      <c r="B412" s="15">
        <v>45536</v>
      </c>
      <c r="C412" t="s">
        <v>23</v>
      </c>
      <c r="D412" t="s">
        <v>24</v>
      </c>
      <c r="E412" t="s">
        <v>52</v>
      </c>
      <c r="F412" t="s">
        <v>50</v>
      </c>
      <c r="G412" t="s">
        <v>11</v>
      </c>
      <c r="H412" s="8">
        <v>178</v>
      </c>
      <c r="I412" s="9">
        <v>110610.89</v>
      </c>
      <c r="J412" s="9">
        <v>5289.77</v>
      </c>
      <c r="K412" s="9">
        <v>1329.18</v>
      </c>
      <c r="L412" s="9">
        <v>103991.94</v>
      </c>
      <c r="M412" s="9">
        <v>99339.02</v>
      </c>
      <c r="N412" s="6" t="str">
        <f>_xlfn.XLOOKUP(tblSales[[#This Row],[ProductID]],tblProducts[ProductID],tblProducts[ProductName],"Not Found")</f>
        <v>RespiraX</v>
      </c>
      <c r="O412" s="8">
        <f>YEAR(tblSales[[#This Row],[Month]])</f>
        <v>2024</v>
      </c>
      <c r="P412" s="8">
        <f>MONTH(tblSales[[#This Row],[Month]])</f>
        <v>9</v>
      </c>
      <c r="Q412" s="6">
        <f>IFERROR(tblSales[[#This Row],[NetSalesTRY]]/tblSales[[#This Row],[Units]],0)</f>
        <v>584.2243820224719</v>
      </c>
      <c r="R412" s="17">
        <f>IFERROR(tblSales[[#This Row],[NetSalesTRY]]/tblSales[[#This Row],[TargetTRY]],0)</f>
        <v>1.0468387950676381</v>
      </c>
      <c r="S412" s="6">
        <f>tblSales[[#This Row],[NetSalesTRY]]-tblSales[[#This Row],[TargetTRY]]</f>
        <v>4652.9199999999983</v>
      </c>
      <c r="T412" s="6">
        <f>MAX(tblSales[[#This Row],[TargetTRY]]-tblSales[[#This Row],[NetSalesTRY]],0)</f>
        <v>0</v>
      </c>
    </row>
    <row r="413" spans="1:20">
      <c r="A413" t="s">
        <v>801</v>
      </c>
      <c r="B413" s="15">
        <v>45536</v>
      </c>
      <c r="C413" t="s">
        <v>23</v>
      </c>
      <c r="D413" t="s">
        <v>24</v>
      </c>
      <c r="E413" t="s">
        <v>52</v>
      </c>
      <c r="F413" t="s">
        <v>50</v>
      </c>
      <c r="G413" t="s">
        <v>14</v>
      </c>
      <c r="H413" s="8">
        <v>87</v>
      </c>
      <c r="I413" s="9">
        <v>95213.3</v>
      </c>
      <c r="J413" s="9">
        <v>5288.82</v>
      </c>
      <c r="K413" s="9">
        <v>1001.73</v>
      </c>
      <c r="L413" s="9">
        <v>88922.75</v>
      </c>
      <c r="M413" s="9">
        <v>92336.28</v>
      </c>
      <c r="N413" s="6" t="str">
        <f>_xlfn.XLOOKUP(tblSales[[#This Row],[ProductID]],tblProducts[ProductID],tblProducts[ProductName],"Not Found")</f>
        <v>NeuroCalm</v>
      </c>
      <c r="O413" s="8">
        <f>YEAR(tblSales[[#This Row],[Month]])</f>
        <v>2024</v>
      </c>
      <c r="P413" s="8">
        <f>MONTH(tblSales[[#This Row],[Month]])</f>
        <v>9</v>
      </c>
      <c r="Q413" s="6">
        <f>IFERROR(tblSales[[#This Row],[NetSalesTRY]]/tblSales[[#This Row],[Units]],0)</f>
        <v>1022.1005747126437</v>
      </c>
      <c r="R413" s="17">
        <f>IFERROR(tblSales[[#This Row],[NetSalesTRY]]/tblSales[[#This Row],[TargetTRY]],0)</f>
        <v>0.96303154079848141</v>
      </c>
      <c r="S413" s="6">
        <f>tblSales[[#This Row],[NetSalesTRY]]-tblSales[[#This Row],[TargetTRY]]</f>
        <v>-3413.5299999999988</v>
      </c>
      <c r="T413" s="6">
        <f>MAX(tblSales[[#This Row],[TargetTRY]]-tblSales[[#This Row],[NetSalesTRY]],0)</f>
        <v>3413.5299999999988</v>
      </c>
    </row>
    <row r="414" spans="1:20">
      <c r="A414" t="s">
        <v>802</v>
      </c>
      <c r="B414" s="15">
        <v>45536</v>
      </c>
      <c r="C414" t="s">
        <v>23</v>
      </c>
      <c r="D414" t="s">
        <v>24</v>
      </c>
      <c r="E414" t="s">
        <v>55</v>
      </c>
      <c r="F414" t="s">
        <v>53</v>
      </c>
      <c r="G414" t="s">
        <v>5</v>
      </c>
      <c r="H414" s="8">
        <v>121</v>
      </c>
      <c r="I414" s="9">
        <v>120291.26</v>
      </c>
      <c r="J414" s="9">
        <v>7952.01</v>
      </c>
      <c r="K414" s="9">
        <v>554.99</v>
      </c>
      <c r="L414" s="9">
        <v>111784.26</v>
      </c>
      <c r="M414" s="9">
        <v>108181.65</v>
      </c>
      <c r="N414" s="6" t="str">
        <f>_xlfn.XLOOKUP(tblSales[[#This Row],[ProductID]],tblProducts[ProductID],tblProducts[ProductName],"Not Found")</f>
        <v>Cardiovan</v>
      </c>
      <c r="O414" s="8">
        <f>YEAR(tblSales[[#This Row],[Month]])</f>
        <v>2024</v>
      </c>
      <c r="P414" s="8">
        <f>MONTH(tblSales[[#This Row],[Month]])</f>
        <v>9</v>
      </c>
      <c r="Q414" s="6">
        <f>IFERROR(tblSales[[#This Row],[NetSalesTRY]]/tblSales[[#This Row],[Units]],0)</f>
        <v>923.83685950413224</v>
      </c>
      <c r="R414" s="17">
        <f>IFERROR(tblSales[[#This Row],[NetSalesTRY]]/tblSales[[#This Row],[TargetTRY]],0)</f>
        <v>1.0333014887460119</v>
      </c>
      <c r="S414" s="6">
        <f>tblSales[[#This Row],[NetSalesTRY]]-tblSales[[#This Row],[TargetTRY]]</f>
        <v>3602.6100000000006</v>
      </c>
      <c r="T414" s="6">
        <f>MAX(tblSales[[#This Row],[TargetTRY]]-tblSales[[#This Row],[NetSalesTRY]],0)</f>
        <v>0</v>
      </c>
    </row>
    <row r="415" spans="1:20">
      <c r="A415" t="s">
        <v>803</v>
      </c>
      <c r="B415" s="15">
        <v>45536</v>
      </c>
      <c r="C415" t="s">
        <v>23</v>
      </c>
      <c r="D415" t="s">
        <v>24</v>
      </c>
      <c r="E415" t="s">
        <v>55</v>
      </c>
      <c r="F415" t="s">
        <v>53</v>
      </c>
      <c r="G415" t="s">
        <v>8</v>
      </c>
      <c r="H415" s="8">
        <v>147</v>
      </c>
      <c r="I415" s="9">
        <v>113210.34</v>
      </c>
      <c r="J415" s="9">
        <v>5825.49</v>
      </c>
      <c r="K415" s="9">
        <v>893.03</v>
      </c>
      <c r="L415" s="9">
        <v>106491.82</v>
      </c>
      <c r="M415" s="9">
        <v>103704.96000000001</v>
      </c>
      <c r="N415" s="6" t="str">
        <f>_xlfn.XLOOKUP(tblSales[[#This Row],[ProductID]],tblProducts[ProductID],tblProducts[ProductName],"Not Found")</f>
        <v>GlucoRelief</v>
      </c>
      <c r="O415" s="8">
        <f>YEAR(tblSales[[#This Row],[Month]])</f>
        <v>2024</v>
      </c>
      <c r="P415" s="8">
        <f>MONTH(tblSales[[#This Row],[Month]])</f>
        <v>9</v>
      </c>
      <c r="Q415" s="6">
        <f>IFERROR(tblSales[[#This Row],[NetSalesTRY]]/tblSales[[#This Row],[Units]],0)</f>
        <v>724.43414965986403</v>
      </c>
      <c r="R415" s="17">
        <f>IFERROR(tblSales[[#This Row],[NetSalesTRY]]/tblSales[[#This Row],[TargetTRY]],0)</f>
        <v>1.0268729673103389</v>
      </c>
      <c r="S415" s="6">
        <f>tblSales[[#This Row],[NetSalesTRY]]-tblSales[[#This Row],[TargetTRY]]</f>
        <v>2786.8600000000006</v>
      </c>
      <c r="T415" s="6">
        <f>MAX(tblSales[[#This Row],[TargetTRY]]-tblSales[[#This Row],[NetSalesTRY]],0)</f>
        <v>0</v>
      </c>
    </row>
    <row r="416" spans="1:20">
      <c r="A416" t="s">
        <v>804</v>
      </c>
      <c r="B416" s="15">
        <v>45536</v>
      </c>
      <c r="C416" t="s">
        <v>23</v>
      </c>
      <c r="D416" t="s">
        <v>24</v>
      </c>
      <c r="E416" t="s">
        <v>55</v>
      </c>
      <c r="F416" t="s">
        <v>53</v>
      </c>
      <c r="G416" t="s">
        <v>11</v>
      </c>
      <c r="H416" s="8">
        <v>177</v>
      </c>
      <c r="I416" s="9">
        <v>109575.06</v>
      </c>
      <c r="J416" s="9">
        <v>6066.27</v>
      </c>
      <c r="K416" s="9">
        <v>1445.98</v>
      </c>
      <c r="L416" s="9">
        <v>102062.81</v>
      </c>
      <c r="M416" s="9">
        <v>101923.51</v>
      </c>
      <c r="N416" s="6" t="str">
        <f>_xlfn.XLOOKUP(tblSales[[#This Row],[ProductID]],tblProducts[ProductID],tblProducts[ProductName],"Not Found")</f>
        <v>RespiraX</v>
      </c>
      <c r="O416" s="8">
        <f>YEAR(tblSales[[#This Row],[Month]])</f>
        <v>2024</v>
      </c>
      <c r="P416" s="8">
        <f>MONTH(tblSales[[#This Row],[Month]])</f>
        <v>9</v>
      </c>
      <c r="Q416" s="6">
        <f>IFERROR(tblSales[[#This Row],[NetSalesTRY]]/tblSales[[#This Row],[Units]],0)</f>
        <v>576.62604519774015</v>
      </c>
      <c r="R416" s="17">
        <f>IFERROR(tblSales[[#This Row],[NetSalesTRY]]/tblSales[[#This Row],[TargetTRY]],0)</f>
        <v>1.0013667111738989</v>
      </c>
      <c r="S416" s="6">
        <f>tblSales[[#This Row],[NetSalesTRY]]-tblSales[[#This Row],[TargetTRY]]</f>
        <v>139.30000000000291</v>
      </c>
      <c r="T416" s="6">
        <f>MAX(tblSales[[#This Row],[TargetTRY]]-tblSales[[#This Row],[NetSalesTRY]],0)</f>
        <v>0</v>
      </c>
    </row>
    <row r="417" spans="1:20">
      <c r="A417" t="s">
        <v>805</v>
      </c>
      <c r="B417" s="15">
        <v>45536</v>
      </c>
      <c r="C417" t="s">
        <v>23</v>
      </c>
      <c r="D417" t="s">
        <v>24</v>
      </c>
      <c r="E417" t="s">
        <v>55</v>
      </c>
      <c r="F417" t="s">
        <v>53</v>
      </c>
      <c r="G417" t="s">
        <v>14</v>
      </c>
      <c r="H417" s="8">
        <v>88</v>
      </c>
      <c r="I417" s="9">
        <v>96944.66</v>
      </c>
      <c r="J417" s="9">
        <v>6257.13</v>
      </c>
      <c r="K417" s="9">
        <v>1103.51</v>
      </c>
      <c r="L417" s="9">
        <v>89584.01</v>
      </c>
      <c r="M417" s="9">
        <v>95186.61</v>
      </c>
      <c r="N417" s="6" t="str">
        <f>_xlfn.XLOOKUP(tblSales[[#This Row],[ProductID]],tblProducts[ProductID],tblProducts[ProductName],"Not Found")</f>
        <v>NeuroCalm</v>
      </c>
      <c r="O417" s="8">
        <f>YEAR(tblSales[[#This Row],[Month]])</f>
        <v>2024</v>
      </c>
      <c r="P417" s="8">
        <f>MONTH(tblSales[[#This Row],[Month]])</f>
        <v>9</v>
      </c>
      <c r="Q417" s="6">
        <f>IFERROR(tblSales[[#This Row],[NetSalesTRY]]/tblSales[[#This Row],[Units]],0)</f>
        <v>1018.0001136363636</v>
      </c>
      <c r="R417" s="17">
        <f>IFERROR(tblSales[[#This Row],[NetSalesTRY]]/tblSales[[#This Row],[TargetTRY]],0)</f>
        <v>0.94114088105459359</v>
      </c>
      <c r="S417" s="6">
        <f>tblSales[[#This Row],[NetSalesTRY]]-tblSales[[#This Row],[TargetTRY]]</f>
        <v>-5602.6000000000058</v>
      </c>
      <c r="T417" s="6">
        <f>MAX(tblSales[[#This Row],[TargetTRY]]-tblSales[[#This Row],[NetSalesTRY]],0)</f>
        <v>5602.6000000000058</v>
      </c>
    </row>
    <row r="418" spans="1:20">
      <c r="A418" t="s">
        <v>806</v>
      </c>
      <c r="B418" s="15">
        <v>45536</v>
      </c>
      <c r="C418" t="s">
        <v>23</v>
      </c>
      <c r="D418" t="s">
        <v>24</v>
      </c>
      <c r="E418" t="s">
        <v>58</v>
      </c>
      <c r="F418" t="s">
        <v>56</v>
      </c>
      <c r="G418" t="s">
        <v>5</v>
      </c>
      <c r="H418" s="8">
        <v>121</v>
      </c>
      <c r="I418" s="9">
        <v>119108.1</v>
      </c>
      <c r="J418" s="9">
        <v>8449.41</v>
      </c>
      <c r="K418" s="9">
        <v>1479.97</v>
      </c>
      <c r="L418" s="9">
        <v>109178.73</v>
      </c>
      <c r="M418" s="9">
        <v>111582.68</v>
      </c>
      <c r="N418" s="6" t="str">
        <f>_xlfn.XLOOKUP(tblSales[[#This Row],[ProductID]],tblProducts[ProductID],tblProducts[ProductName],"Not Found")</f>
        <v>Cardiovan</v>
      </c>
      <c r="O418" s="8">
        <f>YEAR(tblSales[[#This Row],[Month]])</f>
        <v>2024</v>
      </c>
      <c r="P418" s="8">
        <f>MONTH(tblSales[[#This Row],[Month]])</f>
        <v>9</v>
      </c>
      <c r="Q418" s="6">
        <f>IFERROR(tblSales[[#This Row],[NetSalesTRY]]/tblSales[[#This Row],[Units]],0)</f>
        <v>902.30355371900828</v>
      </c>
      <c r="R418" s="17">
        <f>IFERROR(tblSales[[#This Row],[NetSalesTRY]]/tblSales[[#This Row],[TargetTRY]],0)</f>
        <v>0.97845588580593335</v>
      </c>
      <c r="S418" s="6">
        <f>tblSales[[#This Row],[NetSalesTRY]]-tblSales[[#This Row],[TargetTRY]]</f>
        <v>-2403.9499999999971</v>
      </c>
      <c r="T418" s="6">
        <f>MAX(tblSales[[#This Row],[TargetTRY]]-tblSales[[#This Row],[NetSalesTRY]],0)</f>
        <v>2403.9499999999971</v>
      </c>
    </row>
    <row r="419" spans="1:20">
      <c r="A419" t="s">
        <v>807</v>
      </c>
      <c r="B419" s="15">
        <v>45536</v>
      </c>
      <c r="C419" t="s">
        <v>23</v>
      </c>
      <c r="D419" t="s">
        <v>24</v>
      </c>
      <c r="E419" t="s">
        <v>58</v>
      </c>
      <c r="F419" t="s">
        <v>56</v>
      </c>
      <c r="G419" t="s">
        <v>8</v>
      </c>
      <c r="H419" s="8">
        <v>152</v>
      </c>
      <c r="I419" s="9">
        <v>114117</v>
      </c>
      <c r="J419" s="9">
        <v>7911.19</v>
      </c>
      <c r="K419" s="9">
        <v>1154.58</v>
      </c>
      <c r="L419" s="9">
        <v>105051.23</v>
      </c>
      <c r="M419" s="9">
        <v>105625.79</v>
      </c>
      <c r="N419" s="6" t="str">
        <f>_xlfn.XLOOKUP(tblSales[[#This Row],[ProductID]],tblProducts[ProductID],tblProducts[ProductName],"Not Found")</f>
        <v>GlucoRelief</v>
      </c>
      <c r="O419" s="8">
        <f>YEAR(tblSales[[#This Row],[Month]])</f>
        <v>2024</v>
      </c>
      <c r="P419" s="8">
        <f>MONTH(tblSales[[#This Row],[Month]])</f>
        <v>9</v>
      </c>
      <c r="Q419" s="6">
        <f>IFERROR(tblSales[[#This Row],[NetSalesTRY]]/tblSales[[#This Row],[Units]],0)</f>
        <v>691.12651315789469</v>
      </c>
      <c r="R419" s="17">
        <f>IFERROR(tblSales[[#This Row],[NetSalesTRY]]/tblSales[[#This Row],[TargetTRY]],0)</f>
        <v>0.99456041938242545</v>
      </c>
      <c r="S419" s="6">
        <f>tblSales[[#This Row],[NetSalesTRY]]-tblSales[[#This Row],[TargetTRY]]</f>
        <v>-574.55999999999767</v>
      </c>
      <c r="T419" s="6">
        <f>MAX(tblSales[[#This Row],[TargetTRY]]-tblSales[[#This Row],[NetSalesTRY]],0)</f>
        <v>574.55999999999767</v>
      </c>
    </row>
    <row r="420" spans="1:20">
      <c r="A420" t="s">
        <v>808</v>
      </c>
      <c r="B420" s="15">
        <v>45536</v>
      </c>
      <c r="C420" t="s">
        <v>23</v>
      </c>
      <c r="D420" t="s">
        <v>24</v>
      </c>
      <c r="E420" t="s">
        <v>58</v>
      </c>
      <c r="F420" t="s">
        <v>56</v>
      </c>
      <c r="G420" t="s">
        <v>11</v>
      </c>
      <c r="H420" s="8">
        <v>183</v>
      </c>
      <c r="I420" s="9">
        <v>111981.66</v>
      </c>
      <c r="J420" s="9">
        <v>4400.42</v>
      </c>
      <c r="K420" s="9">
        <v>689.59</v>
      </c>
      <c r="L420" s="9">
        <v>106891.65</v>
      </c>
      <c r="M420" s="9">
        <v>103821.43</v>
      </c>
      <c r="N420" s="6" t="str">
        <f>_xlfn.XLOOKUP(tblSales[[#This Row],[ProductID]],tblProducts[ProductID],tblProducts[ProductName],"Not Found")</f>
        <v>RespiraX</v>
      </c>
      <c r="O420" s="8">
        <f>YEAR(tblSales[[#This Row],[Month]])</f>
        <v>2024</v>
      </c>
      <c r="P420" s="8">
        <f>MONTH(tblSales[[#This Row],[Month]])</f>
        <v>9</v>
      </c>
      <c r="Q420" s="6">
        <f>IFERROR(tblSales[[#This Row],[NetSalesTRY]]/tblSales[[#This Row],[Units]],0)</f>
        <v>584.10737704918029</v>
      </c>
      <c r="R420" s="17">
        <f>IFERROR(tblSales[[#This Row],[NetSalesTRY]]/tblSales[[#This Row],[TargetTRY]],0)</f>
        <v>1.0295721220561111</v>
      </c>
      <c r="S420" s="6">
        <f>tblSales[[#This Row],[NetSalesTRY]]-tblSales[[#This Row],[TargetTRY]]</f>
        <v>3070.2200000000012</v>
      </c>
      <c r="T420" s="6">
        <f>MAX(tblSales[[#This Row],[TargetTRY]]-tblSales[[#This Row],[NetSalesTRY]],0)</f>
        <v>0</v>
      </c>
    </row>
    <row r="421" spans="1:20">
      <c r="A421" t="s">
        <v>809</v>
      </c>
      <c r="B421" s="15">
        <v>45536</v>
      </c>
      <c r="C421" t="s">
        <v>23</v>
      </c>
      <c r="D421" t="s">
        <v>24</v>
      </c>
      <c r="E421" t="s">
        <v>58</v>
      </c>
      <c r="F421" t="s">
        <v>56</v>
      </c>
      <c r="G421" t="s">
        <v>14</v>
      </c>
      <c r="H421" s="8">
        <v>95</v>
      </c>
      <c r="I421" s="9">
        <v>102945.91</v>
      </c>
      <c r="J421" s="9">
        <v>4803.51</v>
      </c>
      <c r="K421" s="9">
        <v>1336.45</v>
      </c>
      <c r="L421" s="9">
        <v>96805.96</v>
      </c>
      <c r="M421" s="9">
        <v>97102.17</v>
      </c>
      <c r="N421" s="6" t="str">
        <f>_xlfn.XLOOKUP(tblSales[[#This Row],[ProductID]],tblProducts[ProductID],tblProducts[ProductName],"Not Found")</f>
        <v>NeuroCalm</v>
      </c>
      <c r="O421" s="8">
        <f>YEAR(tblSales[[#This Row],[Month]])</f>
        <v>2024</v>
      </c>
      <c r="P421" s="8">
        <f>MONTH(tblSales[[#This Row],[Month]])</f>
        <v>9</v>
      </c>
      <c r="Q421" s="6">
        <f>IFERROR(tblSales[[#This Row],[NetSalesTRY]]/tblSales[[#This Row],[Units]],0)</f>
        <v>1019.0101052631579</v>
      </c>
      <c r="R421" s="17">
        <f>IFERROR(tblSales[[#This Row],[NetSalesTRY]]/tblSales[[#This Row],[TargetTRY]],0)</f>
        <v>0.99694950174645947</v>
      </c>
      <c r="S421" s="6">
        <f>tblSales[[#This Row],[NetSalesTRY]]-tblSales[[#This Row],[TargetTRY]]</f>
        <v>-296.20999999999185</v>
      </c>
      <c r="T421" s="6">
        <f>MAX(tblSales[[#This Row],[TargetTRY]]-tblSales[[#This Row],[NetSalesTRY]],0)</f>
        <v>296.20999999999185</v>
      </c>
    </row>
    <row r="422" spans="1:20">
      <c r="A422" t="s">
        <v>810</v>
      </c>
      <c r="B422" s="15">
        <v>45536</v>
      </c>
      <c r="C422" t="s">
        <v>25</v>
      </c>
      <c r="D422" t="s">
        <v>26</v>
      </c>
      <c r="E422" t="s">
        <v>61</v>
      </c>
      <c r="F422" t="s">
        <v>59</v>
      </c>
      <c r="G422" t="s">
        <v>5</v>
      </c>
      <c r="H422" s="8">
        <v>90</v>
      </c>
      <c r="I422" s="9">
        <v>87397.65</v>
      </c>
      <c r="J422" s="9">
        <v>4327.6899999999996</v>
      </c>
      <c r="K422" s="9">
        <v>923.46</v>
      </c>
      <c r="L422" s="9">
        <v>82146.509999999995</v>
      </c>
      <c r="M422" s="9">
        <v>87322.53</v>
      </c>
      <c r="N422" s="6" t="str">
        <f>_xlfn.XLOOKUP(tblSales[[#This Row],[ProductID]],tblProducts[ProductID],tblProducts[ProductName],"Not Found")</f>
        <v>Cardiovan</v>
      </c>
      <c r="O422" s="8">
        <f>YEAR(tblSales[[#This Row],[Month]])</f>
        <v>2024</v>
      </c>
      <c r="P422" s="8">
        <f>MONTH(tblSales[[#This Row],[Month]])</f>
        <v>9</v>
      </c>
      <c r="Q422" s="6">
        <f>IFERROR(tblSales[[#This Row],[NetSalesTRY]]/tblSales[[#This Row],[Units]],0)</f>
        <v>912.73899999999992</v>
      </c>
      <c r="R422" s="17">
        <f>IFERROR(tblSales[[#This Row],[NetSalesTRY]]/tblSales[[#This Row],[TargetTRY]],0)</f>
        <v>0.94072526299913661</v>
      </c>
      <c r="S422" s="6">
        <f>tblSales[[#This Row],[NetSalesTRY]]-tblSales[[#This Row],[TargetTRY]]</f>
        <v>-5176.0200000000041</v>
      </c>
      <c r="T422" s="6">
        <f>MAX(tblSales[[#This Row],[TargetTRY]]-tblSales[[#This Row],[NetSalesTRY]],0)</f>
        <v>5176.0200000000041</v>
      </c>
    </row>
    <row r="423" spans="1:20">
      <c r="A423" t="s">
        <v>811</v>
      </c>
      <c r="B423" s="15">
        <v>45536</v>
      </c>
      <c r="C423" t="s">
        <v>25</v>
      </c>
      <c r="D423" t="s">
        <v>26</v>
      </c>
      <c r="E423" t="s">
        <v>61</v>
      </c>
      <c r="F423" t="s">
        <v>59</v>
      </c>
      <c r="G423" t="s">
        <v>8</v>
      </c>
      <c r="H423" s="8">
        <v>119</v>
      </c>
      <c r="I423" s="9">
        <v>91104.04</v>
      </c>
      <c r="J423" s="9">
        <v>3738.49</v>
      </c>
      <c r="K423" s="9">
        <v>757.63</v>
      </c>
      <c r="L423" s="9">
        <v>86607.93</v>
      </c>
      <c r="M423" s="9">
        <v>82981.649999999994</v>
      </c>
      <c r="N423" s="6" t="str">
        <f>_xlfn.XLOOKUP(tblSales[[#This Row],[ProductID]],tblProducts[ProductID],tblProducts[ProductName],"Not Found")</f>
        <v>GlucoRelief</v>
      </c>
      <c r="O423" s="8">
        <f>YEAR(tblSales[[#This Row],[Month]])</f>
        <v>2024</v>
      </c>
      <c r="P423" s="8">
        <f>MONTH(tblSales[[#This Row],[Month]])</f>
        <v>9</v>
      </c>
      <c r="Q423" s="6">
        <f>IFERROR(tblSales[[#This Row],[NetSalesTRY]]/tblSales[[#This Row],[Units]],0)</f>
        <v>727.79773109243695</v>
      </c>
      <c r="R423" s="17">
        <f>IFERROR(tblSales[[#This Row],[NetSalesTRY]]/tblSales[[#This Row],[TargetTRY]],0)</f>
        <v>1.0436997818192335</v>
      </c>
      <c r="S423" s="6">
        <f>tblSales[[#This Row],[NetSalesTRY]]-tblSales[[#This Row],[TargetTRY]]</f>
        <v>3626.2799999999988</v>
      </c>
      <c r="T423" s="6">
        <f>MAX(tblSales[[#This Row],[TargetTRY]]-tblSales[[#This Row],[NetSalesTRY]],0)</f>
        <v>0</v>
      </c>
    </row>
    <row r="424" spans="1:20">
      <c r="A424" t="s">
        <v>812</v>
      </c>
      <c r="B424" s="15">
        <v>45536</v>
      </c>
      <c r="C424" t="s">
        <v>25</v>
      </c>
      <c r="D424" t="s">
        <v>26</v>
      </c>
      <c r="E424" t="s">
        <v>61</v>
      </c>
      <c r="F424" t="s">
        <v>59</v>
      </c>
      <c r="G424" t="s">
        <v>11</v>
      </c>
      <c r="H424" s="8">
        <v>139</v>
      </c>
      <c r="I424" s="9">
        <v>86800.21</v>
      </c>
      <c r="J424" s="9">
        <v>3847.01</v>
      </c>
      <c r="K424" s="9">
        <v>990.16</v>
      </c>
      <c r="L424" s="9">
        <v>81963.039999999994</v>
      </c>
      <c r="M424" s="9">
        <v>80095.509999999995</v>
      </c>
      <c r="N424" s="6" t="str">
        <f>_xlfn.XLOOKUP(tblSales[[#This Row],[ProductID]],tblProducts[ProductID],tblProducts[ProductName],"Not Found")</f>
        <v>RespiraX</v>
      </c>
      <c r="O424" s="8">
        <f>YEAR(tblSales[[#This Row],[Month]])</f>
        <v>2024</v>
      </c>
      <c r="P424" s="8">
        <f>MONTH(tblSales[[#This Row],[Month]])</f>
        <v>9</v>
      </c>
      <c r="Q424" s="6">
        <f>IFERROR(tblSales[[#This Row],[NetSalesTRY]]/tblSales[[#This Row],[Units]],0)</f>
        <v>589.66215827338124</v>
      </c>
      <c r="R424" s="17">
        <f>IFERROR(tblSales[[#This Row],[NetSalesTRY]]/tblSales[[#This Row],[TargetTRY]],0)</f>
        <v>1.023316288266346</v>
      </c>
      <c r="S424" s="6">
        <f>tblSales[[#This Row],[NetSalesTRY]]-tblSales[[#This Row],[TargetTRY]]</f>
        <v>1867.5299999999988</v>
      </c>
      <c r="T424" s="6">
        <f>MAX(tblSales[[#This Row],[TargetTRY]]-tblSales[[#This Row],[NetSalesTRY]],0)</f>
        <v>0</v>
      </c>
    </row>
    <row r="425" spans="1:20">
      <c r="A425" t="s">
        <v>813</v>
      </c>
      <c r="B425" s="15">
        <v>45536</v>
      </c>
      <c r="C425" t="s">
        <v>25</v>
      </c>
      <c r="D425" t="s">
        <v>26</v>
      </c>
      <c r="E425" t="s">
        <v>61</v>
      </c>
      <c r="F425" t="s">
        <v>59</v>
      </c>
      <c r="G425" t="s">
        <v>14</v>
      </c>
      <c r="H425" s="8">
        <v>76</v>
      </c>
      <c r="I425" s="9">
        <v>83818.710000000006</v>
      </c>
      <c r="J425" s="9">
        <v>6162.39</v>
      </c>
      <c r="K425" s="9">
        <v>491.07</v>
      </c>
      <c r="L425" s="9">
        <v>77165.240000000005</v>
      </c>
      <c r="M425" s="9">
        <v>74692.75</v>
      </c>
      <c r="N425" s="6" t="str">
        <f>_xlfn.XLOOKUP(tblSales[[#This Row],[ProductID]],tblProducts[ProductID],tblProducts[ProductName],"Not Found")</f>
        <v>NeuroCalm</v>
      </c>
      <c r="O425" s="8">
        <f>YEAR(tblSales[[#This Row],[Month]])</f>
        <v>2024</v>
      </c>
      <c r="P425" s="8">
        <f>MONTH(tblSales[[#This Row],[Month]])</f>
        <v>9</v>
      </c>
      <c r="Q425" s="6">
        <f>IFERROR(tblSales[[#This Row],[NetSalesTRY]]/tblSales[[#This Row],[Units]],0)</f>
        <v>1015.3321052631579</v>
      </c>
      <c r="R425" s="17">
        <f>IFERROR(tblSales[[#This Row],[NetSalesTRY]]/tblSales[[#This Row],[TargetTRY]],0)</f>
        <v>1.0331021417741348</v>
      </c>
      <c r="S425" s="6">
        <f>tblSales[[#This Row],[NetSalesTRY]]-tblSales[[#This Row],[TargetTRY]]</f>
        <v>2472.4900000000052</v>
      </c>
      <c r="T425" s="6">
        <f>MAX(tblSales[[#This Row],[TargetTRY]]-tblSales[[#This Row],[NetSalesTRY]],0)</f>
        <v>0</v>
      </c>
    </row>
    <row r="426" spans="1:20">
      <c r="A426" t="s">
        <v>814</v>
      </c>
      <c r="B426" s="15">
        <v>45536</v>
      </c>
      <c r="C426" t="s">
        <v>25</v>
      </c>
      <c r="D426" t="s">
        <v>26</v>
      </c>
      <c r="E426" t="s">
        <v>64</v>
      </c>
      <c r="F426" t="s">
        <v>62</v>
      </c>
      <c r="G426" t="s">
        <v>5</v>
      </c>
      <c r="H426" s="8">
        <v>97</v>
      </c>
      <c r="I426" s="9">
        <v>95977.919999999998</v>
      </c>
      <c r="J426" s="9">
        <v>6423.99</v>
      </c>
      <c r="K426" s="9">
        <v>792.15</v>
      </c>
      <c r="L426" s="9">
        <v>88761.78</v>
      </c>
      <c r="M426" s="9">
        <v>86861.06</v>
      </c>
      <c r="N426" s="6" t="str">
        <f>_xlfn.XLOOKUP(tblSales[[#This Row],[ProductID]],tblProducts[ProductID],tblProducts[ProductName],"Not Found")</f>
        <v>Cardiovan</v>
      </c>
      <c r="O426" s="8">
        <f>YEAR(tblSales[[#This Row],[Month]])</f>
        <v>2024</v>
      </c>
      <c r="P426" s="8">
        <f>MONTH(tblSales[[#This Row],[Month]])</f>
        <v>9</v>
      </c>
      <c r="Q426" s="6">
        <f>IFERROR(tblSales[[#This Row],[NetSalesTRY]]/tblSales[[#This Row],[Units]],0)</f>
        <v>915.0698969072165</v>
      </c>
      <c r="R426" s="17">
        <f>IFERROR(tblSales[[#This Row],[NetSalesTRY]]/tblSales[[#This Row],[TargetTRY]],0)</f>
        <v>1.021882302610629</v>
      </c>
      <c r="S426" s="6">
        <f>tblSales[[#This Row],[NetSalesTRY]]-tblSales[[#This Row],[TargetTRY]]</f>
        <v>1900.7200000000012</v>
      </c>
      <c r="T426" s="6">
        <f>MAX(tblSales[[#This Row],[TargetTRY]]-tblSales[[#This Row],[NetSalesTRY]],0)</f>
        <v>0</v>
      </c>
    </row>
    <row r="427" spans="1:20">
      <c r="A427" t="s">
        <v>815</v>
      </c>
      <c r="B427" s="15">
        <v>45536</v>
      </c>
      <c r="C427" t="s">
        <v>25</v>
      </c>
      <c r="D427" t="s">
        <v>26</v>
      </c>
      <c r="E427" t="s">
        <v>64</v>
      </c>
      <c r="F427" t="s">
        <v>62</v>
      </c>
      <c r="G427" t="s">
        <v>8</v>
      </c>
      <c r="H427" s="8">
        <v>115</v>
      </c>
      <c r="I427" s="9">
        <v>88443.7</v>
      </c>
      <c r="J427" s="9">
        <v>3818.98</v>
      </c>
      <c r="K427" s="9">
        <v>645</v>
      </c>
      <c r="L427" s="9">
        <v>83979.72</v>
      </c>
      <c r="M427" s="9">
        <v>80858.320000000007</v>
      </c>
      <c r="N427" s="6" t="str">
        <f>_xlfn.XLOOKUP(tblSales[[#This Row],[ProductID]],tblProducts[ProductID],tblProducts[ProductName],"Not Found")</f>
        <v>GlucoRelief</v>
      </c>
      <c r="O427" s="8">
        <f>YEAR(tblSales[[#This Row],[Month]])</f>
        <v>2024</v>
      </c>
      <c r="P427" s="8">
        <f>MONTH(tblSales[[#This Row],[Month]])</f>
        <v>9</v>
      </c>
      <c r="Q427" s="6">
        <f>IFERROR(tblSales[[#This Row],[NetSalesTRY]]/tblSales[[#This Row],[Units]],0)</f>
        <v>730.25843478260867</v>
      </c>
      <c r="R427" s="17">
        <f>IFERROR(tblSales[[#This Row],[NetSalesTRY]]/tblSales[[#This Row],[TargetTRY]],0)</f>
        <v>1.0386033249268596</v>
      </c>
      <c r="S427" s="6">
        <f>tblSales[[#This Row],[NetSalesTRY]]-tblSales[[#This Row],[TargetTRY]]</f>
        <v>3121.3999999999942</v>
      </c>
      <c r="T427" s="6">
        <f>MAX(tblSales[[#This Row],[TargetTRY]]-tblSales[[#This Row],[NetSalesTRY]],0)</f>
        <v>0</v>
      </c>
    </row>
    <row r="428" spans="1:20">
      <c r="A428" t="s">
        <v>816</v>
      </c>
      <c r="B428" s="15">
        <v>45536</v>
      </c>
      <c r="C428" t="s">
        <v>25</v>
      </c>
      <c r="D428" t="s">
        <v>26</v>
      </c>
      <c r="E428" t="s">
        <v>64</v>
      </c>
      <c r="F428" t="s">
        <v>62</v>
      </c>
      <c r="G428" t="s">
        <v>11</v>
      </c>
      <c r="H428" s="8">
        <v>141</v>
      </c>
      <c r="I428" s="9">
        <v>86644.56</v>
      </c>
      <c r="J428" s="9">
        <v>4638.91</v>
      </c>
      <c r="K428" s="9">
        <v>847.62</v>
      </c>
      <c r="L428" s="9">
        <v>81158.03</v>
      </c>
      <c r="M428" s="9">
        <v>81247.7</v>
      </c>
      <c r="N428" s="6" t="str">
        <f>_xlfn.XLOOKUP(tblSales[[#This Row],[ProductID]],tblProducts[ProductID],tblProducts[ProductName],"Not Found")</f>
        <v>RespiraX</v>
      </c>
      <c r="O428" s="8">
        <f>YEAR(tblSales[[#This Row],[Month]])</f>
        <v>2024</v>
      </c>
      <c r="P428" s="8">
        <f>MONTH(tblSales[[#This Row],[Month]])</f>
        <v>9</v>
      </c>
      <c r="Q428" s="6">
        <f>IFERROR(tblSales[[#This Row],[NetSalesTRY]]/tblSales[[#This Row],[Units]],0)</f>
        <v>575.58886524822697</v>
      </c>
      <c r="R428" s="17">
        <f>IFERROR(tblSales[[#This Row],[NetSalesTRY]]/tblSales[[#This Row],[TargetTRY]],0)</f>
        <v>0.99889633798864463</v>
      </c>
      <c r="S428" s="6">
        <f>tblSales[[#This Row],[NetSalesTRY]]-tblSales[[#This Row],[TargetTRY]]</f>
        <v>-89.669999999998254</v>
      </c>
      <c r="T428" s="6">
        <f>MAX(tblSales[[#This Row],[TargetTRY]]-tblSales[[#This Row],[NetSalesTRY]],0)</f>
        <v>89.669999999998254</v>
      </c>
    </row>
    <row r="429" spans="1:20">
      <c r="A429" t="s">
        <v>817</v>
      </c>
      <c r="B429" s="15">
        <v>45536</v>
      </c>
      <c r="C429" t="s">
        <v>25</v>
      </c>
      <c r="D429" t="s">
        <v>26</v>
      </c>
      <c r="E429" t="s">
        <v>64</v>
      </c>
      <c r="F429" t="s">
        <v>62</v>
      </c>
      <c r="G429" t="s">
        <v>14</v>
      </c>
      <c r="H429" s="8">
        <v>76</v>
      </c>
      <c r="I429" s="9">
        <v>84571.59</v>
      </c>
      <c r="J429" s="9">
        <v>3375.2</v>
      </c>
      <c r="K429" s="9">
        <v>625.99</v>
      </c>
      <c r="L429" s="9">
        <v>80570.399999999994</v>
      </c>
      <c r="M429" s="9">
        <v>75701.27</v>
      </c>
      <c r="N429" s="6" t="str">
        <f>_xlfn.XLOOKUP(tblSales[[#This Row],[ProductID]],tblProducts[ProductID],tblProducts[ProductName],"Not Found")</f>
        <v>NeuroCalm</v>
      </c>
      <c r="O429" s="8">
        <f>YEAR(tblSales[[#This Row],[Month]])</f>
        <v>2024</v>
      </c>
      <c r="P429" s="8">
        <f>MONTH(tblSales[[#This Row],[Month]])</f>
        <v>9</v>
      </c>
      <c r="Q429" s="6">
        <f>IFERROR(tblSales[[#This Row],[NetSalesTRY]]/tblSales[[#This Row],[Units]],0)</f>
        <v>1060.136842105263</v>
      </c>
      <c r="R429" s="17">
        <f>IFERROR(tblSales[[#This Row],[NetSalesTRY]]/tblSales[[#This Row],[TargetTRY]],0)</f>
        <v>1.0643203211782311</v>
      </c>
      <c r="S429" s="6">
        <f>tblSales[[#This Row],[NetSalesTRY]]-tblSales[[#This Row],[TargetTRY]]</f>
        <v>4869.1299999999901</v>
      </c>
      <c r="T429" s="6">
        <f>MAX(tblSales[[#This Row],[TargetTRY]]-tblSales[[#This Row],[NetSalesTRY]],0)</f>
        <v>0</v>
      </c>
    </row>
    <row r="430" spans="1:20">
      <c r="A430" t="s">
        <v>818</v>
      </c>
      <c r="B430" s="15">
        <v>45536</v>
      </c>
      <c r="C430" t="s">
        <v>25</v>
      </c>
      <c r="D430" t="s">
        <v>26</v>
      </c>
      <c r="E430" t="s">
        <v>67</v>
      </c>
      <c r="F430" t="s">
        <v>65</v>
      </c>
      <c r="G430" t="s">
        <v>5</v>
      </c>
      <c r="H430" s="8">
        <v>108</v>
      </c>
      <c r="I430" s="9">
        <v>104701.03</v>
      </c>
      <c r="J430" s="9">
        <v>5752.95</v>
      </c>
      <c r="K430" s="9">
        <v>1371.44</v>
      </c>
      <c r="L430" s="9">
        <v>97576.639999999999</v>
      </c>
      <c r="M430" s="9">
        <v>99720.79</v>
      </c>
      <c r="N430" s="6" t="str">
        <f>_xlfn.XLOOKUP(tblSales[[#This Row],[ProductID]],tblProducts[ProductID],tblProducts[ProductName],"Not Found")</f>
        <v>Cardiovan</v>
      </c>
      <c r="O430" s="8">
        <f>YEAR(tblSales[[#This Row],[Month]])</f>
        <v>2024</v>
      </c>
      <c r="P430" s="8">
        <f>MONTH(tblSales[[#This Row],[Month]])</f>
        <v>9</v>
      </c>
      <c r="Q430" s="6">
        <f>IFERROR(tblSales[[#This Row],[NetSalesTRY]]/tblSales[[#This Row],[Units]],0)</f>
        <v>903.48740740740743</v>
      </c>
      <c r="R430" s="17">
        <f>IFERROR(tblSales[[#This Row],[NetSalesTRY]]/tblSales[[#This Row],[TargetTRY]],0)</f>
        <v>0.97849846556570608</v>
      </c>
      <c r="S430" s="6">
        <f>tblSales[[#This Row],[NetSalesTRY]]-tblSales[[#This Row],[TargetTRY]]</f>
        <v>-2144.1499999999942</v>
      </c>
      <c r="T430" s="6">
        <f>MAX(tblSales[[#This Row],[TargetTRY]]-tblSales[[#This Row],[NetSalesTRY]],0)</f>
        <v>2144.1499999999942</v>
      </c>
    </row>
    <row r="431" spans="1:20">
      <c r="A431" t="s">
        <v>819</v>
      </c>
      <c r="B431" s="15">
        <v>45536</v>
      </c>
      <c r="C431" t="s">
        <v>25</v>
      </c>
      <c r="D431" t="s">
        <v>26</v>
      </c>
      <c r="E431" t="s">
        <v>67</v>
      </c>
      <c r="F431" t="s">
        <v>65</v>
      </c>
      <c r="G431" t="s">
        <v>8</v>
      </c>
      <c r="H431" s="8">
        <v>125</v>
      </c>
      <c r="I431" s="9">
        <v>95982.99</v>
      </c>
      <c r="J431" s="9">
        <v>7140.32</v>
      </c>
      <c r="K431" s="9">
        <v>1263.1199999999999</v>
      </c>
      <c r="L431" s="9">
        <v>87579.55</v>
      </c>
      <c r="M431" s="9">
        <v>91757.96</v>
      </c>
      <c r="N431" s="6" t="str">
        <f>_xlfn.XLOOKUP(tblSales[[#This Row],[ProductID]],tblProducts[ProductID],tblProducts[ProductName],"Not Found")</f>
        <v>GlucoRelief</v>
      </c>
      <c r="O431" s="8">
        <f>YEAR(tblSales[[#This Row],[Month]])</f>
        <v>2024</v>
      </c>
      <c r="P431" s="8">
        <f>MONTH(tblSales[[#This Row],[Month]])</f>
        <v>9</v>
      </c>
      <c r="Q431" s="6">
        <f>IFERROR(tblSales[[#This Row],[NetSalesTRY]]/tblSales[[#This Row],[Units]],0)</f>
        <v>700.63639999999998</v>
      </c>
      <c r="R431" s="17">
        <f>IFERROR(tblSales[[#This Row],[NetSalesTRY]]/tblSales[[#This Row],[TargetTRY]],0)</f>
        <v>0.95446269729623456</v>
      </c>
      <c r="S431" s="6">
        <f>tblSales[[#This Row],[NetSalesTRY]]-tblSales[[#This Row],[TargetTRY]]</f>
        <v>-4178.4100000000035</v>
      </c>
      <c r="T431" s="6">
        <f>MAX(tblSales[[#This Row],[TargetTRY]]-tblSales[[#This Row],[NetSalesTRY]],0)</f>
        <v>4178.4100000000035</v>
      </c>
    </row>
    <row r="432" spans="1:20">
      <c r="A432" t="s">
        <v>820</v>
      </c>
      <c r="B432" s="15">
        <v>45536</v>
      </c>
      <c r="C432" t="s">
        <v>25</v>
      </c>
      <c r="D432" t="s">
        <v>26</v>
      </c>
      <c r="E432" t="s">
        <v>67</v>
      </c>
      <c r="F432" t="s">
        <v>65</v>
      </c>
      <c r="G432" t="s">
        <v>11</v>
      </c>
      <c r="H432" s="8">
        <v>150</v>
      </c>
      <c r="I432" s="9">
        <v>93930.31</v>
      </c>
      <c r="J432" s="9">
        <v>5257.42</v>
      </c>
      <c r="K432" s="9">
        <v>1000</v>
      </c>
      <c r="L432" s="9">
        <v>87672.89</v>
      </c>
      <c r="M432" s="9">
        <v>90157.7</v>
      </c>
      <c r="N432" s="6" t="str">
        <f>_xlfn.XLOOKUP(tblSales[[#This Row],[ProductID]],tblProducts[ProductID],tblProducts[ProductName],"Not Found")</f>
        <v>RespiraX</v>
      </c>
      <c r="O432" s="8">
        <f>YEAR(tblSales[[#This Row],[Month]])</f>
        <v>2024</v>
      </c>
      <c r="P432" s="8">
        <f>MONTH(tblSales[[#This Row],[Month]])</f>
        <v>9</v>
      </c>
      <c r="Q432" s="6">
        <f>IFERROR(tblSales[[#This Row],[NetSalesTRY]]/tblSales[[#This Row],[Units]],0)</f>
        <v>584.48593333333338</v>
      </c>
      <c r="R432" s="17">
        <f>IFERROR(tblSales[[#This Row],[NetSalesTRY]]/tblSales[[#This Row],[TargetTRY]],0)</f>
        <v>0.97243929248416938</v>
      </c>
      <c r="S432" s="6">
        <f>tblSales[[#This Row],[NetSalesTRY]]-tblSales[[#This Row],[TargetTRY]]</f>
        <v>-2484.8099999999977</v>
      </c>
      <c r="T432" s="6">
        <f>MAX(tblSales[[#This Row],[TargetTRY]]-tblSales[[#This Row],[NetSalesTRY]],0)</f>
        <v>2484.8099999999977</v>
      </c>
    </row>
    <row r="433" spans="1:20">
      <c r="A433" t="s">
        <v>821</v>
      </c>
      <c r="B433" s="15">
        <v>45536</v>
      </c>
      <c r="C433" t="s">
        <v>25</v>
      </c>
      <c r="D433" t="s">
        <v>26</v>
      </c>
      <c r="E433" t="s">
        <v>67</v>
      </c>
      <c r="F433" t="s">
        <v>65</v>
      </c>
      <c r="G433" t="s">
        <v>14</v>
      </c>
      <c r="H433" s="8">
        <v>85</v>
      </c>
      <c r="I433" s="9">
        <v>93733.13</v>
      </c>
      <c r="J433" s="9">
        <v>7008.03</v>
      </c>
      <c r="K433" s="9">
        <v>600.49</v>
      </c>
      <c r="L433" s="9">
        <v>86124.61</v>
      </c>
      <c r="M433" s="9">
        <v>86218.31</v>
      </c>
      <c r="N433" s="6" t="str">
        <f>_xlfn.XLOOKUP(tblSales[[#This Row],[ProductID]],tblProducts[ProductID],tblProducts[ProductName],"Not Found")</f>
        <v>NeuroCalm</v>
      </c>
      <c r="O433" s="8">
        <f>YEAR(tblSales[[#This Row],[Month]])</f>
        <v>2024</v>
      </c>
      <c r="P433" s="8">
        <f>MONTH(tblSales[[#This Row],[Month]])</f>
        <v>9</v>
      </c>
      <c r="Q433" s="6">
        <f>IFERROR(tblSales[[#This Row],[NetSalesTRY]]/tblSales[[#This Row],[Units]],0)</f>
        <v>1013.2307058823529</v>
      </c>
      <c r="R433" s="17">
        <f>IFERROR(tblSales[[#This Row],[NetSalesTRY]]/tblSales[[#This Row],[TargetTRY]],0)</f>
        <v>0.99891322388481063</v>
      </c>
      <c r="S433" s="6">
        <f>tblSales[[#This Row],[NetSalesTRY]]-tblSales[[#This Row],[TargetTRY]]</f>
        <v>-93.69999999999709</v>
      </c>
      <c r="T433" s="6">
        <f>MAX(tblSales[[#This Row],[TargetTRY]]-tblSales[[#This Row],[NetSalesTRY]],0)</f>
        <v>93.69999999999709</v>
      </c>
    </row>
    <row r="434" spans="1:20">
      <c r="A434" t="s">
        <v>822</v>
      </c>
      <c r="B434" s="15">
        <v>45566</v>
      </c>
      <c r="C434" t="s">
        <v>19</v>
      </c>
      <c r="D434" t="s">
        <v>20</v>
      </c>
      <c r="E434" t="s">
        <v>34</v>
      </c>
      <c r="F434" t="s">
        <v>32</v>
      </c>
      <c r="G434" t="s">
        <v>5</v>
      </c>
      <c r="H434" s="8">
        <v>160</v>
      </c>
      <c r="I434" s="9">
        <v>155137.25</v>
      </c>
      <c r="J434" s="9">
        <v>7161.63</v>
      </c>
      <c r="K434" s="9">
        <v>1812.85</v>
      </c>
      <c r="L434" s="9">
        <v>146162.76999999999</v>
      </c>
      <c r="M434" s="9">
        <v>140267.54</v>
      </c>
      <c r="N434" s="6" t="str">
        <f>_xlfn.XLOOKUP(tblSales[[#This Row],[ProductID]],tblProducts[ProductID],tblProducts[ProductName],"Not Found")</f>
        <v>Cardiovan</v>
      </c>
      <c r="O434" s="8">
        <f>YEAR(tblSales[[#This Row],[Month]])</f>
        <v>2024</v>
      </c>
      <c r="P434" s="8">
        <f>MONTH(tblSales[[#This Row],[Month]])</f>
        <v>10</v>
      </c>
      <c r="Q434" s="6">
        <f>IFERROR(tblSales[[#This Row],[NetSalesTRY]]/tblSales[[#This Row],[Units]],0)</f>
        <v>913.51731249999989</v>
      </c>
      <c r="R434" s="17">
        <f>IFERROR(tblSales[[#This Row],[NetSalesTRY]]/tblSales[[#This Row],[TargetTRY]],0)</f>
        <v>1.0420284693094353</v>
      </c>
      <c r="S434" s="6">
        <f>tblSales[[#This Row],[NetSalesTRY]]-tblSales[[#This Row],[TargetTRY]]</f>
        <v>5895.2299999999814</v>
      </c>
      <c r="T434" s="6">
        <f>MAX(tblSales[[#This Row],[TargetTRY]]-tblSales[[#This Row],[NetSalesTRY]],0)</f>
        <v>0</v>
      </c>
    </row>
    <row r="435" spans="1:20">
      <c r="A435" t="s">
        <v>823</v>
      </c>
      <c r="B435" s="15">
        <v>45566</v>
      </c>
      <c r="C435" t="s">
        <v>19</v>
      </c>
      <c r="D435" t="s">
        <v>20</v>
      </c>
      <c r="E435" t="s">
        <v>34</v>
      </c>
      <c r="F435" t="s">
        <v>32</v>
      </c>
      <c r="G435" t="s">
        <v>8</v>
      </c>
      <c r="H435" s="8">
        <v>185</v>
      </c>
      <c r="I435" s="9">
        <v>139603.60999999999</v>
      </c>
      <c r="J435" s="9">
        <v>5537.67</v>
      </c>
      <c r="K435" s="9">
        <v>562.36</v>
      </c>
      <c r="L435" s="9">
        <v>133503.57999999999</v>
      </c>
      <c r="M435" s="9">
        <v>130710.92</v>
      </c>
      <c r="N435" s="6" t="str">
        <f>_xlfn.XLOOKUP(tblSales[[#This Row],[ProductID]],tblProducts[ProductID],tblProducts[ProductName],"Not Found")</f>
        <v>GlucoRelief</v>
      </c>
      <c r="O435" s="8">
        <f>YEAR(tblSales[[#This Row],[Month]])</f>
        <v>2024</v>
      </c>
      <c r="P435" s="8">
        <f>MONTH(tblSales[[#This Row],[Month]])</f>
        <v>10</v>
      </c>
      <c r="Q435" s="6">
        <f>IFERROR(tblSales[[#This Row],[NetSalesTRY]]/tblSales[[#This Row],[Units]],0)</f>
        <v>721.64097297297292</v>
      </c>
      <c r="R435" s="17">
        <f>IFERROR(tblSales[[#This Row],[NetSalesTRY]]/tblSales[[#This Row],[TargetTRY]],0)</f>
        <v>1.0213651621455957</v>
      </c>
      <c r="S435" s="6">
        <f>tblSales[[#This Row],[NetSalesTRY]]-tblSales[[#This Row],[TargetTRY]]</f>
        <v>2792.6599999999889</v>
      </c>
      <c r="T435" s="6">
        <f>MAX(tblSales[[#This Row],[TargetTRY]]-tblSales[[#This Row],[NetSalesTRY]],0)</f>
        <v>0</v>
      </c>
    </row>
    <row r="436" spans="1:20">
      <c r="A436" t="s">
        <v>824</v>
      </c>
      <c r="B436" s="15">
        <v>45566</v>
      </c>
      <c r="C436" t="s">
        <v>19</v>
      </c>
      <c r="D436" t="s">
        <v>20</v>
      </c>
      <c r="E436" t="s">
        <v>34</v>
      </c>
      <c r="F436" t="s">
        <v>32</v>
      </c>
      <c r="G436" t="s">
        <v>11</v>
      </c>
      <c r="H436" s="8">
        <v>210</v>
      </c>
      <c r="I436" s="9">
        <v>131346.78</v>
      </c>
      <c r="J436" s="9">
        <v>5092.78</v>
      </c>
      <c r="K436" s="9">
        <v>1649.93</v>
      </c>
      <c r="L436" s="9">
        <v>124604.07</v>
      </c>
      <c r="M436" s="9">
        <v>128505.48</v>
      </c>
      <c r="N436" s="6" t="str">
        <f>_xlfn.XLOOKUP(tblSales[[#This Row],[ProductID]],tblProducts[ProductID],tblProducts[ProductName],"Not Found")</f>
        <v>RespiraX</v>
      </c>
      <c r="O436" s="8">
        <f>YEAR(tblSales[[#This Row],[Month]])</f>
        <v>2024</v>
      </c>
      <c r="P436" s="8">
        <f>MONTH(tblSales[[#This Row],[Month]])</f>
        <v>10</v>
      </c>
      <c r="Q436" s="6">
        <f>IFERROR(tblSales[[#This Row],[NetSalesTRY]]/tblSales[[#This Row],[Units]],0)</f>
        <v>593.35271428571434</v>
      </c>
      <c r="R436" s="17">
        <f>IFERROR(tblSales[[#This Row],[NetSalesTRY]]/tblSales[[#This Row],[TargetTRY]],0)</f>
        <v>0.96964012740935257</v>
      </c>
      <c r="S436" s="6">
        <f>tblSales[[#This Row],[NetSalesTRY]]-tblSales[[#This Row],[TargetTRY]]</f>
        <v>-3901.4099999999889</v>
      </c>
      <c r="T436" s="6">
        <f>MAX(tblSales[[#This Row],[TargetTRY]]-tblSales[[#This Row],[NetSalesTRY]],0)</f>
        <v>3901.4099999999889</v>
      </c>
    </row>
    <row r="437" spans="1:20">
      <c r="A437" t="s">
        <v>825</v>
      </c>
      <c r="B437" s="15">
        <v>45566</v>
      </c>
      <c r="C437" t="s">
        <v>19</v>
      </c>
      <c r="D437" t="s">
        <v>20</v>
      </c>
      <c r="E437" t="s">
        <v>34</v>
      </c>
      <c r="F437" t="s">
        <v>32</v>
      </c>
      <c r="G437" t="s">
        <v>14</v>
      </c>
      <c r="H437" s="8">
        <v>123</v>
      </c>
      <c r="I437" s="9">
        <v>134652.65</v>
      </c>
      <c r="J437" s="9">
        <v>9837.39</v>
      </c>
      <c r="K437" s="9">
        <v>895.61</v>
      </c>
      <c r="L437" s="9">
        <v>123919.65</v>
      </c>
      <c r="M437" s="9">
        <v>121516.92</v>
      </c>
      <c r="N437" s="6" t="str">
        <f>_xlfn.XLOOKUP(tblSales[[#This Row],[ProductID]],tblProducts[ProductID],tblProducts[ProductName],"Not Found")</f>
        <v>NeuroCalm</v>
      </c>
      <c r="O437" s="8">
        <f>YEAR(tblSales[[#This Row],[Month]])</f>
        <v>2024</v>
      </c>
      <c r="P437" s="8">
        <f>MONTH(tblSales[[#This Row],[Month]])</f>
        <v>10</v>
      </c>
      <c r="Q437" s="6">
        <f>IFERROR(tblSales[[#This Row],[NetSalesTRY]]/tblSales[[#This Row],[Units]],0)</f>
        <v>1007.4768292682926</v>
      </c>
      <c r="R437" s="17">
        <f>IFERROR(tblSales[[#This Row],[NetSalesTRY]]/tblSales[[#This Row],[TargetTRY]],0)</f>
        <v>1.0197728020097943</v>
      </c>
      <c r="S437" s="6">
        <f>tblSales[[#This Row],[NetSalesTRY]]-tblSales[[#This Row],[TargetTRY]]</f>
        <v>2402.7299999999959</v>
      </c>
      <c r="T437" s="6">
        <f>MAX(tblSales[[#This Row],[TargetTRY]]-tblSales[[#This Row],[NetSalesTRY]],0)</f>
        <v>0</v>
      </c>
    </row>
    <row r="438" spans="1:20">
      <c r="A438" t="s">
        <v>826</v>
      </c>
      <c r="B438" s="15">
        <v>45566</v>
      </c>
      <c r="C438" t="s">
        <v>19</v>
      </c>
      <c r="D438" t="s">
        <v>20</v>
      </c>
      <c r="E438" t="s">
        <v>37</v>
      </c>
      <c r="F438" t="s">
        <v>35</v>
      </c>
      <c r="G438" t="s">
        <v>5</v>
      </c>
      <c r="H438" s="8">
        <v>144</v>
      </c>
      <c r="I438" s="9">
        <v>142108.72</v>
      </c>
      <c r="J438" s="9">
        <v>4997.51</v>
      </c>
      <c r="K438" s="9">
        <v>798.46</v>
      </c>
      <c r="L438" s="9">
        <v>136312.75</v>
      </c>
      <c r="M438" s="9">
        <v>142567.66</v>
      </c>
      <c r="N438" s="6" t="str">
        <f>_xlfn.XLOOKUP(tblSales[[#This Row],[ProductID]],tblProducts[ProductID],tblProducts[ProductName],"Not Found")</f>
        <v>Cardiovan</v>
      </c>
      <c r="O438" s="8">
        <f>YEAR(tblSales[[#This Row],[Month]])</f>
        <v>2024</v>
      </c>
      <c r="P438" s="8">
        <f>MONTH(tblSales[[#This Row],[Month]])</f>
        <v>10</v>
      </c>
      <c r="Q438" s="6">
        <f>IFERROR(tblSales[[#This Row],[NetSalesTRY]]/tblSales[[#This Row],[Units]],0)</f>
        <v>946.61631944444446</v>
      </c>
      <c r="R438" s="17">
        <f>IFERROR(tblSales[[#This Row],[NetSalesTRY]]/tblSales[[#This Row],[TargetTRY]],0)</f>
        <v>0.95612672607518423</v>
      </c>
      <c r="S438" s="6">
        <f>tblSales[[#This Row],[NetSalesTRY]]-tblSales[[#This Row],[TargetTRY]]</f>
        <v>-6254.9100000000035</v>
      </c>
      <c r="T438" s="6">
        <f>MAX(tblSales[[#This Row],[TargetTRY]]-tblSales[[#This Row],[NetSalesTRY]],0)</f>
        <v>6254.9100000000035</v>
      </c>
    </row>
    <row r="439" spans="1:20">
      <c r="A439" t="s">
        <v>827</v>
      </c>
      <c r="B439" s="15">
        <v>45566</v>
      </c>
      <c r="C439" t="s">
        <v>19</v>
      </c>
      <c r="D439" t="s">
        <v>20</v>
      </c>
      <c r="E439" t="s">
        <v>37</v>
      </c>
      <c r="F439" t="s">
        <v>35</v>
      </c>
      <c r="G439" t="s">
        <v>8</v>
      </c>
      <c r="H439" s="8">
        <v>186</v>
      </c>
      <c r="I439" s="9">
        <v>140921.51999999999</v>
      </c>
      <c r="J439" s="9">
        <v>9529.9</v>
      </c>
      <c r="K439" s="9">
        <v>1653.14</v>
      </c>
      <c r="L439" s="9">
        <v>129738.49</v>
      </c>
      <c r="M439" s="9">
        <v>132594.51</v>
      </c>
      <c r="N439" s="6" t="str">
        <f>_xlfn.XLOOKUP(tblSales[[#This Row],[ProductID]],tblProducts[ProductID],tblProducts[ProductName],"Not Found")</f>
        <v>GlucoRelief</v>
      </c>
      <c r="O439" s="8">
        <f>YEAR(tblSales[[#This Row],[Month]])</f>
        <v>2024</v>
      </c>
      <c r="P439" s="8">
        <f>MONTH(tblSales[[#This Row],[Month]])</f>
        <v>10</v>
      </c>
      <c r="Q439" s="6">
        <f>IFERROR(tblSales[[#This Row],[NetSalesTRY]]/tblSales[[#This Row],[Units]],0)</f>
        <v>697.5187634408602</v>
      </c>
      <c r="R439" s="17">
        <f>IFERROR(tblSales[[#This Row],[NetSalesTRY]]/tblSales[[#This Row],[TargetTRY]],0)</f>
        <v>0.97846049583802519</v>
      </c>
      <c r="S439" s="6">
        <f>tblSales[[#This Row],[NetSalesTRY]]-tblSales[[#This Row],[TargetTRY]]</f>
        <v>-2856.0200000000041</v>
      </c>
      <c r="T439" s="6">
        <f>MAX(tblSales[[#This Row],[TargetTRY]]-tblSales[[#This Row],[NetSalesTRY]],0)</f>
        <v>2856.0200000000041</v>
      </c>
    </row>
    <row r="440" spans="1:20">
      <c r="A440" t="s">
        <v>828</v>
      </c>
      <c r="B440" s="15">
        <v>45566</v>
      </c>
      <c r="C440" t="s">
        <v>19</v>
      </c>
      <c r="D440" t="s">
        <v>20</v>
      </c>
      <c r="E440" t="s">
        <v>37</v>
      </c>
      <c r="F440" t="s">
        <v>35</v>
      </c>
      <c r="G440" t="s">
        <v>11</v>
      </c>
      <c r="H440" s="8">
        <v>234</v>
      </c>
      <c r="I440" s="9">
        <v>146753.73000000001</v>
      </c>
      <c r="J440" s="9">
        <v>8277.73</v>
      </c>
      <c r="K440" s="9">
        <v>1273.81</v>
      </c>
      <c r="L440" s="9">
        <v>137202.19</v>
      </c>
      <c r="M440" s="9">
        <v>129791.34</v>
      </c>
      <c r="N440" s="6" t="str">
        <f>_xlfn.XLOOKUP(tblSales[[#This Row],[ProductID]],tblProducts[ProductID],tblProducts[ProductName],"Not Found")</f>
        <v>RespiraX</v>
      </c>
      <c r="O440" s="8">
        <f>YEAR(tblSales[[#This Row],[Month]])</f>
        <v>2024</v>
      </c>
      <c r="P440" s="8">
        <f>MONTH(tblSales[[#This Row],[Month]])</f>
        <v>10</v>
      </c>
      <c r="Q440" s="6">
        <f>IFERROR(tblSales[[#This Row],[NetSalesTRY]]/tblSales[[#This Row],[Units]],0)</f>
        <v>586.33414529914535</v>
      </c>
      <c r="R440" s="17">
        <f>IFERROR(tblSales[[#This Row],[NetSalesTRY]]/tblSales[[#This Row],[TargetTRY]],0)</f>
        <v>1.0570981854413399</v>
      </c>
      <c r="S440" s="6">
        <f>tblSales[[#This Row],[NetSalesTRY]]-tblSales[[#This Row],[TargetTRY]]</f>
        <v>7410.8500000000058</v>
      </c>
      <c r="T440" s="6">
        <f>MAX(tblSales[[#This Row],[TargetTRY]]-tblSales[[#This Row],[NetSalesTRY]],0)</f>
        <v>0</v>
      </c>
    </row>
    <row r="441" spans="1:20">
      <c r="A441" t="s">
        <v>829</v>
      </c>
      <c r="B441" s="15">
        <v>45566</v>
      </c>
      <c r="C441" t="s">
        <v>19</v>
      </c>
      <c r="D441" t="s">
        <v>20</v>
      </c>
      <c r="E441" t="s">
        <v>37</v>
      </c>
      <c r="F441" t="s">
        <v>35</v>
      </c>
      <c r="G441" t="s">
        <v>14</v>
      </c>
      <c r="H441" s="8">
        <v>124</v>
      </c>
      <c r="I441" s="9">
        <v>135614.69</v>
      </c>
      <c r="J441" s="9">
        <v>8251.68</v>
      </c>
      <c r="K441" s="9">
        <v>1503.86</v>
      </c>
      <c r="L441" s="9">
        <v>125859.14</v>
      </c>
      <c r="M441" s="9">
        <v>120537.37</v>
      </c>
      <c r="N441" s="6" t="str">
        <f>_xlfn.XLOOKUP(tblSales[[#This Row],[ProductID]],tblProducts[ProductID],tblProducts[ProductName],"Not Found")</f>
        <v>NeuroCalm</v>
      </c>
      <c r="O441" s="8">
        <f>YEAR(tblSales[[#This Row],[Month]])</f>
        <v>2024</v>
      </c>
      <c r="P441" s="8">
        <f>MONTH(tblSales[[#This Row],[Month]])</f>
        <v>10</v>
      </c>
      <c r="Q441" s="6">
        <f>IFERROR(tblSales[[#This Row],[NetSalesTRY]]/tblSales[[#This Row],[Units]],0)</f>
        <v>1014.993064516129</v>
      </c>
      <c r="R441" s="17">
        <f>IFERROR(tblSales[[#This Row],[NetSalesTRY]]/tblSales[[#This Row],[TargetTRY]],0)</f>
        <v>1.0441503742781182</v>
      </c>
      <c r="S441" s="6">
        <f>tblSales[[#This Row],[NetSalesTRY]]-tblSales[[#This Row],[TargetTRY]]</f>
        <v>5321.7700000000041</v>
      </c>
      <c r="T441" s="6">
        <f>MAX(tblSales[[#This Row],[TargetTRY]]-tblSales[[#This Row],[NetSalesTRY]],0)</f>
        <v>0</v>
      </c>
    </row>
    <row r="442" spans="1:20">
      <c r="A442" t="s">
        <v>830</v>
      </c>
      <c r="B442" s="15">
        <v>45566</v>
      </c>
      <c r="C442" t="s">
        <v>19</v>
      </c>
      <c r="D442" t="s">
        <v>20</v>
      </c>
      <c r="E442" t="s">
        <v>40</v>
      </c>
      <c r="F442" t="s">
        <v>38</v>
      </c>
      <c r="G442" t="s">
        <v>5</v>
      </c>
      <c r="H442" s="8">
        <v>158</v>
      </c>
      <c r="I442" s="9">
        <v>157073.5</v>
      </c>
      <c r="J442" s="9">
        <v>6160.19</v>
      </c>
      <c r="K442" s="9">
        <v>2143.33</v>
      </c>
      <c r="L442" s="9">
        <v>148769.99</v>
      </c>
      <c r="M442" s="9">
        <v>155136.81</v>
      </c>
      <c r="N442" s="6" t="str">
        <f>_xlfn.XLOOKUP(tblSales[[#This Row],[ProductID]],tblProducts[ProductID],tblProducts[ProductName],"Not Found")</f>
        <v>Cardiovan</v>
      </c>
      <c r="O442" s="8">
        <f>YEAR(tblSales[[#This Row],[Month]])</f>
        <v>2024</v>
      </c>
      <c r="P442" s="8">
        <f>MONTH(tblSales[[#This Row],[Month]])</f>
        <v>10</v>
      </c>
      <c r="Q442" s="6">
        <f>IFERROR(tblSales[[#This Row],[NetSalesTRY]]/tblSales[[#This Row],[Units]],0)</f>
        <v>941.58221518987341</v>
      </c>
      <c r="R442" s="17">
        <f>IFERROR(tblSales[[#This Row],[NetSalesTRY]]/tblSales[[#This Row],[TargetTRY]],0)</f>
        <v>0.95895996572315745</v>
      </c>
      <c r="S442" s="6">
        <f>tblSales[[#This Row],[NetSalesTRY]]-tblSales[[#This Row],[TargetTRY]]</f>
        <v>-6366.820000000007</v>
      </c>
      <c r="T442" s="6">
        <f>MAX(tblSales[[#This Row],[TargetTRY]]-tblSales[[#This Row],[NetSalesTRY]],0)</f>
        <v>6366.820000000007</v>
      </c>
    </row>
    <row r="443" spans="1:20">
      <c r="A443" t="s">
        <v>831</v>
      </c>
      <c r="B443" s="15">
        <v>45566</v>
      </c>
      <c r="C443" t="s">
        <v>19</v>
      </c>
      <c r="D443" t="s">
        <v>20</v>
      </c>
      <c r="E443" t="s">
        <v>40</v>
      </c>
      <c r="F443" t="s">
        <v>38</v>
      </c>
      <c r="G443" t="s">
        <v>8</v>
      </c>
      <c r="H443" s="8">
        <v>197</v>
      </c>
      <c r="I443" s="9">
        <v>150494.49</v>
      </c>
      <c r="J443" s="9">
        <v>5591.44</v>
      </c>
      <c r="K443" s="9">
        <v>880.91</v>
      </c>
      <c r="L443" s="9">
        <v>144022.15</v>
      </c>
      <c r="M443" s="9">
        <v>144506.87</v>
      </c>
      <c r="N443" s="6" t="str">
        <f>_xlfn.XLOOKUP(tblSales[[#This Row],[ProductID]],tblProducts[ProductID],tblProducts[ProductName],"Not Found")</f>
        <v>GlucoRelief</v>
      </c>
      <c r="O443" s="8">
        <f>YEAR(tblSales[[#This Row],[Month]])</f>
        <v>2024</v>
      </c>
      <c r="P443" s="8">
        <f>MONTH(tblSales[[#This Row],[Month]])</f>
        <v>10</v>
      </c>
      <c r="Q443" s="6">
        <f>IFERROR(tblSales[[#This Row],[NetSalesTRY]]/tblSales[[#This Row],[Units]],0)</f>
        <v>731.07690355329942</v>
      </c>
      <c r="R443" s="17">
        <f>IFERROR(tblSales[[#This Row],[NetSalesTRY]]/tblSales[[#This Row],[TargetTRY]],0)</f>
        <v>0.99664569580671147</v>
      </c>
      <c r="S443" s="6">
        <f>tblSales[[#This Row],[NetSalesTRY]]-tblSales[[#This Row],[TargetTRY]]</f>
        <v>-484.72000000000116</v>
      </c>
      <c r="T443" s="6">
        <f>MAX(tblSales[[#This Row],[TargetTRY]]-tblSales[[#This Row],[NetSalesTRY]],0)</f>
        <v>484.72000000000116</v>
      </c>
    </row>
    <row r="444" spans="1:20">
      <c r="A444" t="s">
        <v>832</v>
      </c>
      <c r="B444" s="15">
        <v>45566</v>
      </c>
      <c r="C444" t="s">
        <v>19</v>
      </c>
      <c r="D444" t="s">
        <v>20</v>
      </c>
      <c r="E444" t="s">
        <v>40</v>
      </c>
      <c r="F444" t="s">
        <v>38</v>
      </c>
      <c r="G444" t="s">
        <v>11</v>
      </c>
      <c r="H444" s="8">
        <v>250</v>
      </c>
      <c r="I444" s="9">
        <v>155789.16</v>
      </c>
      <c r="J444" s="9">
        <v>7094.24</v>
      </c>
      <c r="K444" s="9">
        <v>1541.84</v>
      </c>
      <c r="L444" s="9">
        <v>147153.07999999999</v>
      </c>
      <c r="M444" s="9">
        <v>142446.99</v>
      </c>
      <c r="N444" s="6" t="str">
        <f>_xlfn.XLOOKUP(tblSales[[#This Row],[ProductID]],tblProducts[ProductID],tblProducts[ProductName],"Not Found")</f>
        <v>RespiraX</v>
      </c>
      <c r="O444" s="8">
        <f>YEAR(tblSales[[#This Row],[Month]])</f>
        <v>2024</v>
      </c>
      <c r="P444" s="8">
        <f>MONTH(tblSales[[#This Row],[Month]])</f>
        <v>10</v>
      </c>
      <c r="Q444" s="6">
        <f>IFERROR(tblSales[[#This Row],[NetSalesTRY]]/tblSales[[#This Row],[Units]],0)</f>
        <v>588.61231999999995</v>
      </c>
      <c r="R444" s="17">
        <f>IFERROR(tblSales[[#This Row],[NetSalesTRY]]/tblSales[[#This Row],[TargetTRY]],0)</f>
        <v>1.0330374829261046</v>
      </c>
      <c r="S444" s="6">
        <f>tblSales[[#This Row],[NetSalesTRY]]-tblSales[[#This Row],[TargetTRY]]</f>
        <v>4706.0899999999965</v>
      </c>
      <c r="T444" s="6">
        <f>MAX(tblSales[[#This Row],[TargetTRY]]-tblSales[[#This Row],[NetSalesTRY]],0)</f>
        <v>0</v>
      </c>
    </row>
    <row r="445" spans="1:20">
      <c r="A445" t="s">
        <v>833</v>
      </c>
      <c r="B445" s="15">
        <v>45566</v>
      </c>
      <c r="C445" t="s">
        <v>19</v>
      </c>
      <c r="D445" t="s">
        <v>20</v>
      </c>
      <c r="E445" t="s">
        <v>40</v>
      </c>
      <c r="F445" t="s">
        <v>38</v>
      </c>
      <c r="G445" t="s">
        <v>14</v>
      </c>
      <c r="H445" s="8">
        <v>130</v>
      </c>
      <c r="I445" s="9">
        <v>141852.01999999999</v>
      </c>
      <c r="J445" s="9">
        <v>6030.06</v>
      </c>
      <c r="K445" s="9">
        <v>1333.15</v>
      </c>
      <c r="L445" s="9">
        <v>134488.81</v>
      </c>
      <c r="M445" s="9">
        <v>132899.57999999999</v>
      </c>
      <c r="N445" s="6" t="str">
        <f>_xlfn.XLOOKUP(tblSales[[#This Row],[ProductID]],tblProducts[ProductID],tblProducts[ProductName],"Not Found")</f>
        <v>NeuroCalm</v>
      </c>
      <c r="O445" s="8">
        <f>YEAR(tblSales[[#This Row],[Month]])</f>
        <v>2024</v>
      </c>
      <c r="P445" s="8">
        <f>MONTH(tblSales[[#This Row],[Month]])</f>
        <v>10</v>
      </c>
      <c r="Q445" s="6">
        <f>IFERROR(tblSales[[#This Row],[NetSalesTRY]]/tblSales[[#This Row],[Units]],0)</f>
        <v>1034.5293076923076</v>
      </c>
      <c r="R445" s="17">
        <f>IFERROR(tblSales[[#This Row],[NetSalesTRY]]/tblSales[[#This Row],[TargetTRY]],0)</f>
        <v>1.0119581265794821</v>
      </c>
      <c r="S445" s="6">
        <f>tblSales[[#This Row],[NetSalesTRY]]-tblSales[[#This Row],[TargetTRY]]</f>
        <v>1589.2300000000105</v>
      </c>
      <c r="T445" s="6">
        <f>MAX(tblSales[[#This Row],[TargetTRY]]-tblSales[[#This Row],[NetSalesTRY]],0)</f>
        <v>0</v>
      </c>
    </row>
    <row r="446" spans="1:20">
      <c r="A446" t="s">
        <v>834</v>
      </c>
      <c r="B446" s="15">
        <v>45566</v>
      </c>
      <c r="C446" t="s">
        <v>21</v>
      </c>
      <c r="D446" t="s">
        <v>22</v>
      </c>
      <c r="E446" t="s">
        <v>43</v>
      </c>
      <c r="F446" t="s">
        <v>41</v>
      </c>
      <c r="G446" t="s">
        <v>5</v>
      </c>
      <c r="H446" s="8">
        <v>117</v>
      </c>
      <c r="I446" s="9">
        <v>114820.68</v>
      </c>
      <c r="J446" s="9">
        <v>5860.62</v>
      </c>
      <c r="K446" s="9">
        <v>1366.11</v>
      </c>
      <c r="L446" s="9">
        <v>107593.95</v>
      </c>
      <c r="M446" s="9">
        <v>112511.5</v>
      </c>
      <c r="N446" s="6" t="str">
        <f>_xlfn.XLOOKUP(tblSales[[#This Row],[ProductID]],tblProducts[ProductID],tblProducts[ProductName],"Not Found")</f>
        <v>Cardiovan</v>
      </c>
      <c r="O446" s="8">
        <f>YEAR(tblSales[[#This Row],[Month]])</f>
        <v>2024</v>
      </c>
      <c r="P446" s="8">
        <f>MONTH(tblSales[[#This Row],[Month]])</f>
        <v>10</v>
      </c>
      <c r="Q446" s="6">
        <f>IFERROR(tblSales[[#This Row],[NetSalesTRY]]/tblSales[[#This Row],[Units]],0)</f>
        <v>919.60641025641019</v>
      </c>
      <c r="R446" s="17">
        <f>IFERROR(tblSales[[#This Row],[NetSalesTRY]]/tblSales[[#This Row],[TargetTRY]],0)</f>
        <v>0.95629291228007796</v>
      </c>
      <c r="S446" s="6">
        <f>tblSales[[#This Row],[NetSalesTRY]]-tblSales[[#This Row],[TargetTRY]]</f>
        <v>-4917.5500000000029</v>
      </c>
      <c r="T446" s="6">
        <f>MAX(tblSales[[#This Row],[TargetTRY]]-tblSales[[#This Row],[NetSalesTRY]],0)</f>
        <v>4917.5500000000029</v>
      </c>
    </row>
    <row r="447" spans="1:20">
      <c r="A447" t="s">
        <v>835</v>
      </c>
      <c r="B447" s="15">
        <v>45566</v>
      </c>
      <c r="C447" t="s">
        <v>21</v>
      </c>
      <c r="D447" t="s">
        <v>22</v>
      </c>
      <c r="E447" t="s">
        <v>43</v>
      </c>
      <c r="F447" t="s">
        <v>41</v>
      </c>
      <c r="G447" t="s">
        <v>8</v>
      </c>
      <c r="H447" s="8">
        <v>153</v>
      </c>
      <c r="I447" s="9">
        <v>117249.37</v>
      </c>
      <c r="J447" s="9">
        <v>4490.12</v>
      </c>
      <c r="K447" s="9">
        <v>779.6</v>
      </c>
      <c r="L447" s="9">
        <v>111979.65</v>
      </c>
      <c r="M447" s="9">
        <v>105529.81</v>
      </c>
      <c r="N447" s="6" t="str">
        <f>_xlfn.XLOOKUP(tblSales[[#This Row],[ProductID]],tblProducts[ProductID],tblProducts[ProductName],"Not Found")</f>
        <v>GlucoRelief</v>
      </c>
      <c r="O447" s="8">
        <f>YEAR(tblSales[[#This Row],[Month]])</f>
        <v>2024</v>
      </c>
      <c r="P447" s="8">
        <f>MONTH(tblSales[[#This Row],[Month]])</f>
        <v>10</v>
      </c>
      <c r="Q447" s="6">
        <f>IFERROR(tblSales[[#This Row],[NetSalesTRY]]/tblSales[[#This Row],[Units]],0)</f>
        <v>731.89313725490194</v>
      </c>
      <c r="R447" s="17">
        <f>IFERROR(tblSales[[#This Row],[NetSalesTRY]]/tblSales[[#This Row],[TargetTRY]],0)</f>
        <v>1.061118654529938</v>
      </c>
      <c r="S447" s="6">
        <f>tblSales[[#This Row],[NetSalesTRY]]-tblSales[[#This Row],[TargetTRY]]</f>
        <v>6449.8399999999965</v>
      </c>
      <c r="T447" s="6">
        <f>MAX(tblSales[[#This Row],[TargetTRY]]-tblSales[[#This Row],[NetSalesTRY]],0)</f>
        <v>0</v>
      </c>
    </row>
    <row r="448" spans="1:20">
      <c r="A448" t="s">
        <v>836</v>
      </c>
      <c r="B448" s="15">
        <v>45566</v>
      </c>
      <c r="C448" t="s">
        <v>21</v>
      </c>
      <c r="D448" t="s">
        <v>22</v>
      </c>
      <c r="E448" t="s">
        <v>43</v>
      </c>
      <c r="F448" t="s">
        <v>41</v>
      </c>
      <c r="G448" t="s">
        <v>11</v>
      </c>
      <c r="H448" s="8">
        <v>187</v>
      </c>
      <c r="I448" s="9">
        <v>117132.79</v>
      </c>
      <c r="J448" s="9">
        <v>6079.21</v>
      </c>
      <c r="K448" s="9">
        <v>550.09</v>
      </c>
      <c r="L448" s="9">
        <v>110503.49</v>
      </c>
      <c r="M448" s="9">
        <v>103945.67</v>
      </c>
      <c r="N448" s="6" t="str">
        <f>_xlfn.XLOOKUP(tblSales[[#This Row],[ProductID]],tblProducts[ProductID],tblProducts[ProductName],"Not Found")</f>
        <v>RespiraX</v>
      </c>
      <c r="O448" s="8">
        <f>YEAR(tblSales[[#This Row],[Month]])</f>
        <v>2024</v>
      </c>
      <c r="P448" s="8">
        <f>MONTH(tblSales[[#This Row],[Month]])</f>
        <v>10</v>
      </c>
      <c r="Q448" s="6">
        <f>IFERROR(tblSales[[#This Row],[NetSalesTRY]]/tblSales[[#This Row],[Units]],0)</f>
        <v>590.92775401069525</v>
      </c>
      <c r="R448" s="17">
        <f>IFERROR(tblSales[[#This Row],[NetSalesTRY]]/tblSales[[#This Row],[TargetTRY]],0)</f>
        <v>1.063088919432623</v>
      </c>
      <c r="S448" s="6">
        <f>tblSales[[#This Row],[NetSalesTRY]]-tblSales[[#This Row],[TargetTRY]]</f>
        <v>6557.820000000007</v>
      </c>
      <c r="T448" s="6">
        <f>MAX(tblSales[[#This Row],[TargetTRY]]-tblSales[[#This Row],[NetSalesTRY]],0)</f>
        <v>0</v>
      </c>
    </row>
    <row r="449" spans="1:20">
      <c r="A449" t="s">
        <v>837</v>
      </c>
      <c r="B449" s="15">
        <v>45566</v>
      </c>
      <c r="C449" t="s">
        <v>21</v>
      </c>
      <c r="D449" t="s">
        <v>22</v>
      </c>
      <c r="E449" t="s">
        <v>43</v>
      </c>
      <c r="F449" t="s">
        <v>41</v>
      </c>
      <c r="G449" t="s">
        <v>14</v>
      </c>
      <c r="H449" s="8">
        <v>89</v>
      </c>
      <c r="I449" s="9">
        <v>98755.58</v>
      </c>
      <c r="J449" s="9">
        <v>4135.4799999999996</v>
      </c>
      <c r="K449" s="9">
        <v>639.88</v>
      </c>
      <c r="L449" s="9">
        <v>93980.22</v>
      </c>
      <c r="M449" s="9">
        <v>97534.080000000002</v>
      </c>
      <c r="N449" s="6" t="str">
        <f>_xlfn.XLOOKUP(tblSales[[#This Row],[ProductID]],tblProducts[ProductID],tblProducts[ProductName],"Not Found")</f>
        <v>NeuroCalm</v>
      </c>
      <c r="O449" s="8">
        <f>YEAR(tblSales[[#This Row],[Month]])</f>
        <v>2024</v>
      </c>
      <c r="P449" s="8">
        <f>MONTH(tblSales[[#This Row],[Month]])</f>
        <v>10</v>
      </c>
      <c r="Q449" s="6">
        <f>IFERROR(tblSales[[#This Row],[NetSalesTRY]]/tblSales[[#This Row],[Units]],0)</f>
        <v>1055.9575280898875</v>
      </c>
      <c r="R449" s="17">
        <f>IFERROR(tblSales[[#This Row],[NetSalesTRY]]/tblSales[[#This Row],[TargetTRY]],0)</f>
        <v>0.96356289001752005</v>
      </c>
      <c r="S449" s="6">
        <f>tblSales[[#This Row],[NetSalesTRY]]-tblSales[[#This Row],[TargetTRY]]</f>
        <v>-3553.8600000000006</v>
      </c>
      <c r="T449" s="6">
        <f>MAX(tblSales[[#This Row],[TargetTRY]]-tblSales[[#This Row],[NetSalesTRY]],0)</f>
        <v>3553.8600000000006</v>
      </c>
    </row>
    <row r="450" spans="1:20">
      <c r="A450" t="s">
        <v>838</v>
      </c>
      <c r="B450" s="15">
        <v>45566</v>
      </c>
      <c r="C450" t="s">
        <v>21</v>
      </c>
      <c r="D450" t="s">
        <v>22</v>
      </c>
      <c r="E450" t="s">
        <v>46</v>
      </c>
      <c r="F450" t="s">
        <v>44</v>
      </c>
      <c r="G450" t="s">
        <v>5</v>
      </c>
      <c r="H450" s="8">
        <v>112</v>
      </c>
      <c r="I450" s="9">
        <v>108509.41</v>
      </c>
      <c r="J450" s="9">
        <v>4675.3100000000004</v>
      </c>
      <c r="K450" s="9">
        <v>536.33000000000004</v>
      </c>
      <c r="L450" s="9">
        <v>103297.77</v>
      </c>
      <c r="M450" s="9">
        <v>100030.23</v>
      </c>
      <c r="N450" s="6" t="str">
        <f>_xlfn.XLOOKUP(tblSales[[#This Row],[ProductID]],tblProducts[ProductID],tblProducts[ProductName],"Not Found")</f>
        <v>Cardiovan</v>
      </c>
      <c r="O450" s="8">
        <f>YEAR(tblSales[[#This Row],[Month]])</f>
        <v>2024</v>
      </c>
      <c r="P450" s="8">
        <f>MONTH(tblSales[[#This Row],[Month]])</f>
        <v>10</v>
      </c>
      <c r="Q450" s="6">
        <f>IFERROR(tblSales[[#This Row],[NetSalesTRY]]/tblSales[[#This Row],[Units]],0)</f>
        <v>922.30151785714293</v>
      </c>
      <c r="R450" s="17">
        <f>IFERROR(tblSales[[#This Row],[NetSalesTRY]]/tblSales[[#This Row],[TargetTRY]],0)</f>
        <v>1.0326655252117285</v>
      </c>
      <c r="S450" s="6">
        <f>tblSales[[#This Row],[NetSalesTRY]]-tblSales[[#This Row],[TargetTRY]]</f>
        <v>3267.5400000000081</v>
      </c>
      <c r="T450" s="6">
        <f>MAX(tblSales[[#This Row],[TargetTRY]]-tblSales[[#This Row],[NetSalesTRY]],0)</f>
        <v>0</v>
      </c>
    </row>
    <row r="451" spans="1:20">
      <c r="A451" t="s">
        <v>839</v>
      </c>
      <c r="B451" s="15">
        <v>45566</v>
      </c>
      <c r="C451" t="s">
        <v>21</v>
      </c>
      <c r="D451" t="s">
        <v>22</v>
      </c>
      <c r="E451" t="s">
        <v>46</v>
      </c>
      <c r="F451" t="s">
        <v>44</v>
      </c>
      <c r="G451" t="s">
        <v>8</v>
      </c>
      <c r="H451" s="8">
        <v>130</v>
      </c>
      <c r="I451" s="9">
        <v>99714.5</v>
      </c>
      <c r="J451" s="9">
        <v>7203.55</v>
      </c>
      <c r="K451" s="9">
        <v>545.42999999999995</v>
      </c>
      <c r="L451" s="9">
        <v>91965.52</v>
      </c>
      <c r="M451" s="9">
        <v>92278.61</v>
      </c>
      <c r="N451" s="6" t="str">
        <f>_xlfn.XLOOKUP(tblSales[[#This Row],[ProductID]],tblProducts[ProductID],tblProducts[ProductName],"Not Found")</f>
        <v>GlucoRelief</v>
      </c>
      <c r="O451" s="8">
        <f>YEAR(tblSales[[#This Row],[Month]])</f>
        <v>2024</v>
      </c>
      <c r="P451" s="8">
        <f>MONTH(tblSales[[#This Row],[Month]])</f>
        <v>10</v>
      </c>
      <c r="Q451" s="6">
        <f>IFERROR(tblSales[[#This Row],[NetSalesTRY]]/tblSales[[#This Row],[Units]],0)</f>
        <v>707.42707692307692</v>
      </c>
      <c r="R451" s="17">
        <f>IFERROR(tblSales[[#This Row],[NetSalesTRY]]/tblSales[[#This Row],[TargetTRY]],0)</f>
        <v>0.99660712271240326</v>
      </c>
      <c r="S451" s="6">
        <f>tblSales[[#This Row],[NetSalesTRY]]-tblSales[[#This Row],[TargetTRY]]</f>
        <v>-313.08999999999651</v>
      </c>
      <c r="T451" s="6">
        <f>MAX(tblSales[[#This Row],[TargetTRY]]-tblSales[[#This Row],[NetSalesTRY]],0)</f>
        <v>313.08999999999651</v>
      </c>
    </row>
    <row r="452" spans="1:20">
      <c r="A452" t="s">
        <v>840</v>
      </c>
      <c r="B452" s="15">
        <v>45566</v>
      </c>
      <c r="C452" t="s">
        <v>21</v>
      </c>
      <c r="D452" t="s">
        <v>22</v>
      </c>
      <c r="E452" t="s">
        <v>46</v>
      </c>
      <c r="F452" t="s">
        <v>44</v>
      </c>
      <c r="G452" t="s">
        <v>11</v>
      </c>
      <c r="H452" s="8">
        <v>160</v>
      </c>
      <c r="I452" s="9">
        <v>100317.15</v>
      </c>
      <c r="J452" s="9">
        <v>4235.9399999999996</v>
      </c>
      <c r="K452" s="9">
        <v>1090.74</v>
      </c>
      <c r="L452" s="9">
        <v>94990.47</v>
      </c>
      <c r="M452" s="9">
        <v>92194.3</v>
      </c>
      <c r="N452" s="6" t="str">
        <f>_xlfn.XLOOKUP(tblSales[[#This Row],[ProductID]],tblProducts[ProductID],tblProducts[ProductName],"Not Found")</f>
        <v>RespiraX</v>
      </c>
      <c r="O452" s="8">
        <f>YEAR(tblSales[[#This Row],[Month]])</f>
        <v>2024</v>
      </c>
      <c r="P452" s="8">
        <f>MONTH(tblSales[[#This Row],[Month]])</f>
        <v>10</v>
      </c>
      <c r="Q452" s="6">
        <f>IFERROR(tblSales[[#This Row],[NetSalesTRY]]/tblSales[[#This Row],[Units]],0)</f>
        <v>593.69043750000003</v>
      </c>
      <c r="R452" s="17">
        <f>IFERROR(tblSales[[#This Row],[NetSalesTRY]]/tblSales[[#This Row],[TargetTRY]],0)</f>
        <v>1.0303290984366713</v>
      </c>
      <c r="S452" s="6">
        <f>tblSales[[#This Row],[NetSalesTRY]]-tblSales[[#This Row],[TargetTRY]]</f>
        <v>2796.1699999999983</v>
      </c>
      <c r="T452" s="6">
        <f>MAX(tblSales[[#This Row],[TargetTRY]]-tblSales[[#This Row],[NetSalesTRY]],0)</f>
        <v>0</v>
      </c>
    </row>
    <row r="453" spans="1:20">
      <c r="A453" t="s">
        <v>841</v>
      </c>
      <c r="B453" s="15">
        <v>45566</v>
      </c>
      <c r="C453" t="s">
        <v>21</v>
      </c>
      <c r="D453" t="s">
        <v>22</v>
      </c>
      <c r="E453" t="s">
        <v>46</v>
      </c>
      <c r="F453" t="s">
        <v>44</v>
      </c>
      <c r="G453" t="s">
        <v>14</v>
      </c>
      <c r="H453" s="8">
        <v>81</v>
      </c>
      <c r="I453" s="9">
        <v>89800.48</v>
      </c>
      <c r="J453" s="9">
        <v>3889.41</v>
      </c>
      <c r="K453" s="9">
        <v>1216.1500000000001</v>
      </c>
      <c r="L453" s="9">
        <v>84694.93</v>
      </c>
      <c r="M453" s="9">
        <v>85629.13</v>
      </c>
      <c r="N453" s="6" t="str">
        <f>_xlfn.XLOOKUP(tblSales[[#This Row],[ProductID]],tblProducts[ProductID],tblProducts[ProductName],"Not Found")</f>
        <v>NeuroCalm</v>
      </c>
      <c r="O453" s="8">
        <f>YEAR(tblSales[[#This Row],[Month]])</f>
        <v>2024</v>
      </c>
      <c r="P453" s="8">
        <f>MONTH(tblSales[[#This Row],[Month]])</f>
        <v>10</v>
      </c>
      <c r="Q453" s="6">
        <f>IFERROR(tblSales[[#This Row],[NetSalesTRY]]/tblSales[[#This Row],[Units]],0)</f>
        <v>1045.6164197530863</v>
      </c>
      <c r="R453" s="17">
        <f>IFERROR(tblSales[[#This Row],[NetSalesTRY]]/tblSales[[#This Row],[TargetTRY]],0)</f>
        <v>0.98909016125703941</v>
      </c>
      <c r="S453" s="6">
        <f>tblSales[[#This Row],[NetSalesTRY]]-tblSales[[#This Row],[TargetTRY]]</f>
        <v>-934.20000000001164</v>
      </c>
      <c r="T453" s="6">
        <f>MAX(tblSales[[#This Row],[TargetTRY]]-tblSales[[#This Row],[NetSalesTRY]],0)</f>
        <v>934.20000000001164</v>
      </c>
    </row>
    <row r="454" spans="1:20">
      <c r="A454" t="s">
        <v>842</v>
      </c>
      <c r="B454" s="15">
        <v>45566</v>
      </c>
      <c r="C454" t="s">
        <v>21</v>
      </c>
      <c r="D454" t="s">
        <v>22</v>
      </c>
      <c r="E454" t="s">
        <v>49</v>
      </c>
      <c r="F454" t="s">
        <v>47</v>
      </c>
      <c r="G454" t="s">
        <v>5</v>
      </c>
      <c r="H454" s="8">
        <v>121</v>
      </c>
      <c r="I454" s="9">
        <v>119624.85</v>
      </c>
      <c r="J454" s="9">
        <v>8794.02</v>
      </c>
      <c r="K454" s="9">
        <v>1630.6</v>
      </c>
      <c r="L454" s="9">
        <v>109200.23</v>
      </c>
      <c r="M454" s="9">
        <v>112378.79</v>
      </c>
      <c r="N454" s="6" t="str">
        <f>_xlfn.XLOOKUP(tblSales[[#This Row],[ProductID]],tblProducts[ProductID],tblProducts[ProductName],"Not Found")</f>
        <v>Cardiovan</v>
      </c>
      <c r="O454" s="8">
        <f>YEAR(tblSales[[#This Row],[Month]])</f>
        <v>2024</v>
      </c>
      <c r="P454" s="8">
        <f>MONTH(tblSales[[#This Row],[Month]])</f>
        <v>10</v>
      </c>
      <c r="Q454" s="6">
        <f>IFERROR(tblSales[[#This Row],[NetSalesTRY]]/tblSales[[#This Row],[Units]],0)</f>
        <v>902.48123966942148</v>
      </c>
      <c r="R454" s="17">
        <f>IFERROR(tblSales[[#This Row],[NetSalesTRY]]/tblSales[[#This Row],[TargetTRY]],0)</f>
        <v>0.97171565915596714</v>
      </c>
      <c r="S454" s="6">
        <f>tblSales[[#This Row],[NetSalesTRY]]-tblSales[[#This Row],[TargetTRY]]</f>
        <v>-3178.5599999999977</v>
      </c>
      <c r="T454" s="6">
        <f>MAX(tblSales[[#This Row],[TargetTRY]]-tblSales[[#This Row],[NetSalesTRY]],0)</f>
        <v>3178.5599999999977</v>
      </c>
    </row>
    <row r="455" spans="1:20">
      <c r="A455" t="s">
        <v>843</v>
      </c>
      <c r="B455" s="15">
        <v>45566</v>
      </c>
      <c r="C455" t="s">
        <v>21</v>
      </c>
      <c r="D455" t="s">
        <v>22</v>
      </c>
      <c r="E455" t="s">
        <v>49</v>
      </c>
      <c r="F455" t="s">
        <v>47</v>
      </c>
      <c r="G455" t="s">
        <v>8</v>
      </c>
      <c r="H455" s="8">
        <v>140</v>
      </c>
      <c r="I455" s="9">
        <v>106397.8</v>
      </c>
      <c r="J455" s="9">
        <v>4950.29</v>
      </c>
      <c r="K455" s="9">
        <v>945.49</v>
      </c>
      <c r="L455" s="9">
        <v>100502.03</v>
      </c>
      <c r="M455" s="9">
        <v>103881.7</v>
      </c>
      <c r="N455" s="6" t="str">
        <f>_xlfn.XLOOKUP(tblSales[[#This Row],[ProductID]],tblProducts[ProductID],tblProducts[ProductName],"Not Found")</f>
        <v>GlucoRelief</v>
      </c>
      <c r="O455" s="8">
        <f>YEAR(tblSales[[#This Row],[Month]])</f>
        <v>2024</v>
      </c>
      <c r="P455" s="8">
        <f>MONTH(tblSales[[#This Row],[Month]])</f>
        <v>10</v>
      </c>
      <c r="Q455" s="6">
        <f>IFERROR(tblSales[[#This Row],[NetSalesTRY]]/tblSales[[#This Row],[Units]],0)</f>
        <v>717.87164285714289</v>
      </c>
      <c r="R455" s="17">
        <f>IFERROR(tblSales[[#This Row],[NetSalesTRY]]/tblSales[[#This Row],[TargetTRY]],0)</f>
        <v>0.96746616584056677</v>
      </c>
      <c r="S455" s="6">
        <f>tblSales[[#This Row],[NetSalesTRY]]-tblSales[[#This Row],[TargetTRY]]</f>
        <v>-3379.6699999999983</v>
      </c>
      <c r="T455" s="6">
        <f>MAX(tblSales[[#This Row],[TargetTRY]]-tblSales[[#This Row],[NetSalesTRY]],0)</f>
        <v>3379.6699999999983</v>
      </c>
    </row>
    <row r="456" spans="1:20">
      <c r="A456" t="s">
        <v>844</v>
      </c>
      <c r="B456" s="15">
        <v>45566</v>
      </c>
      <c r="C456" t="s">
        <v>21</v>
      </c>
      <c r="D456" t="s">
        <v>22</v>
      </c>
      <c r="E456" t="s">
        <v>49</v>
      </c>
      <c r="F456" t="s">
        <v>47</v>
      </c>
      <c r="G456" t="s">
        <v>11</v>
      </c>
      <c r="H456" s="8">
        <v>183</v>
      </c>
      <c r="I456" s="9">
        <v>114474.5</v>
      </c>
      <c r="J456" s="9">
        <v>4060.01</v>
      </c>
      <c r="K456" s="9">
        <v>1225.72</v>
      </c>
      <c r="L456" s="9">
        <v>109188.77</v>
      </c>
      <c r="M456" s="9">
        <v>104476.26</v>
      </c>
      <c r="N456" s="6" t="str">
        <f>_xlfn.XLOOKUP(tblSales[[#This Row],[ProductID]],tblProducts[ProductID],tblProducts[ProductName],"Not Found")</f>
        <v>RespiraX</v>
      </c>
      <c r="O456" s="8">
        <f>YEAR(tblSales[[#This Row],[Month]])</f>
        <v>2024</v>
      </c>
      <c r="P456" s="8">
        <f>MONTH(tblSales[[#This Row],[Month]])</f>
        <v>10</v>
      </c>
      <c r="Q456" s="6">
        <f>IFERROR(tblSales[[#This Row],[NetSalesTRY]]/tblSales[[#This Row],[Units]],0)</f>
        <v>596.65994535519133</v>
      </c>
      <c r="R456" s="17">
        <f>IFERROR(tblSales[[#This Row],[NetSalesTRY]]/tblSales[[#This Row],[TargetTRY]],0)</f>
        <v>1.0451060365292557</v>
      </c>
      <c r="S456" s="6">
        <f>tblSales[[#This Row],[NetSalesTRY]]-tblSales[[#This Row],[TargetTRY]]</f>
        <v>4712.5100000000093</v>
      </c>
      <c r="T456" s="6">
        <f>MAX(tblSales[[#This Row],[TargetTRY]]-tblSales[[#This Row],[NetSalesTRY]],0)</f>
        <v>0</v>
      </c>
    </row>
    <row r="457" spans="1:20">
      <c r="A457" t="s">
        <v>845</v>
      </c>
      <c r="B457" s="15">
        <v>45566</v>
      </c>
      <c r="C457" t="s">
        <v>21</v>
      </c>
      <c r="D457" t="s">
        <v>22</v>
      </c>
      <c r="E457" t="s">
        <v>49</v>
      </c>
      <c r="F457" t="s">
        <v>47</v>
      </c>
      <c r="G457" t="s">
        <v>14</v>
      </c>
      <c r="H457" s="8">
        <v>92</v>
      </c>
      <c r="I457" s="9">
        <v>99715.34</v>
      </c>
      <c r="J457" s="9">
        <v>4673.5600000000004</v>
      </c>
      <c r="K457" s="9">
        <v>419.8</v>
      </c>
      <c r="L457" s="9">
        <v>94621.98</v>
      </c>
      <c r="M457" s="9">
        <v>96119.039999999994</v>
      </c>
      <c r="N457" s="6" t="str">
        <f>_xlfn.XLOOKUP(tblSales[[#This Row],[ProductID]],tblProducts[ProductID],tblProducts[ProductName],"Not Found")</f>
        <v>NeuroCalm</v>
      </c>
      <c r="O457" s="8">
        <f>YEAR(tblSales[[#This Row],[Month]])</f>
        <v>2024</v>
      </c>
      <c r="P457" s="8">
        <f>MONTH(tblSales[[#This Row],[Month]])</f>
        <v>10</v>
      </c>
      <c r="Q457" s="6">
        <f>IFERROR(tblSales[[#This Row],[NetSalesTRY]]/tblSales[[#This Row],[Units]],0)</f>
        <v>1028.4997826086956</v>
      </c>
      <c r="R457" s="17">
        <f>IFERROR(tblSales[[#This Row],[NetSalesTRY]]/tblSales[[#This Row],[TargetTRY]],0)</f>
        <v>0.98442493807678477</v>
      </c>
      <c r="S457" s="6">
        <f>tblSales[[#This Row],[NetSalesTRY]]-tblSales[[#This Row],[TargetTRY]]</f>
        <v>-1497.0599999999977</v>
      </c>
      <c r="T457" s="6">
        <f>MAX(tblSales[[#This Row],[TargetTRY]]-tblSales[[#This Row],[NetSalesTRY]],0)</f>
        <v>1497.0599999999977</v>
      </c>
    </row>
    <row r="458" spans="1:20">
      <c r="A458" t="s">
        <v>846</v>
      </c>
      <c r="B458" s="15">
        <v>45566</v>
      </c>
      <c r="C458" t="s">
        <v>23</v>
      </c>
      <c r="D458" t="s">
        <v>24</v>
      </c>
      <c r="E458" t="s">
        <v>52</v>
      </c>
      <c r="F458" t="s">
        <v>50</v>
      </c>
      <c r="G458" t="s">
        <v>5</v>
      </c>
      <c r="H458" s="8">
        <v>125</v>
      </c>
      <c r="I458" s="9">
        <v>123990.86</v>
      </c>
      <c r="J458" s="9">
        <v>6292.45</v>
      </c>
      <c r="K458" s="9">
        <v>759.48</v>
      </c>
      <c r="L458" s="9">
        <v>116938.94</v>
      </c>
      <c r="M458" s="9">
        <v>112132.54</v>
      </c>
      <c r="N458" s="6" t="str">
        <f>_xlfn.XLOOKUP(tblSales[[#This Row],[ProductID]],tblProducts[ProductID],tblProducts[ProductName],"Not Found")</f>
        <v>Cardiovan</v>
      </c>
      <c r="O458" s="8">
        <f>YEAR(tblSales[[#This Row],[Month]])</f>
        <v>2024</v>
      </c>
      <c r="P458" s="8">
        <f>MONTH(tblSales[[#This Row],[Month]])</f>
        <v>10</v>
      </c>
      <c r="Q458" s="6">
        <f>IFERROR(tblSales[[#This Row],[NetSalesTRY]]/tblSales[[#This Row],[Units]],0)</f>
        <v>935.51152000000002</v>
      </c>
      <c r="R458" s="17">
        <f>IFERROR(tblSales[[#This Row],[NetSalesTRY]]/tblSales[[#This Row],[TargetTRY]],0)</f>
        <v>1.0428635612820329</v>
      </c>
      <c r="S458" s="6">
        <f>tblSales[[#This Row],[NetSalesTRY]]-tblSales[[#This Row],[TargetTRY]]</f>
        <v>4806.4000000000087</v>
      </c>
      <c r="T458" s="6">
        <f>MAX(tblSales[[#This Row],[TargetTRY]]-tblSales[[#This Row],[NetSalesTRY]],0)</f>
        <v>0</v>
      </c>
    </row>
    <row r="459" spans="1:20">
      <c r="A459" t="s">
        <v>847</v>
      </c>
      <c r="B459" s="15">
        <v>45566</v>
      </c>
      <c r="C459" t="s">
        <v>23</v>
      </c>
      <c r="D459" t="s">
        <v>24</v>
      </c>
      <c r="E459" t="s">
        <v>52</v>
      </c>
      <c r="F459" t="s">
        <v>50</v>
      </c>
      <c r="G459" t="s">
        <v>8</v>
      </c>
      <c r="H459" s="8">
        <v>146</v>
      </c>
      <c r="I459" s="9">
        <v>109504.94</v>
      </c>
      <c r="J459" s="9">
        <v>6578.82</v>
      </c>
      <c r="K459" s="9">
        <v>738.36</v>
      </c>
      <c r="L459" s="9">
        <v>102187.75</v>
      </c>
      <c r="M459" s="9">
        <v>105692.55</v>
      </c>
      <c r="N459" s="6" t="str">
        <f>_xlfn.XLOOKUP(tblSales[[#This Row],[ProductID]],tblProducts[ProductID],tblProducts[ProductName],"Not Found")</f>
        <v>GlucoRelief</v>
      </c>
      <c r="O459" s="8">
        <f>YEAR(tblSales[[#This Row],[Month]])</f>
        <v>2024</v>
      </c>
      <c r="P459" s="8">
        <f>MONTH(tblSales[[#This Row],[Month]])</f>
        <v>10</v>
      </c>
      <c r="Q459" s="6">
        <f>IFERROR(tblSales[[#This Row],[NetSalesTRY]]/tblSales[[#This Row],[Units]],0)</f>
        <v>699.91609589041093</v>
      </c>
      <c r="R459" s="17">
        <f>IFERROR(tblSales[[#This Row],[NetSalesTRY]]/tblSales[[#This Row],[TargetTRY]],0)</f>
        <v>0.96683966845345293</v>
      </c>
      <c r="S459" s="6">
        <f>tblSales[[#This Row],[NetSalesTRY]]-tblSales[[#This Row],[TargetTRY]]</f>
        <v>-3504.8000000000029</v>
      </c>
      <c r="T459" s="6">
        <f>MAX(tblSales[[#This Row],[TargetTRY]]-tblSales[[#This Row],[NetSalesTRY]],0)</f>
        <v>3504.8000000000029</v>
      </c>
    </row>
    <row r="460" spans="1:20">
      <c r="A460" t="s">
        <v>848</v>
      </c>
      <c r="B460" s="15">
        <v>45566</v>
      </c>
      <c r="C460" t="s">
        <v>23</v>
      </c>
      <c r="D460" t="s">
        <v>24</v>
      </c>
      <c r="E460" t="s">
        <v>52</v>
      </c>
      <c r="F460" t="s">
        <v>50</v>
      </c>
      <c r="G460" t="s">
        <v>11</v>
      </c>
      <c r="H460" s="8">
        <v>176</v>
      </c>
      <c r="I460" s="9">
        <v>110599.67</v>
      </c>
      <c r="J460" s="9">
        <v>7139.74</v>
      </c>
      <c r="K460" s="9">
        <v>1096.18</v>
      </c>
      <c r="L460" s="9">
        <v>102363.75</v>
      </c>
      <c r="M460" s="9">
        <v>104476.39</v>
      </c>
      <c r="N460" s="6" t="str">
        <f>_xlfn.XLOOKUP(tblSales[[#This Row],[ProductID]],tblProducts[ProductID],tblProducts[ProductName],"Not Found")</f>
        <v>RespiraX</v>
      </c>
      <c r="O460" s="8">
        <f>YEAR(tblSales[[#This Row],[Month]])</f>
        <v>2024</v>
      </c>
      <c r="P460" s="8">
        <f>MONTH(tblSales[[#This Row],[Month]])</f>
        <v>10</v>
      </c>
      <c r="Q460" s="6">
        <f>IFERROR(tblSales[[#This Row],[NetSalesTRY]]/tblSales[[#This Row],[Units]],0)</f>
        <v>581.61221590909088</v>
      </c>
      <c r="R460" s="17">
        <f>IFERROR(tblSales[[#This Row],[NetSalesTRY]]/tblSales[[#This Row],[TargetTRY]],0)</f>
        <v>0.97977878064125301</v>
      </c>
      <c r="S460" s="6">
        <f>tblSales[[#This Row],[NetSalesTRY]]-tblSales[[#This Row],[TargetTRY]]</f>
        <v>-2112.6399999999994</v>
      </c>
      <c r="T460" s="6">
        <f>MAX(tblSales[[#This Row],[TargetTRY]]-tblSales[[#This Row],[NetSalesTRY]],0)</f>
        <v>2112.6399999999994</v>
      </c>
    </row>
    <row r="461" spans="1:20">
      <c r="A461" t="s">
        <v>849</v>
      </c>
      <c r="B461" s="15">
        <v>45566</v>
      </c>
      <c r="C461" t="s">
        <v>23</v>
      </c>
      <c r="D461" t="s">
        <v>24</v>
      </c>
      <c r="E461" t="s">
        <v>52</v>
      </c>
      <c r="F461" t="s">
        <v>50</v>
      </c>
      <c r="G461" t="s">
        <v>14</v>
      </c>
      <c r="H461" s="8">
        <v>88</v>
      </c>
      <c r="I461" s="9">
        <v>96569.81</v>
      </c>
      <c r="J461" s="9">
        <v>6617</v>
      </c>
      <c r="K461" s="9">
        <v>816.9</v>
      </c>
      <c r="L461" s="9">
        <v>89135.91</v>
      </c>
      <c r="M461" s="9">
        <v>96865.79</v>
      </c>
      <c r="N461" s="6" t="str">
        <f>_xlfn.XLOOKUP(tblSales[[#This Row],[ProductID]],tblProducts[ProductID],tblProducts[ProductName],"Not Found")</f>
        <v>NeuroCalm</v>
      </c>
      <c r="O461" s="8">
        <f>YEAR(tblSales[[#This Row],[Month]])</f>
        <v>2024</v>
      </c>
      <c r="P461" s="8">
        <f>MONTH(tblSales[[#This Row],[Month]])</f>
        <v>10</v>
      </c>
      <c r="Q461" s="6">
        <f>IFERROR(tblSales[[#This Row],[NetSalesTRY]]/tblSales[[#This Row],[Units]],0)</f>
        <v>1012.9080681818182</v>
      </c>
      <c r="R461" s="17">
        <f>IFERROR(tblSales[[#This Row],[NetSalesTRY]]/tblSales[[#This Row],[TargetTRY]],0)</f>
        <v>0.9202001036692109</v>
      </c>
      <c r="S461" s="6">
        <f>tblSales[[#This Row],[NetSalesTRY]]-tblSales[[#This Row],[TargetTRY]]</f>
        <v>-7729.8799999999901</v>
      </c>
      <c r="T461" s="6">
        <f>MAX(tblSales[[#This Row],[TargetTRY]]-tblSales[[#This Row],[NetSalesTRY]],0)</f>
        <v>7729.8799999999901</v>
      </c>
    </row>
    <row r="462" spans="1:20">
      <c r="A462" t="s">
        <v>850</v>
      </c>
      <c r="B462" s="15">
        <v>45566</v>
      </c>
      <c r="C462" t="s">
        <v>23</v>
      </c>
      <c r="D462" t="s">
        <v>24</v>
      </c>
      <c r="E462" t="s">
        <v>55</v>
      </c>
      <c r="F462" t="s">
        <v>53</v>
      </c>
      <c r="G462" t="s">
        <v>5</v>
      </c>
      <c r="H462" s="8">
        <v>121</v>
      </c>
      <c r="I462" s="9">
        <v>119984.96000000001</v>
      </c>
      <c r="J462" s="9">
        <v>7526.52</v>
      </c>
      <c r="K462" s="9">
        <v>1162.3499999999999</v>
      </c>
      <c r="L462" s="9">
        <v>111296.09</v>
      </c>
      <c r="M462" s="9">
        <v>112622.12</v>
      </c>
      <c r="N462" s="6" t="str">
        <f>_xlfn.XLOOKUP(tblSales[[#This Row],[ProductID]],tblProducts[ProductID],tblProducts[ProductName],"Not Found")</f>
        <v>Cardiovan</v>
      </c>
      <c r="O462" s="8">
        <f>YEAR(tblSales[[#This Row],[Month]])</f>
        <v>2024</v>
      </c>
      <c r="P462" s="8">
        <f>MONTH(tblSales[[#This Row],[Month]])</f>
        <v>10</v>
      </c>
      <c r="Q462" s="6">
        <f>IFERROR(tblSales[[#This Row],[NetSalesTRY]]/tblSales[[#This Row],[Units]],0)</f>
        <v>919.80239669421485</v>
      </c>
      <c r="R462" s="17">
        <f>IFERROR(tblSales[[#This Row],[NetSalesTRY]]/tblSales[[#This Row],[TargetTRY]],0)</f>
        <v>0.98822584763987753</v>
      </c>
      <c r="S462" s="6">
        <f>tblSales[[#This Row],[NetSalesTRY]]-tblSales[[#This Row],[TargetTRY]]</f>
        <v>-1326.0299999999988</v>
      </c>
      <c r="T462" s="6">
        <f>MAX(tblSales[[#This Row],[TargetTRY]]-tblSales[[#This Row],[NetSalesTRY]],0)</f>
        <v>1326.0299999999988</v>
      </c>
    </row>
    <row r="463" spans="1:20">
      <c r="A463" t="s">
        <v>851</v>
      </c>
      <c r="B463" s="15">
        <v>45566</v>
      </c>
      <c r="C463" t="s">
        <v>23</v>
      </c>
      <c r="D463" t="s">
        <v>24</v>
      </c>
      <c r="E463" t="s">
        <v>55</v>
      </c>
      <c r="F463" t="s">
        <v>53</v>
      </c>
      <c r="G463" t="s">
        <v>8</v>
      </c>
      <c r="H463" s="8">
        <v>155</v>
      </c>
      <c r="I463" s="9">
        <v>118912.77</v>
      </c>
      <c r="J463" s="9">
        <v>4495.42</v>
      </c>
      <c r="K463" s="9">
        <v>555.76</v>
      </c>
      <c r="L463" s="9">
        <v>113861.59</v>
      </c>
      <c r="M463" s="9">
        <v>106266.4</v>
      </c>
      <c r="N463" s="6" t="str">
        <f>_xlfn.XLOOKUP(tblSales[[#This Row],[ProductID]],tblProducts[ProductID],tblProducts[ProductName],"Not Found")</f>
        <v>GlucoRelief</v>
      </c>
      <c r="O463" s="8">
        <f>YEAR(tblSales[[#This Row],[Month]])</f>
        <v>2024</v>
      </c>
      <c r="P463" s="8">
        <f>MONTH(tblSales[[#This Row],[Month]])</f>
        <v>10</v>
      </c>
      <c r="Q463" s="6">
        <f>IFERROR(tblSales[[#This Row],[NetSalesTRY]]/tblSales[[#This Row],[Units]],0)</f>
        <v>734.59090322580641</v>
      </c>
      <c r="R463" s="17">
        <f>IFERROR(tblSales[[#This Row],[NetSalesTRY]]/tblSales[[#This Row],[TargetTRY]],0)</f>
        <v>1.0714731090918672</v>
      </c>
      <c r="S463" s="6">
        <f>tblSales[[#This Row],[NetSalesTRY]]-tblSales[[#This Row],[TargetTRY]]</f>
        <v>7595.1900000000023</v>
      </c>
      <c r="T463" s="6">
        <f>MAX(tblSales[[#This Row],[TargetTRY]]-tblSales[[#This Row],[NetSalesTRY]],0)</f>
        <v>0</v>
      </c>
    </row>
    <row r="464" spans="1:20">
      <c r="A464" t="s">
        <v>852</v>
      </c>
      <c r="B464" s="15">
        <v>45566</v>
      </c>
      <c r="C464" t="s">
        <v>23</v>
      </c>
      <c r="D464" t="s">
        <v>24</v>
      </c>
      <c r="E464" t="s">
        <v>55</v>
      </c>
      <c r="F464" t="s">
        <v>53</v>
      </c>
      <c r="G464" t="s">
        <v>11</v>
      </c>
      <c r="H464" s="8">
        <v>178</v>
      </c>
      <c r="I464" s="9">
        <v>111299.47</v>
      </c>
      <c r="J464" s="9">
        <v>6081.93</v>
      </c>
      <c r="K464" s="9">
        <v>1292.95</v>
      </c>
      <c r="L464" s="9">
        <v>103924.58</v>
      </c>
      <c r="M464" s="9">
        <v>105124.42</v>
      </c>
      <c r="N464" s="6" t="str">
        <f>_xlfn.XLOOKUP(tblSales[[#This Row],[ProductID]],tblProducts[ProductID],tblProducts[ProductName],"Not Found")</f>
        <v>RespiraX</v>
      </c>
      <c r="O464" s="8">
        <f>YEAR(tblSales[[#This Row],[Month]])</f>
        <v>2024</v>
      </c>
      <c r="P464" s="8">
        <f>MONTH(tblSales[[#This Row],[Month]])</f>
        <v>10</v>
      </c>
      <c r="Q464" s="6">
        <f>IFERROR(tblSales[[#This Row],[NetSalesTRY]]/tblSales[[#This Row],[Units]],0)</f>
        <v>583.84595505617983</v>
      </c>
      <c r="R464" s="17">
        <f>IFERROR(tblSales[[#This Row],[NetSalesTRY]]/tblSales[[#This Row],[TargetTRY]],0)</f>
        <v>0.98858647686236945</v>
      </c>
      <c r="S464" s="6">
        <f>tblSales[[#This Row],[NetSalesTRY]]-tblSales[[#This Row],[TargetTRY]]</f>
        <v>-1199.8399999999965</v>
      </c>
      <c r="T464" s="6">
        <f>MAX(tblSales[[#This Row],[TargetTRY]]-tblSales[[#This Row],[NetSalesTRY]],0)</f>
        <v>1199.8399999999965</v>
      </c>
    </row>
    <row r="465" spans="1:20">
      <c r="A465" t="s">
        <v>853</v>
      </c>
      <c r="B465" s="15">
        <v>45566</v>
      </c>
      <c r="C465" t="s">
        <v>23</v>
      </c>
      <c r="D465" t="s">
        <v>24</v>
      </c>
      <c r="E465" t="s">
        <v>55</v>
      </c>
      <c r="F465" t="s">
        <v>53</v>
      </c>
      <c r="G465" t="s">
        <v>14</v>
      </c>
      <c r="H465" s="8">
        <v>96</v>
      </c>
      <c r="I465" s="9">
        <v>105305.33</v>
      </c>
      <c r="J465" s="9">
        <v>4054.73</v>
      </c>
      <c r="K465" s="9">
        <v>708.74</v>
      </c>
      <c r="L465" s="9">
        <v>100541.86</v>
      </c>
      <c r="M465" s="9">
        <v>97440.03</v>
      </c>
      <c r="N465" s="6" t="str">
        <f>_xlfn.XLOOKUP(tblSales[[#This Row],[ProductID]],tblProducts[ProductID],tblProducts[ProductName],"Not Found")</f>
        <v>NeuroCalm</v>
      </c>
      <c r="O465" s="8">
        <f>YEAR(tblSales[[#This Row],[Month]])</f>
        <v>2024</v>
      </c>
      <c r="P465" s="8">
        <f>MONTH(tblSales[[#This Row],[Month]])</f>
        <v>10</v>
      </c>
      <c r="Q465" s="6">
        <f>IFERROR(tblSales[[#This Row],[NetSalesTRY]]/tblSales[[#This Row],[Units]],0)</f>
        <v>1047.3110416666666</v>
      </c>
      <c r="R465" s="17">
        <f>IFERROR(tblSales[[#This Row],[NetSalesTRY]]/tblSales[[#This Row],[TargetTRY]],0)</f>
        <v>1.031833220905207</v>
      </c>
      <c r="S465" s="6">
        <f>tblSales[[#This Row],[NetSalesTRY]]-tblSales[[#This Row],[TargetTRY]]</f>
        <v>3101.8300000000017</v>
      </c>
      <c r="T465" s="6">
        <f>MAX(tblSales[[#This Row],[TargetTRY]]-tblSales[[#This Row],[NetSalesTRY]],0)</f>
        <v>0</v>
      </c>
    </row>
    <row r="466" spans="1:20">
      <c r="A466" t="s">
        <v>854</v>
      </c>
      <c r="B466" s="15">
        <v>45566</v>
      </c>
      <c r="C466" t="s">
        <v>23</v>
      </c>
      <c r="D466" t="s">
        <v>24</v>
      </c>
      <c r="E466" t="s">
        <v>58</v>
      </c>
      <c r="F466" t="s">
        <v>56</v>
      </c>
      <c r="G466" t="s">
        <v>5</v>
      </c>
      <c r="H466" s="8">
        <v>124</v>
      </c>
      <c r="I466" s="9">
        <v>121712.26</v>
      </c>
      <c r="J466" s="9">
        <v>4761.8500000000004</v>
      </c>
      <c r="K466" s="9">
        <v>1604.65</v>
      </c>
      <c r="L466" s="9">
        <v>115345.76</v>
      </c>
      <c r="M466" s="9">
        <v>115118</v>
      </c>
      <c r="N466" s="6" t="str">
        <f>_xlfn.XLOOKUP(tblSales[[#This Row],[ProductID]],tblProducts[ProductID],tblProducts[ProductName],"Not Found")</f>
        <v>Cardiovan</v>
      </c>
      <c r="O466" s="8">
        <f>YEAR(tblSales[[#This Row],[Month]])</f>
        <v>2024</v>
      </c>
      <c r="P466" s="8">
        <f>MONTH(tblSales[[#This Row],[Month]])</f>
        <v>10</v>
      </c>
      <c r="Q466" s="6">
        <f>IFERROR(tblSales[[#This Row],[NetSalesTRY]]/tblSales[[#This Row],[Units]],0)</f>
        <v>930.2077419354838</v>
      </c>
      <c r="R466" s="17">
        <f>IFERROR(tblSales[[#This Row],[NetSalesTRY]]/tblSales[[#This Row],[TargetTRY]],0)</f>
        <v>1.0019784916346706</v>
      </c>
      <c r="S466" s="6">
        <f>tblSales[[#This Row],[NetSalesTRY]]-tblSales[[#This Row],[TargetTRY]]</f>
        <v>227.75999999999476</v>
      </c>
      <c r="T466" s="6">
        <f>MAX(tblSales[[#This Row],[TargetTRY]]-tblSales[[#This Row],[NetSalesTRY]],0)</f>
        <v>0</v>
      </c>
    </row>
    <row r="467" spans="1:20">
      <c r="A467" t="s">
        <v>855</v>
      </c>
      <c r="B467" s="15">
        <v>45566</v>
      </c>
      <c r="C467" t="s">
        <v>23</v>
      </c>
      <c r="D467" t="s">
        <v>24</v>
      </c>
      <c r="E467" t="s">
        <v>58</v>
      </c>
      <c r="F467" t="s">
        <v>56</v>
      </c>
      <c r="G467" t="s">
        <v>8</v>
      </c>
      <c r="H467" s="8">
        <v>158</v>
      </c>
      <c r="I467" s="9">
        <v>119694.51</v>
      </c>
      <c r="J467" s="9">
        <v>5061.8500000000004</v>
      </c>
      <c r="K467" s="9">
        <v>1548.33</v>
      </c>
      <c r="L467" s="9">
        <v>113084.34</v>
      </c>
      <c r="M467" s="9">
        <v>108445.59</v>
      </c>
      <c r="N467" s="6" t="str">
        <f>_xlfn.XLOOKUP(tblSales[[#This Row],[ProductID]],tblProducts[ProductID],tblProducts[ProductName],"Not Found")</f>
        <v>GlucoRelief</v>
      </c>
      <c r="O467" s="8">
        <f>YEAR(tblSales[[#This Row],[Month]])</f>
        <v>2024</v>
      </c>
      <c r="P467" s="8">
        <f>MONTH(tblSales[[#This Row],[Month]])</f>
        <v>10</v>
      </c>
      <c r="Q467" s="6">
        <f>IFERROR(tblSales[[#This Row],[NetSalesTRY]]/tblSales[[#This Row],[Units]],0)</f>
        <v>715.72367088607598</v>
      </c>
      <c r="R467" s="17">
        <f>IFERROR(tblSales[[#This Row],[NetSalesTRY]]/tblSales[[#This Row],[TargetTRY]],0)</f>
        <v>1.0427749067527781</v>
      </c>
      <c r="S467" s="6">
        <f>tblSales[[#This Row],[NetSalesTRY]]-tblSales[[#This Row],[TargetTRY]]</f>
        <v>4638.75</v>
      </c>
      <c r="T467" s="6">
        <f>MAX(tblSales[[#This Row],[TargetTRY]]-tblSales[[#This Row],[NetSalesTRY]],0)</f>
        <v>0</v>
      </c>
    </row>
    <row r="468" spans="1:20">
      <c r="A468" t="s">
        <v>856</v>
      </c>
      <c r="B468" s="15">
        <v>45566</v>
      </c>
      <c r="C468" t="s">
        <v>23</v>
      </c>
      <c r="D468" t="s">
        <v>24</v>
      </c>
      <c r="E468" t="s">
        <v>58</v>
      </c>
      <c r="F468" t="s">
        <v>56</v>
      </c>
      <c r="G468" t="s">
        <v>11</v>
      </c>
      <c r="H468" s="8">
        <v>186</v>
      </c>
      <c r="I468" s="9">
        <v>114645.39</v>
      </c>
      <c r="J468" s="9">
        <v>5399.23</v>
      </c>
      <c r="K468" s="9">
        <v>548.69000000000005</v>
      </c>
      <c r="L468" s="9">
        <v>108697.46</v>
      </c>
      <c r="M468" s="9">
        <v>108309.31</v>
      </c>
      <c r="N468" s="6" t="str">
        <f>_xlfn.XLOOKUP(tblSales[[#This Row],[ProductID]],tblProducts[ProductID],tblProducts[ProductName],"Not Found")</f>
        <v>RespiraX</v>
      </c>
      <c r="O468" s="8">
        <f>YEAR(tblSales[[#This Row],[Month]])</f>
        <v>2024</v>
      </c>
      <c r="P468" s="8">
        <f>MONTH(tblSales[[#This Row],[Month]])</f>
        <v>10</v>
      </c>
      <c r="Q468" s="6">
        <f>IFERROR(tblSales[[#This Row],[NetSalesTRY]]/tblSales[[#This Row],[Units]],0)</f>
        <v>584.39494623655912</v>
      </c>
      <c r="R468" s="17">
        <f>IFERROR(tblSales[[#This Row],[NetSalesTRY]]/tblSales[[#This Row],[TargetTRY]],0)</f>
        <v>1.0035837177801243</v>
      </c>
      <c r="S468" s="6">
        <f>tblSales[[#This Row],[NetSalesTRY]]-tblSales[[#This Row],[TargetTRY]]</f>
        <v>388.15000000000873</v>
      </c>
      <c r="T468" s="6">
        <f>MAX(tblSales[[#This Row],[TargetTRY]]-tblSales[[#This Row],[NetSalesTRY]],0)</f>
        <v>0</v>
      </c>
    </row>
    <row r="469" spans="1:20">
      <c r="A469" t="s">
        <v>857</v>
      </c>
      <c r="B469" s="15">
        <v>45566</v>
      </c>
      <c r="C469" t="s">
        <v>23</v>
      </c>
      <c r="D469" t="s">
        <v>24</v>
      </c>
      <c r="E469" t="s">
        <v>58</v>
      </c>
      <c r="F469" t="s">
        <v>56</v>
      </c>
      <c r="G469" t="s">
        <v>14</v>
      </c>
      <c r="H469" s="8">
        <v>96</v>
      </c>
      <c r="I469" s="9">
        <v>106257.98</v>
      </c>
      <c r="J469" s="9">
        <v>5223.87</v>
      </c>
      <c r="K469" s="9">
        <v>611.14</v>
      </c>
      <c r="L469" s="9">
        <v>100422.97</v>
      </c>
      <c r="M469" s="9">
        <v>99270.18</v>
      </c>
      <c r="N469" s="6" t="str">
        <f>_xlfn.XLOOKUP(tblSales[[#This Row],[ProductID]],tblProducts[ProductID],tblProducts[ProductName],"Not Found")</f>
        <v>NeuroCalm</v>
      </c>
      <c r="O469" s="8">
        <f>YEAR(tblSales[[#This Row],[Month]])</f>
        <v>2024</v>
      </c>
      <c r="P469" s="8">
        <f>MONTH(tblSales[[#This Row],[Month]])</f>
        <v>10</v>
      </c>
      <c r="Q469" s="6">
        <f>IFERROR(tblSales[[#This Row],[NetSalesTRY]]/tblSales[[#This Row],[Units]],0)</f>
        <v>1046.0726041666667</v>
      </c>
      <c r="R469" s="17">
        <f>IFERROR(tblSales[[#This Row],[NetSalesTRY]]/tblSales[[#This Row],[TargetTRY]],0)</f>
        <v>1.0116126514528332</v>
      </c>
      <c r="S469" s="6">
        <f>tblSales[[#This Row],[NetSalesTRY]]-tblSales[[#This Row],[TargetTRY]]</f>
        <v>1152.7900000000081</v>
      </c>
      <c r="T469" s="6">
        <f>MAX(tblSales[[#This Row],[TargetTRY]]-tblSales[[#This Row],[NetSalesTRY]],0)</f>
        <v>0</v>
      </c>
    </row>
    <row r="470" spans="1:20">
      <c r="A470" t="s">
        <v>858</v>
      </c>
      <c r="B470" s="15">
        <v>45566</v>
      </c>
      <c r="C470" t="s">
        <v>25</v>
      </c>
      <c r="D470" t="s">
        <v>26</v>
      </c>
      <c r="E470" t="s">
        <v>61</v>
      </c>
      <c r="F470" t="s">
        <v>59</v>
      </c>
      <c r="G470" t="s">
        <v>5</v>
      </c>
      <c r="H470" s="8">
        <v>94</v>
      </c>
      <c r="I470" s="9">
        <v>92751.1</v>
      </c>
      <c r="J470" s="9">
        <v>3349.81</v>
      </c>
      <c r="K470" s="9">
        <v>909.32</v>
      </c>
      <c r="L470" s="9">
        <v>88491.98</v>
      </c>
      <c r="M470" s="9">
        <v>91434.34</v>
      </c>
      <c r="N470" s="6" t="str">
        <f>_xlfn.XLOOKUP(tblSales[[#This Row],[ProductID]],tblProducts[ProductID],tblProducts[ProductName],"Not Found")</f>
        <v>Cardiovan</v>
      </c>
      <c r="O470" s="8">
        <f>YEAR(tblSales[[#This Row],[Month]])</f>
        <v>2024</v>
      </c>
      <c r="P470" s="8">
        <f>MONTH(tblSales[[#This Row],[Month]])</f>
        <v>10</v>
      </c>
      <c r="Q470" s="6">
        <f>IFERROR(tblSales[[#This Row],[NetSalesTRY]]/tblSales[[#This Row],[Units]],0)</f>
        <v>941.4040425531914</v>
      </c>
      <c r="R470" s="17">
        <f>IFERROR(tblSales[[#This Row],[NetSalesTRY]]/tblSales[[#This Row],[TargetTRY]],0)</f>
        <v>0.9678199678589029</v>
      </c>
      <c r="S470" s="6">
        <f>tblSales[[#This Row],[NetSalesTRY]]-tblSales[[#This Row],[TargetTRY]]</f>
        <v>-2942.3600000000006</v>
      </c>
      <c r="T470" s="6">
        <f>MAX(tblSales[[#This Row],[TargetTRY]]-tblSales[[#This Row],[NetSalesTRY]],0)</f>
        <v>2942.3600000000006</v>
      </c>
    </row>
    <row r="471" spans="1:20">
      <c r="A471" t="s">
        <v>859</v>
      </c>
      <c r="B471" s="15">
        <v>45566</v>
      </c>
      <c r="C471" t="s">
        <v>25</v>
      </c>
      <c r="D471" t="s">
        <v>26</v>
      </c>
      <c r="E471" t="s">
        <v>61</v>
      </c>
      <c r="F471" t="s">
        <v>59</v>
      </c>
      <c r="G471" t="s">
        <v>8</v>
      </c>
      <c r="H471" s="8">
        <v>121</v>
      </c>
      <c r="I471" s="9">
        <v>90976.91</v>
      </c>
      <c r="J471" s="9">
        <v>5463.87</v>
      </c>
      <c r="K471" s="9">
        <v>1179.74</v>
      </c>
      <c r="L471" s="9">
        <v>84333.31</v>
      </c>
      <c r="M471" s="9">
        <v>84276.9</v>
      </c>
      <c r="N471" s="6" t="str">
        <f>_xlfn.XLOOKUP(tblSales[[#This Row],[ProductID]],tblProducts[ProductID],tblProducts[ProductName],"Not Found")</f>
        <v>GlucoRelief</v>
      </c>
      <c r="O471" s="8">
        <f>YEAR(tblSales[[#This Row],[Month]])</f>
        <v>2024</v>
      </c>
      <c r="P471" s="8">
        <f>MONTH(tblSales[[#This Row],[Month]])</f>
        <v>10</v>
      </c>
      <c r="Q471" s="6">
        <f>IFERROR(tblSales[[#This Row],[NetSalesTRY]]/tblSales[[#This Row],[Units]],0)</f>
        <v>696.96950413223135</v>
      </c>
      <c r="R471" s="17">
        <f>IFERROR(tblSales[[#This Row],[NetSalesTRY]]/tblSales[[#This Row],[TargetTRY]],0)</f>
        <v>1.0006693411836458</v>
      </c>
      <c r="S471" s="6">
        <f>tblSales[[#This Row],[NetSalesTRY]]-tblSales[[#This Row],[TargetTRY]]</f>
        <v>56.410000000003492</v>
      </c>
      <c r="T471" s="6">
        <f>MAX(tblSales[[#This Row],[TargetTRY]]-tblSales[[#This Row],[NetSalesTRY]],0)</f>
        <v>0</v>
      </c>
    </row>
    <row r="472" spans="1:20">
      <c r="A472" t="s">
        <v>860</v>
      </c>
      <c r="B472" s="15">
        <v>45566</v>
      </c>
      <c r="C472" t="s">
        <v>25</v>
      </c>
      <c r="D472" t="s">
        <v>26</v>
      </c>
      <c r="E472" t="s">
        <v>61</v>
      </c>
      <c r="F472" t="s">
        <v>59</v>
      </c>
      <c r="G472" t="s">
        <v>11</v>
      </c>
      <c r="H472" s="8">
        <v>138</v>
      </c>
      <c r="I472" s="9">
        <v>85206.6</v>
      </c>
      <c r="J472" s="9">
        <v>2986.56</v>
      </c>
      <c r="K472" s="9">
        <v>1063.26</v>
      </c>
      <c r="L472" s="9">
        <v>81156.78</v>
      </c>
      <c r="M472" s="9">
        <v>84457.98</v>
      </c>
      <c r="N472" s="6" t="str">
        <f>_xlfn.XLOOKUP(tblSales[[#This Row],[ProductID]],tblProducts[ProductID],tblProducts[ProductName],"Not Found")</f>
        <v>RespiraX</v>
      </c>
      <c r="O472" s="8">
        <f>YEAR(tblSales[[#This Row],[Month]])</f>
        <v>2024</v>
      </c>
      <c r="P472" s="8">
        <f>MONTH(tblSales[[#This Row],[Month]])</f>
        <v>10</v>
      </c>
      <c r="Q472" s="6">
        <f>IFERROR(tblSales[[#This Row],[NetSalesTRY]]/tblSales[[#This Row],[Units]],0)</f>
        <v>588.09260869565219</v>
      </c>
      <c r="R472" s="17">
        <f>IFERROR(tblSales[[#This Row],[NetSalesTRY]]/tblSales[[#This Row],[TargetTRY]],0)</f>
        <v>0.9609131073227184</v>
      </c>
      <c r="S472" s="6">
        <f>tblSales[[#This Row],[NetSalesTRY]]-tblSales[[#This Row],[TargetTRY]]</f>
        <v>-3301.1999999999971</v>
      </c>
      <c r="T472" s="6">
        <f>MAX(tblSales[[#This Row],[TargetTRY]]-tblSales[[#This Row],[NetSalesTRY]],0)</f>
        <v>3301.1999999999971</v>
      </c>
    </row>
    <row r="473" spans="1:20">
      <c r="A473" t="s">
        <v>861</v>
      </c>
      <c r="B473" s="15">
        <v>45566</v>
      </c>
      <c r="C473" t="s">
        <v>25</v>
      </c>
      <c r="D473" t="s">
        <v>26</v>
      </c>
      <c r="E473" t="s">
        <v>61</v>
      </c>
      <c r="F473" t="s">
        <v>59</v>
      </c>
      <c r="G473" t="s">
        <v>14</v>
      </c>
      <c r="H473" s="8">
        <v>77</v>
      </c>
      <c r="I473" s="9">
        <v>85957.5</v>
      </c>
      <c r="J473" s="9">
        <v>5748.79</v>
      </c>
      <c r="K473" s="9">
        <v>401.1</v>
      </c>
      <c r="L473" s="9">
        <v>79807.61</v>
      </c>
      <c r="M473" s="9">
        <v>78965.95</v>
      </c>
      <c r="N473" s="6" t="str">
        <f>_xlfn.XLOOKUP(tblSales[[#This Row],[ProductID]],tblProducts[ProductID],tblProducts[ProductName],"Not Found")</f>
        <v>NeuroCalm</v>
      </c>
      <c r="O473" s="8">
        <f>YEAR(tblSales[[#This Row],[Month]])</f>
        <v>2024</v>
      </c>
      <c r="P473" s="8">
        <f>MONTH(tblSales[[#This Row],[Month]])</f>
        <v>10</v>
      </c>
      <c r="Q473" s="6">
        <f>IFERROR(tblSales[[#This Row],[NetSalesTRY]]/tblSales[[#This Row],[Units]],0)</f>
        <v>1036.4624675324676</v>
      </c>
      <c r="R473" s="17">
        <f>IFERROR(tblSales[[#This Row],[NetSalesTRY]]/tblSales[[#This Row],[TargetTRY]],0)</f>
        <v>1.0106585180068119</v>
      </c>
      <c r="S473" s="6">
        <f>tblSales[[#This Row],[NetSalesTRY]]-tblSales[[#This Row],[TargetTRY]]</f>
        <v>841.66000000000349</v>
      </c>
      <c r="T473" s="6">
        <f>MAX(tblSales[[#This Row],[TargetTRY]]-tblSales[[#This Row],[NetSalesTRY]],0)</f>
        <v>0</v>
      </c>
    </row>
    <row r="474" spans="1:20">
      <c r="A474" t="s">
        <v>862</v>
      </c>
      <c r="B474" s="15">
        <v>45566</v>
      </c>
      <c r="C474" t="s">
        <v>25</v>
      </c>
      <c r="D474" t="s">
        <v>26</v>
      </c>
      <c r="E474" t="s">
        <v>64</v>
      </c>
      <c r="F474" t="s">
        <v>62</v>
      </c>
      <c r="G474" t="s">
        <v>5</v>
      </c>
      <c r="H474" s="8">
        <v>103</v>
      </c>
      <c r="I474" s="9">
        <v>100838.28</v>
      </c>
      <c r="J474" s="9">
        <v>4108.2700000000004</v>
      </c>
      <c r="K474" s="9">
        <v>1151.28</v>
      </c>
      <c r="L474" s="9">
        <v>95578.73</v>
      </c>
      <c r="M474" s="9">
        <v>91552.88</v>
      </c>
      <c r="N474" s="6" t="str">
        <f>_xlfn.XLOOKUP(tblSales[[#This Row],[ProductID]],tblProducts[ProductID],tblProducts[ProductName],"Not Found")</f>
        <v>Cardiovan</v>
      </c>
      <c r="O474" s="8">
        <f>YEAR(tblSales[[#This Row],[Month]])</f>
        <v>2024</v>
      </c>
      <c r="P474" s="8">
        <f>MONTH(tblSales[[#This Row],[Month]])</f>
        <v>10</v>
      </c>
      <c r="Q474" s="6">
        <f>IFERROR(tblSales[[#This Row],[NetSalesTRY]]/tblSales[[#This Row],[Units]],0)</f>
        <v>927.94883495145632</v>
      </c>
      <c r="R474" s="17">
        <f>IFERROR(tblSales[[#This Row],[NetSalesTRY]]/tblSales[[#This Row],[TargetTRY]],0)</f>
        <v>1.0439729476560431</v>
      </c>
      <c r="S474" s="6">
        <f>tblSales[[#This Row],[NetSalesTRY]]-tblSales[[#This Row],[TargetTRY]]</f>
        <v>4025.8499999999913</v>
      </c>
      <c r="T474" s="6">
        <f>MAX(tblSales[[#This Row],[TargetTRY]]-tblSales[[#This Row],[NetSalesTRY]],0)</f>
        <v>0</v>
      </c>
    </row>
    <row r="475" spans="1:20">
      <c r="A475" t="s">
        <v>863</v>
      </c>
      <c r="B475" s="15">
        <v>45566</v>
      </c>
      <c r="C475" t="s">
        <v>25</v>
      </c>
      <c r="D475" t="s">
        <v>26</v>
      </c>
      <c r="E475" t="s">
        <v>64</v>
      </c>
      <c r="F475" t="s">
        <v>62</v>
      </c>
      <c r="G475" t="s">
        <v>8</v>
      </c>
      <c r="H475" s="8">
        <v>117</v>
      </c>
      <c r="I475" s="9">
        <v>89520.06</v>
      </c>
      <c r="J475" s="9">
        <v>6391.55</v>
      </c>
      <c r="K475" s="9">
        <v>492</v>
      </c>
      <c r="L475" s="9">
        <v>82636.509999999995</v>
      </c>
      <c r="M475" s="9">
        <v>84948.87</v>
      </c>
      <c r="N475" s="6" t="str">
        <f>_xlfn.XLOOKUP(tblSales[[#This Row],[ProductID]],tblProducts[ProductID],tblProducts[ProductName],"Not Found")</f>
        <v>GlucoRelief</v>
      </c>
      <c r="O475" s="8">
        <f>YEAR(tblSales[[#This Row],[Month]])</f>
        <v>2024</v>
      </c>
      <c r="P475" s="8">
        <f>MONTH(tblSales[[#This Row],[Month]])</f>
        <v>10</v>
      </c>
      <c r="Q475" s="6">
        <f>IFERROR(tblSales[[#This Row],[NetSalesTRY]]/tblSales[[#This Row],[Units]],0)</f>
        <v>706.29495726495725</v>
      </c>
      <c r="R475" s="17">
        <f>IFERROR(tblSales[[#This Row],[NetSalesTRY]]/tblSales[[#This Row],[TargetTRY]],0)</f>
        <v>0.97277939070878749</v>
      </c>
      <c r="S475" s="6">
        <f>tblSales[[#This Row],[NetSalesTRY]]-tblSales[[#This Row],[TargetTRY]]</f>
        <v>-2312.3600000000006</v>
      </c>
      <c r="T475" s="6">
        <f>MAX(tblSales[[#This Row],[TargetTRY]]-tblSales[[#This Row],[NetSalesTRY]],0)</f>
        <v>2312.3600000000006</v>
      </c>
    </row>
    <row r="476" spans="1:20">
      <c r="A476" t="s">
        <v>864</v>
      </c>
      <c r="B476" s="15">
        <v>45566</v>
      </c>
      <c r="C476" t="s">
        <v>25</v>
      </c>
      <c r="D476" t="s">
        <v>26</v>
      </c>
      <c r="E476" t="s">
        <v>64</v>
      </c>
      <c r="F476" t="s">
        <v>62</v>
      </c>
      <c r="G476" t="s">
        <v>11</v>
      </c>
      <c r="H476" s="8">
        <v>140</v>
      </c>
      <c r="I476" s="9">
        <v>86148.27</v>
      </c>
      <c r="J476" s="9">
        <v>3901.97</v>
      </c>
      <c r="K476" s="9">
        <v>600.76</v>
      </c>
      <c r="L476" s="9">
        <v>81645.539999999994</v>
      </c>
      <c r="M476" s="9">
        <v>83074.850000000006</v>
      </c>
      <c r="N476" s="6" t="str">
        <f>_xlfn.XLOOKUP(tblSales[[#This Row],[ProductID]],tblProducts[ProductID],tblProducts[ProductName],"Not Found")</f>
        <v>RespiraX</v>
      </c>
      <c r="O476" s="8">
        <f>YEAR(tblSales[[#This Row],[Month]])</f>
        <v>2024</v>
      </c>
      <c r="P476" s="8">
        <f>MONTH(tblSales[[#This Row],[Month]])</f>
        <v>10</v>
      </c>
      <c r="Q476" s="6">
        <f>IFERROR(tblSales[[#This Row],[NetSalesTRY]]/tblSales[[#This Row],[Units]],0)</f>
        <v>583.18242857142855</v>
      </c>
      <c r="R476" s="17">
        <f>IFERROR(tblSales[[#This Row],[NetSalesTRY]]/tblSales[[#This Row],[TargetTRY]],0)</f>
        <v>0.98279491326195578</v>
      </c>
      <c r="S476" s="6">
        <f>tblSales[[#This Row],[NetSalesTRY]]-tblSales[[#This Row],[TargetTRY]]</f>
        <v>-1429.3100000000122</v>
      </c>
      <c r="T476" s="6">
        <f>MAX(tblSales[[#This Row],[TargetTRY]]-tblSales[[#This Row],[NetSalesTRY]],0)</f>
        <v>1429.3100000000122</v>
      </c>
    </row>
    <row r="477" spans="1:20">
      <c r="A477" t="s">
        <v>865</v>
      </c>
      <c r="B477" s="15">
        <v>45566</v>
      </c>
      <c r="C477" t="s">
        <v>25</v>
      </c>
      <c r="D477" t="s">
        <v>26</v>
      </c>
      <c r="E477" t="s">
        <v>64</v>
      </c>
      <c r="F477" t="s">
        <v>62</v>
      </c>
      <c r="G477" t="s">
        <v>14</v>
      </c>
      <c r="H477" s="8">
        <v>79</v>
      </c>
      <c r="I477" s="9">
        <v>86246</v>
      </c>
      <c r="J477" s="9">
        <v>5194.03</v>
      </c>
      <c r="K477" s="9">
        <v>842.17</v>
      </c>
      <c r="L477" s="9">
        <v>80209.8</v>
      </c>
      <c r="M477" s="9">
        <v>78797.509999999995</v>
      </c>
      <c r="N477" s="6" t="str">
        <f>_xlfn.XLOOKUP(tblSales[[#This Row],[ProductID]],tblProducts[ProductID],tblProducts[ProductName],"Not Found")</f>
        <v>NeuroCalm</v>
      </c>
      <c r="O477" s="8">
        <f>YEAR(tblSales[[#This Row],[Month]])</f>
        <v>2024</v>
      </c>
      <c r="P477" s="8">
        <f>MONTH(tblSales[[#This Row],[Month]])</f>
        <v>10</v>
      </c>
      <c r="Q477" s="6">
        <f>IFERROR(tblSales[[#This Row],[NetSalesTRY]]/tblSales[[#This Row],[Units]],0)</f>
        <v>1015.313924050633</v>
      </c>
      <c r="R477" s="17">
        <f>IFERROR(tblSales[[#This Row],[NetSalesTRY]]/tblSales[[#This Row],[TargetTRY]],0)</f>
        <v>1.0179230282784317</v>
      </c>
      <c r="S477" s="6">
        <f>tblSales[[#This Row],[NetSalesTRY]]-tblSales[[#This Row],[TargetTRY]]</f>
        <v>1412.2900000000081</v>
      </c>
      <c r="T477" s="6">
        <f>MAX(tblSales[[#This Row],[TargetTRY]]-tblSales[[#This Row],[NetSalesTRY]],0)</f>
        <v>0</v>
      </c>
    </row>
    <row r="478" spans="1:20">
      <c r="A478" t="s">
        <v>866</v>
      </c>
      <c r="B478" s="15">
        <v>45566</v>
      </c>
      <c r="C478" t="s">
        <v>25</v>
      </c>
      <c r="D478" t="s">
        <v>26</v>
      </c>
      <c r="E478" t="s">
        <v>67</v>
      </c>
      <c r="F478" t="s">
        <v>65</v>
      </c>
      <c r="G478" t="s">
        <v>5</v>
      </c>
      <c r="H478" s="8">
        <v>114</v>
      </c>
      <c r="I478" s="9">
        <v>113254.08</v>
      </c>
      <c r="J478" s="9">
        <v>5004.96</v>
      </c>
      <c r="K478" s="9">
        <v>717.08</v>
      </c>
      <c r="L478" s="9">
        <v>107532.03</v>
      </c>
      <c r="M478" s="9">
        <v>101978.81</v>
      </c>
      <c r="N478" s="6" t="str">
        <f>_xlfn.XLOOKUP(tblSales[[#This Row],[ProductID]],tblProducts[ProductID],tblProducts[ProductName],"Not Found")</f>
        <v>Cardiovan</v>
      </c>
      <c r="O478" s="8">
        <f>YEAR(tblSales[[#This Row],[Month]])</f>
        <v>2024</v>
      </c>
      <c r="P478" s="8">
        <f>MONTH(tblSales[[#This Row],[Month]])</f>
        <v>10</v>
      </c>
      <c r="Q478" s="6">
        <f>IFERROR(tblSales[[#This Row],[NetSalesTRY]]/tblSales[[#This Row],[Units]],0)</f>
        <v>943.26342105263154</v>
      </c>
      <c r="R478" s="17">
        <f>IFERROR(tblSales[[#This Row],[NetSalesTRY]]/tblSales[[#This Row],[TargetTRY]],0)</f>
        <v>1.0544546460191093</v>
      </c>
      <c r="S478" s="6">
        <f>tblSales[[#This Row],[NetSalesTRY]]-tblSales[[#This Row],[TargetTRY]]</f>
        <v>5553.2200000000012</v>
      </c>
      <c r="T478" s="6">
        <f>MAX(tblSales[[#This Row],[TargetTRY]]-tblSales[[#This Row],[NetSalesTRY]],0)</f>
        <v>0</v>
      </c>
    </row>
    <row r="479" spans="1:20">
      <c r="A479" t="s">
        <v>867</v>
      </c>
      <c r="B479" s="15">
        <v>45566</v>
      </c>
      <c r="C479" t="s">
        <v>25</v>
      </c>
      <c r="D479" t="s">
        <v>26</v>
      </c>
      <c r="E479" t="s">
        <v>67</v>
      </c>
      <c r="F479" t="s">
        <v>65</v>
      </c>
      <c r="G479" t="s">
        <v>8</v>
      </c>
      <c r="H479" s="8">
        <v>133</v>
      </c>
      <c r="I479" s="9">
        <v>100403.6</v>
      </c>
      <c r="J479" s="9">
        <v>5877.5</v>
      </c>
      <c r="K479" s="9">
        <v>594.71</v>
      </c>
      <c r="L479" s="9">
        <v>93931.39</v>
      </c>
      <c r="M479" s="9">
        <v>96250.27</v>
      </c>
      <c r="N479" s="6" t="str">
        <f>_xlfn.XLOOKUP(tblSales[[#This Row],[ProductID]],tblProducts[ProductID],tblProducts[ProductName],"Not Found")</f>
        <v>GlucoRelief</v>
      </c>
      <c r="O479" s="8">
        <f>YEAR(tblSales[[#This Row],[Month]])</f>
        <v>2024</v>
      </c>
      <c r="P479" s="8">
        <f>MONTH(tblSales[[#This Row],[Month]])</f>
        <v>10</v>
      </c>
      <c r="Q479" s="6">
        <f>IFERROR(tblSales[[#This Row],[NetSalesTRY]]/tblSales[[#This Row],[Units]],0)</f>
        <v>706.25105263157889</v>
      </c>
      <c r="R479" s="17">
        <f>IFERROR(tblSales[[#This Row],[NetSalesTRY]]/tblSales[[#This Row],[TargetTRY]],0)</f>
        <v>0.97590780784303255</v>
      </c>
      <c r="S479" s="6">
        <f>tblSales[[#This Row],[NetSalesTRY]]-tblSales[[#This Row],[TargetTRY]]</f>
        <v>-2318.8800000000047</v>
      </c>
      <c r="T479" s="6">
        <f>MAX(tblSales[[#This Row],[TargetTRY]]-tblSales[[#This Row],[NetSalesTRY]],0)</f>
        <v>2318.8800000000047</v>
      </c>
    </row>
    <row r="480" spans="1:20">
      <c r="A480" t="s">
        <v>868</v>
      </c>
      <c r="B480" s="15">
        <v>45566</v>
      </c>
      <c r="C480" t="s">
        <v>25</v>
      </c>
      <c r="D480" t="s">
        <v>26</v>
      </c>
      <c r="E480" t="s">
        <v>67</v>
      </c>
      <c r="F480" t="s">
        <v>65</v>
      </c>
      <c r="G480" t="s">
        <v>11</v>
      </c>
      <c r="H480" s="8">
        <v>169</v>
      </c>
      <c r="I480" s="9">
        <v>105960.21</v>
      </c>
      <c r="J480" s="9">
        <v>3729.44</v>
      </c>
      <c r="K480" s="9">
        <v>742.9</v>
      </c>
      <c r="L480" s="9">
        <v>101487.87</v>
      </c>
      <c r="M480" s="9">
        <v>95467.44</v>
      </c>
      <c r="N480" s="6" t="str">
        <f>_xlfn.XLOOKUP(tblSales[[#This Row],[ProductID]],tblProducts[ProductID],tblProducts[ProductName],"Not Found")</f>
        <v>RespiraX</v>
      </c>
      <c r="O480" s="8">
        <f>YEAR(tblSales[[#This Row],[Month]])</f>
        <v>2024</v>
      </c>
      <c r="P480" s="8">
        <f>MONTH(tblSales[[#This Row],[Month]])</f>
        <v>10</v>
      </c>
      <c r="Q480" s="6">
        <f>IFERROR(tblSales[[#This Row],[NetSalesTRY]]/tblSales[[#This Row],[Units]],0)</f>
        <v>600.51994082840235</v>
      </c>
      <c r="R480" s="17">
        <f>IFERROR(tblSales[[#This Row],[NetSalesTRY]]/tblSales[[#This Row],[TargetTRY]],0)</f>
        <v>1.0630626525651048</v>
      </c>
      <c r="S480" s="6">
        <f>tblSales[[#This Row],[NetSalesTRY]]-tblSales[[#This Row],[TargetTRY]]</f>
        <v>6020.429999999993</v>
      </c>
      <c r="T480" s="6">
        <f>MAX(tblSales[[#This Row],[TargetTRY]]-tblSales[[#This Row],[NetSalesTRY]],0)</f>
        <v>0</v>
      </c>
    </row>
    <row r="481" spans="1:20">
      <c r="A481" t="s">
        <v>869</v>
      </c>
      <c r="B481" s="15">
        <v>45566</v>
      </c>
      <c r="C481" t="s">
        <v>25</v>
      </c>
      <c r="D481" t="s">
        <v>26</v>
      </c>
      <c r="E481" t="s">
        <v>67</v>
      </c>
      <c r="F481" t="s">
        <v>65</v>
      </c>
      <c r="G481" t="s">
        <v>14</v>
      </c>
      <c r="H481" s="8">
        <v>82</v>
      </c>
      <c r="I481" s="9">
        <v>88851.42</v>
      </c>
      <c r="J481" s="9">
        <v>3299.61</v>
      </c>
      <c r="K481" s="9">
        <v>993.9</v>
      </c>
      <c r="L481" s="9">
        <v>84557.92</v>
      </c>
      <c r="M481" s="9">
        <v>87236.27</v>
      </c>
      <c r="N481" s="6" t="str">
        <f>_xlfn.XLOOKUP(tblSales[[#This Row],[ProductID]],tblProducts[ProductID],tblProducts[ProductName],"Not Found")</f>
        <v>NeuroCalm</v>
      </c>
      <c r="O481" s="8">
        <f>YEAR(tblSales[[#This Row],[Month]])</f>
        <v>2024</v>
      </c>
      <c r="P481" s="8">
        <f>MONTH(tblSales[[#This Row],[Month]])</f>
        <v>10</v>
      </c>
      <c r="Q481" s="6">
        <f>IFERROR(tblSales[[#This Row],[NetSalesTRY]]/tblSales[[#This Row],[Units]],0)</f>
        <v>1031.1941463414635</v>
      </c>
      <c r="R481" s="17">
        <f>IFERROR(tblSales[[#This Row],[NetSalesTRY]]/tblSales[[#This Row],[TargetTRY]],0)</f>
        <v>0.96929774737044572</v>
      </c>
      <c r="S481" s="6">
        <f>tblSales[[#This Row],[NetSalesTRY]]-tblSales[[#This Row],[TargetTRY]]</f>
        <v>-2678.3500000000058</v>
      </c>
      <c r="T481" s="6">
        <f>MAX(tblSales[[#This Row],[TargetTRY]]-tblSales[[#This Row],[NetSalesTRY]],0)</f>
        <v>2678.3500000000058</v>
      </c>
    </row>
    <row r="482" spans="1:20">
      <c r="A482" t="s">
        <v>870</v>
      </c>
      <c r="B482" s="15">
        <v>45597</v>
      </c>
      <c r="C482" t="s">
        <v>19</v>
      </c>
      <c r="D482" t="s">
        <v>20</v>
      </c>
      <c r="E482" t="s">
        <v>34</v>
      </c>
      <c r="F482" t="s">
        <v>32</v>
      </c>
      <c r="G482" t="s">
        <v>5</v>
      </c>
      <c r="H482" s="8">
        <v>161</v>
      </c>
      <c r="I482" s="9">
        <v>159084.92000000001</v>
      </c>
      <c r="J482" s="9">
        <v>7750.12</v>
      </c>
      <c r="K482" s="9">
        <v>2071.48</v>
      </c>
      <c r="L482" s="9">
        <v>149263.32</v>
      </c>
      <c r="M482" s="9">
        <v>142165.74</v>
      </c>
      <c r="N482" s="6" t="str">
        <f>_xlfn.XLOOKUP(tblSales[[#This Row],[ProductID]],tblProducts[ProductID],tblProducts[ProductName],"Not Found")</f>
        <v>Cardiovan</v>
      </c>
      <c r="O482" s="8">
        <f>YEAR(tblSales[[#This Row],[Month]])</f>
        <v>2024</v>
      </c>
      <c r="P482" s="8">
        <f>MONTH(tblSales[[#This Row],[Month]])</f>
        <v>11</v>
      </c>
      <c r="Q482" s="6">
        <f>IFERROR(tblSales[[#This Row],[NetSalesTRY]]/tblSales[[#This Row],[Units]],0)</f>
        <v>927.10136645962734</v>
      </c>
      <c r="R482" s="17">
        <f>IFERROR(tblSales[[#This Row],[NetSalesTRY]]/tblSales[[#This Row],[TargetTRY]],0)</f>
        <v>1.0499246864961982</v>
      </c>
      <c r="S482" s="6">
        <f>tblSales[[#This Row],[NetSalesTRY]]-tblSales[[#This Row],[TargetTRY]]</f>
        <v>7097.5800000000163</v>
      </c>
      <c r="T482" s="6">
        <f>MAX(tblSales[[#This Row],[TargetTRY]]-tblSales[[#This Row],[NetSalesTRY]],0)</f>
        <v>0</v>
      </c>
    </row>
    <row r="483" spans="1:20">
      <c r="A483" t="s">
        <v>871</v>
      </c>
      <c r="B483" s="15">
        <v>45597</v>
      </c>
      <c r="C483" t="s">
        <v>19</v>
      </c>
      <c r="D483" t="s">
        <v>20</v>
      </c>
      <c r="E483" t="s">
        <v>34</v>
      </c>
      <c r="F483" t="s">
        <v>32</v>
      </c>
      <c r="G483" t="s">
        <v>8</v>
      </c>
      <c r="H483" s="8">
        <v>189</v>
      </c>
      <c r="I483" s="9">
        <v>142103.65</v>
      </c>
      <c r="J483" s="9">
        <v>9625.77</v>
      </c>
      <c r="K483" s="9">
        <v>1063.45</v>
      </c>
      <c r="L483" s="9">
        <v>131414.42000000001</v>
      </c>
      <c r="M483" s="9">
        <v>132986.34</v>
      </c>
      <c r="N483" s="6" t="str">
        <f>_xlfn.XLOOKUP(tblSales[[#This Row],[ProductID]],tblProducts[ProductID],tblProducts[ProductName],"Not Found")</f>
        <v>GlucoRelief</v>
      </c>
      <c r="O483" s="8">
        <f>YEAR(tblSales[[#This Row],[Month]])</f>
        <v>2024</v>
      </c>
      <c r="P483" s="8">
        <f>MONTH(tblSales[[#This Row],[Month]])</f>
        <v>11</v>
      </c>
      <c r="Q483" s="6">
        <f>IFERROR(tblSales[[#This Row],[NetSalesTRY]]/tblSales[[#This Row],[Units]],0)</f>
        <v>695.31439153439158</v>
      </c>
      <c r="R483" s="17">
        <f>IFERROR(tblSales[[#This Row],[NetSalesTRY]]/tblSales[[#This Row],[TargetTRY]],0)</f>
        <v>0.98817983862101944</v>
      </c>
      <c r="S483" s="6">
        <f>tblSales[[#This Row],[NetSalesTRY]]-tblSales[[#This Row],[TargetTRY]]</f>
        <v>-1571.9199999999837</v>
      </c>
      <c r="T483" s="6">
        <f>MAX(tblSales[[#This Row],[TargetTRY]]-tblSales[[#This Row],[NetSalesTRY]],0)</f>
        <v>1571.9199999999837</v>
      </c>
    </row>
    <row r="484" spans="1:20">
      <c r="A484" t="s">
        <v>872</v>
      </c>
      <c r="B484" s="15">
        <v>45597</v>
      </c>
      <c r="C484" t="s">
        <v>19</v>
      </c>
      <c r="D484" t="s">
        <v>20</v>
      </c>
      <c r="E484" t="s">
        <v>34</v>
      </c>
      <c r="F484" t="s">
        <v>32</v>
      </c>
      <c r="G484" t="s">
        <v>11</v>
      </c>
      <c r="H484" s="8">
        <v>227</v>
      </c>
      <c r="I484" s="9">
        <v>142609.49</v>
      </c>
      <c r="J484" s="9">
        <v>6951.85</v>
      </c>
      <c r="K484" s="9">
        <v>760.64</v>
      </c>
      <c r="L484" s="9">
        <v>134897.01</v>
      </c>
      <c r="M484" s="9">
        <v>130147.77</v>
      </c>
      <c r="N484" s="6" t="str">
        <f>_xlfn.XLOOKUP(tblSales[[#This Row],[ProductID]],tblProducts[ProductID],tblProducts[ProductName],"Not Found")</f>
        <v>RespiraX</v>
      </c>
      <c r="O484" s="8">
        <f>YEAR(tblSales[[#This Row],[Month]])</f>
        <v>2024</v>
      </c>
      <c r="P484" s="8">
        <f>MONTH(tblSales[[#This Row],[Month]])</f>
        <v>11</v>
      </c>
      <c r="Q484" s="6">
        <f>IFERROR(tblSales[[#This Row],[NetSalesTRY]]/tblSales[[#This Row],[Units]],0)</f>
        <v>594.25995594713663</v>
      </c>
      <c r="R484" s="17">
        <f>IFERROR(tblSales[[#This Row],[NetSalesTRY]]/tblSales[[#This Row],[TargetTRY]],0)</f>
        <v>1.0364911361908085</v>
      </c>
      <c r="S484" s="6">
        <f>tblSales[[#This Row],[NetSalesTRY]]-tblSales[[#This Row],[TargetTRY]]</f>
        <v>4749.2400000000052</v>
      </c>
      <c r="T484" s="6">
        <f>MAX(tblSales[[#This Row],[TargetTRY]]-tblSales[[#This Row],[NetSalesTRY]],0)</f>
        <v>0</v>
      </c>
    </row>
    <row r="485" spans="1:20">
      <c r="A485" t="s">
        <v>873</v>
      </c>
      <c r="B485" s="15">
        <v>45597</v>
      </c>
      <c r="C485" t="s">
        <v>19</v>
      </c>
      <c r="D485" t="s">
        <v>20</v>
      </c>
      <c r="E485" t="s">
        <v>34</v>
      </c>
      <c r="F485" t="s">
        <v>32</v>
      </c>
      <c r="G485" t="s">
        <v>14</v>
      </c>
      <c r="H485" s="8">
        <v>123</v>
      </c>
      <c r="I485" s="9">
        <v>134244.78</v>
      </c>
      <c r="J485" s="9">
        <v>7624.4</v>
      </c>
      <c r="K485" s="9">
        <v>1351.34</v>
      </c>
      <c r="L485" s="9">
        <v>125269.05</v>
      </c>
      <c r="M485" s="9">
        <v>120824.71</v>
      </c>
      <c r="N485" s="6" t="str">
        <f>_xlfn.XLOOKUP(tblSales[[#This Row],[ProductID]],tblProducts[ProductID],tblProducts[ProductName],"Not Found")</f>
        <v>NeuroCalm</v>
      </c>
      <c r="O485" s="8">
        <f>YEAR(tblSales[[#This Row],[Month]])</f>
        <v>2024</v>
      </c>
      <c r="P485" s="8">
        <f>MONTH(tblSales[[#This Row],[Month]])</f>
        <v>11</v>
      </c>
      <c r="Q485" s="6">
        <f>IFERROR(tblSales[[#This Row],[NetSalesTRY]]/tblSales[[#This Row],[Units]],0)</f>
        <v>1018.4475609756098</v>
      </c>
      <c r="R485" s="17">
        <f>IFERROR(tblSales[[#This Row],[NetSalesTRY]]/tblSales[[#This Row],[TargetTRY]],0)</f>
        <v>1.0367833698918043</v>
      </c>
      <c r="S485" s="6">
        <f>tblSales[[#This Row],[NetSalesTRY]]-tblSales[[#This Row],[TargetTRY]]</f>
        <v>4444.3399999999965</v>
      </c>
      <c r="T485" s="6">
        <f>MAX(tblSales[[#This Row],[TargetTRY]]-tblSales[[#This Row],[NetSalesTRY]],0)</f>
        <v>0</v>
      </c>
    </row>
    <row r="486" spans="1:20">
      <c r="A486" t="s">
        <v>874</v>
      </c>
      <c r="B486" s="15">
        <v>45597</v>
      </c>
      <c r="C486" t="s">
        <v>19</v>
      </c>
      <c r="D486" t="s">
        <v>20</v>
      </c>
      <c r="E486" t="s">
        <v>37</v>
      </c>
      <c r="F486" t="s">
        <v>35</v>
      </c>
      <c r="G486" t="s">
        <v>5</v>
      </c>
      <c r="H486" s="8">
        <v>150</v>
      </c>
      <c r="I486" s="9">
        <v>148813.48000000001</v>
      </c>
      <c r="J486" s="9">
        <v>8955.7099999999991</v>
      </c>
      <c r="K486" s="9">
        <v>1018.66</v>
      </c>
      <c r="L486" s="9">
        <v>138839.10999999999</v>
      </c>
      <c r="M486" s="9">
        <v>142060.15</v>
      </c>
      <c r="N486" s="6" t="str">
        <f>_xlfn.XLOOKUP(tblSales[[#This Row],[ProductID]],tblProducts[ProductID],tblProducts[ProductName],"Not Found")</f>
        <v>Cardiovan</v>
      </c>
      <c r="O486" s="8">
        <f>YEAR(tblSales[[#This Row],[Month]])</f>
        <v>2024</v>
      </c>
      <c r="P486" s="8">
        <f>MONTH(tblSales[[#This Row],[Month]])</f>
        <v>11</v>
      </c>
      <c r="Q486" s="6">
        <f>IFERROR(tblSales[[#This Row],[NetSalesTRY]]/tblSales[[#This Row],[Units]],0)</f>
        <v>925.59406666666655</v>
      </c>
      <c r="R486" s="17">
        <f>IFERROR(tblSales[[#This Row],[NetSalesTRY]]/tblSales[[#This Row],[TargetTRY]],0)</f>
        <v>0.97732622413815551</v>
      </c>
      <c r="S486" s="6">
        <f>tblSales[[#This Row],[NetSalesTRY]]-tblSales[[#This Row],[TargetTRY]]</f>
        <v>-3221.0400000000081</v>
      </c>
      <c r="T486" s="6">
        <f>MAX(tblSales[[#This Row],[TargetTRY]]-tblSales[[#This Row],[NetSalesTRY]],0)</f>
        <v>3221.0400000000081</v>
      </c>
    </row>
    <row r="487" spans="1:20">
      <c r="A487" t="s">
        <v>875</v>
      </c>
      <c r="B487" s="15">
        <v>45597</v>
      </c>
      <c r="C487" t="s">
        <v>19</v>
      </c>
      <c r="D487" t="s">
        <v>20</v>
      </c>
      <c r="E487" t="s">
        <v>37</v>
      </c>
      <c r="F487" t="s">
        <v>35</v>
      </c>
      <c r="G487" t="s">
        <v>8</v>
      </c>
      <c r="H487" s="8">
        <v>191</v>
      </c>
      <c r="I487" s="9">
        <v>146175.29</v>
      </c>
      <c r="J487" s="9">
        <v>8683.2099999999991</v>
      </c>
      <c r="K487" s="9">
        <v>1894.32</v>
      </c>
      <c r="L487" s="9">
        <v>135597.76000000001</v>
      </c>
      <c r="M487" s="9">
        <v>134231.75</v>
      </c>
      <c r="N487" s="6" t="str">
        <f>_xlfn.XLOOKUP(tblSales[[#This Row],[ProductID]],tblProducts[ProductID],tblProducts[ProductName],"Not Found")</f>
        <v>GlucoRelief</v>
      </c>
      <c r="O487" s="8">
        <f>YEAR(tblSales[[#This Row],[Month]])</f>
        <v>2024</v>
      </c>
      <c r="P487" s="8">
        <f>MONTH(tblSales[[#This Row],[Month]])</f>
        <v>11</v>
      </c>
      <c r="Q487" s="6">
        <f>IFERROR(tblSales[[#This Row],[NetSalesTRY]]/tblSales[[#This Row],[Units]],0)</f>
        <v>709.9359162303665</v>
      </c>
      <c r="R487" s="17">
        <f>IFERROR(tblSales[[#This Row],[NetSalesTRY]]/tblSales[[#This Row],[TargetTRY]],0)</f>
        <v>1.0101765044410134</v>
      </c>
      <c r="S487" s="6">
        <f>tblSales[[#This Row],[NetSalesTRY]]-tblSales[[#This Row],[TargetTRY]]</f>
        <v>1366.0100000000093</v>
      </c>
      <c r="T487" s="6">
        <f>MAX(tblSales[[#This Row],[TargetTRY]]-tblSales[[#This Row],[NetSalesTRY]],0)</f>
        <v>0</v>
      </c>
    </row>
    <row r="488" spans="1:20">
      <c r="A488" t="s">
        <v>876</v>
      </c>
      <c r="B488" s="15">
        <v>45597</v>
      </c>
      <c r="C488" t="s">
        <v>19</v>
      </c>
      <c r="D488" t="s">
        <v>20</v>
      </c>
      <c r="E488" t="s">
        <v>37</v>
      </c>
      <c r="F488" t="s">
        <v>35</v>
      </c>
      <c r="G488" t="s">
        <v>11</v>
      </c>
      <c r="H488" s="8">
        <v>237</v>
      </c>
      <c r="I488" s="9">
        <v>149117.41</v>
      </c>
      <c r="J488" s="9">
        <v>9193.9699999999993</v>
      </c>
      <c r="K488" s="9">
        <v>1698.8</v>
      </c>
      <c r="L488" s="9">
        <v>138224.64000000001</v>
      </c>
      <c r="M488" s="9">
        <v>130816.26</v>
      </c>
      <c r="N488" s="6" t="str">
        <f>_xlfn.XLOOKUP(tblSales[[#This Row],[ProductID]],tblProducts[ProductID],tblProducts[ProductName],"Not Found")</f>
        <v>RespiraX</v>
      </c>
      <c r="O488" s="8">
        <f>YEAR(tblSales[[#This Row],[Month]])</f>
        <v>2024</v>
      </c>
      <c r="P488" s="8">
        <f>MONTH(tblSales[[#This Row],[Month]])</f>
        <v>11</v>
      </c>
      <c r="Q488" s="6">
        <f>IFERROR(tblSales[[#This Row],[NetSalesTRY]]/tblSales[[#This Row],[Units]],0)</f>
        <v>583.22632911392407</v>
      </c>
      <c r="R488" s="17">
        <f>IFERROR(tblSales[[#This Row],[NetSalesTRY]]/tblSales[[#This Row],[TargetTRY]],0)</f>
        <v>1.0566319507987769</v>
      </c>
      <c r="S488" s="6">
        <f>tblSales[[#This Row],[NetSalesTRY]]-tblSales[[#This Row],[TargetTRY]]</f>
        <v>7408.3800000000192</v>
      </c>
      <c r="T488" s="6">
        <f>MAX(tblSales[[#This Row],[TargetTRY]]-tblSales[[#This Row],[NetSalesTRY]],0)</f>
        <v>0</v>
      </c>
    </row>
    <row r="489" spans="1:20">
      <c r="A489" t="s">
        <v>877</v>
      </c>
      <c r="B489" s="15">
        <v>45597</v>
      </c>
      <c r="C489" t="s">
        <v>19</v>
      </c>
      <c r="D489" t="s">
        <v>20</v>
      </c>
      <c r="E489" t="s">
        <v>37</v>
      </c>
      <c r="F489" t="s">
        <v>35</v>
      </c>
      <c r="G489" t="s">
        <v>14</v>
      </c>
      <c r="H489" s="8">
        <v>118</v>
      </c>
      <c r="I489" s="9">
        <v>130012.48</v>
      </c>
      <c r="J489" s="9">
        <v>6354.56</v>
      </c>
      <c r="K489" s="9">
        <v>603.66</v>
      </c>
      <c r="L489" s="9">
        <v>123054.26</v>
      </c>
      <c r="M489" s="9">
        <v>124921.67</v>
      </c>
      <c r="N489" s="6" t="str">
        <f>_xlfn.XLOOKUP(tblSales[[#This Row],[ProductID]],tblProducts[ProductID],tblProducts[ProductName],"Not Found")</f>
        <v>NeuroCalm</v>
      </c>
      <c r="O489" s="8">
        <f>YEAR(tblSales[[#This Row],[Month]])</f>
        <v>2024</v>
      </c>
      <c r="P489" s="8">
        <f>MONTH(tblSales[[#This Row],[Month]])</f>
        <v>11</v>
      </c>
      <c r="Q489" s="6">
        <f>IFERROR(tblSales[[#This Row],[NetSalesTRY]]/tblSales[[#This Row],[Units]],0)</f>
        <v>1042.8327118644067</v>
      </c>
      <c r="R489" s="17">
        <f>IFERROR(tblSales[[#This Row],[NetSalesTRY]]/tblSales[[#This Row],[TargetTRY]],0)</f>
        <v>0.98505135257958043</v>
      </c>
      <c r="S489" s="6">
        <f>tblSales[[#This Row],[NetSalesTRY]]-tblSales[[#This Row],[TargetTRY]]</f>
        <v>-1867.4100000000035</v>
      </c>
      <c r="T489" s="6">
        <f>MAX(tblSales[[#This Row],[TargetTRY]]-tblSales[[#This Row],[NetSalesTRY]],0)</f>
        <v>1867.4100000000035</v>
      </c>
    </row>
    <row r="490" spans="1:20">
      <c r="A490" t="s">
        <v>878</v>
      </c>
      <c r="B490" s="15">
        <v>45597</v>
      </c>
      <c r="C490" t="s">
        <v>19</v>
      </c>
      <c r="D490" t="s">
        <v>20</v>
      </c>
      <c r="E490" t="s">
        <v>40</v>
      </c>
      <c r="F490" t="s">
        <v>38</v>
      </c>
      <c r="G490" t="s">
        <v>5</v>
      </c>
      <c r="H490" s="8">
        <v>167</v>
      </c>
      <c r="I490" s="9">
        <v>165273.54999999999</v>
      </c>
      <c r="J490" s="9">
        <v>9267.65</v>
      </c>
      <c r="K490" s="9">
        <v>801.94</v>
      </c>
      <c r="L490" s="9">
        <v>155203.96</v>
      </c>
      <c r="M490" s="9">
        <v>157368.60999999999</v>
      </c>
      <c r="N490" s="6" t="str">
        <f>_xlfn.XLOOKUP(tblSales[[#This Row],[ProductID]],tblProducts[ProductID],tblProducts[ProductName],"Not Found")</f>
        <v>Cardiovan</v>
      </c>
      <c r="O490" s="8">
        <f>YEAR(tblSales[[#This Row],[Month]])</f>
        <v>2024</v>
      </c>
      <c r="P490" s="8">
        <f>MONTH(tblSales[[#This Row],[Month]])</f>
        <v>11</v>
      </c>
      <c r="Q490" s="6">
        <f>IFERROR(tblSales[[#This Row],[NetSalesTRY]]/tblSales[[#This Row],[Units]],0)</f>
        <v>929.36502994011971</v>
      </c>
      <c r="R490" s="17">
        <f>IFERROR(tblSales[[#This Row],[NetSalesTRY]]/tblSales[[#This Row],[TargetTRY]],0)</f>
        <v>0.98624471551219783</v>
      </c>
      <c r="S490" s="6">
        <f>tblSales[[#This Row],[NetSalesTRY]]-tblSales[[#This Row],[TargetTRY]]</f>
        <v>-2164.6499999999942</v>
      </c>
      <c r="T490" s="6">
        <f>MAX(tblSales[[#This Row],[TargetTRY]]-tblSales[[#This Row],[NetSalesTRY]],0)</f>
        <v>2164.6499999999942</v>
      </c>
    </row>
    <row r="491" spans="1:20">
      <c r="A491" t="s">
        <v>879</v>
      </c>
      <c r="B491" s="15">
        <v>45597</v>
      </c>
      <c r="C491" t="s">
        <v>19</v>
      </c>
      <c r="D491" t="s">
        <v>20</v>
      </c>
      <c r="E491" t="s">
        <v>40</v>
      </c>
      <c r="F491" t="s">
        <v>38</v>
      </c>
      <c r="G491" t="s">
        <v>8</v>
      </c>
      <c r="H491" s="8">
        <v>208</v>
      </c>
      <c r="I491" s="9">
        <v>159175.06</v>
      </c>
      <c r="J491" s="9">
        <v>9827.49</v>
      </c>
      <c r="K491" s="9">
        <v>1815.99</v>
      </c>
      <c r="L491" s="9">
        <v>147531.57999999999</v>
      </c>
      <c r="M491" s="9">
        <v>149069.71</v>
      </c>
      <c r="N491" s="6" t="str">
        <f>_xlfn.XLOOKUP(tblSales[[#This Row],[ProductID]],tblProducts[ProductID],tblProducts[ProductName],"Not Found")</f>
        <v>GlucoRelief</v>
      </c>
      <c r="O491" s="8">
        <f>YEAR(tblSales[[#This Row],[Month]])</f>
        <v>2024</v>
      </c>
      <c r="P491" s="8">
        <f>MONTH(tblSales[[#This Row],[Month]])</f>
        <v>11</v>
      </c>
      <c r="Q491" s="6">
        <f>IFERROR(tblSales[[#This Row],[NetSalesTRY]]/tblSales[[#This Row],[Units]],0)</f>
        <v>709.28644230769225</v>
      </c>
      <c r="R491" s="17">
        <f>IFERROR(tblSales[[#This Row],[NetSalesTRY]]/tblSales[[#This Row],[TargetTRY]],0)</f>
        <v>0.98968180725648425</v>
      </c>
      <c r="S491" s="6">
        <f>tblSales[[#This Row],[NetSalesTRY]]-tblSales[[#This Row],[TargetTRY]]</f>
        <v>-1538.1300000000047</v>
      </c>
      <c r="T491" s="6">
        <f>MAX(tblSales[[#This Row],[TargetTRY]]-tblSales[[#This Row],[NetSalesTRY]],0)</f>
        <v>1538.1300000000047</v>
      </c>
    </row>
    <row r="492" spans="1:20">
      <c r="A492" t="s">
        <v>880</v>
      </c>
      <c r="B492" s="15">
        <v>45597</v>
      </c>
      <c r="C492" t="s">
        <v>19</v>
      </c>
      <c r="D492" t="s">
        <v>20</v>
      </c>
      <c r="E492" t="s">
        <v>40</v>
      </c>
      <c r="F492" t="s">
        <v>38</v>
      </c>
      <c r="G492" t="s">
        <v>11</v>
      </c>
      <c r="H492" s="8">
        <v>239</v>
      </c>
      <c r="I492" s="9">
        <v>148555.10999999999</v>
      </c>
      <c r="J492" s="9">
        <v>9428.56</v>
      </c>
      <c r="K492" s="9">
        <v>923.86</v>
      </c>
      <c r="L492" s="9">
        <v>138202.70000000001</v>
      </c>
      <c r="M492" s="9">
        <v>145763.94</v>
      </c>
      <c r="N492" s="6" t="str">
        <f>_xlfn.XLOOKUP(tblSales[[#This Row],[ProductID]],tblProducts[ProductID],tblProducts[ProductName],"Not Found")</f>
        <v>RespiraX</v>
      </c>
      <c r="O492" s="8">
        <f>YEAR(tblSales[[#This Row],[Month]])</f>
        <v>2024</v>
      </c>
      <c r="P492" s="8">
        <f>MONTH(tblSales[[#This Row],[Month]])</f>
        <v>11</v>
      </c>
      <c r="Q492" s="6">
        <f>IFERROR(tblSales[[#This Row],[NetSalesTRY]]/tblSales[[#This Row],[Units]],0)</f>
        <v>578.2539748953975</v>
      </c>
      <c r="R492" s="17">
        <f>IFERROR(tblSales[[#This Row],[NetSalesTRY]]/tblSales[[#This Row],[TargetTRY]],0)</f>
        <v>0.94812681380593866</v>
      </c>
      <c r="S492" s="6">
        <f>tblSales[[#This Row],[NetSalesTRY]]-tblSales[[#This Row],[TargetTRY]]</f>
        <v>-7561.2399999999907</v>
      </c>
      <c r="T492" s="6">
        <f>MAX(tblSales[[#This Row],[TargetTRY]]-tblSales[[#This Row],[NetSalesTRY]],0)</f>
        <v>7561.2399999999907</v>
      </c>
    </row>
    <row r="493" spans="1:20">
      <c r="A493" t="s">
        <v>881</v>
      </c>
      <c r="B493" s="15">
        <v>45597</v>
      </c>
      <c r="C493" t="s">
        <v>19</v>
      </c>
      <c r="D493" t="s">
        <v>20</v>
      </c>
      <c r="E493" t="s">
        <v>40</v>
      </c>
      <c r="F493" t="s">
        <v>38</v>
      </c>
      <c r="G493" t="s">
        <v>14</v>
      </c>
      <c r="H493" s="8">
        <v>126</v>
      </c>
      <c r="I493" s="9">
        <v>137112.9</v>
      </c>
      <c r="J493" s="9">
        <v>9423.7800000000007</v>
      </c>
      <c r="K493" s="9">
        <v>674.93</v>
      </c>
      <c r="L493" s="9">
        <v>127014.19</v>
      </c>
      <c r="M493" s="9">
        <v>134031.70000000001</v>
      </c>
      <c r="N493" s="6" t="str">
        <f>_xlfn.XLOOKUP(tblSales[[#This Row],[ProductID]],tblProducts[ProductID],tblProducts[ProductName],"Not Found")</f>
        <v>NeuroCalm</v>
      </c>
      <c r="O493" s="8">
        <f>YEAR(tblSales[[#This Row],[Month]])</f>
        <v>2024</v>
      </c>
      <c r="P493" s="8">
        <f>MONTH(tblSales[[#This Row],[Month]])</f>
        <v>11</v>
      </c>
      <c r="Q493" s="6">
        <f>IFERROR(tblSales[[#This Row],[NetSalesTRY]]/tblSales[[#This Row],[Units]],0)</f>
        <v>1008.049126984127</v>
      </c>
      <c r="R493" s="17">
        <f>IFERROR(tblSales[[#This Row],[NetSalesTRY]]/tblSales[[#This Row],[TargetTRY]],0)</f>
        <v>0.94764290835675435</v>
      </c>
      <c r="S493" s="6">
        <f>tblSales[[#This Row],[NetSalesTRY]]-tblSales[[#This Row],[TargetTRY]]</f>
        <v>-7017.5100000000093</v>
      </c>
      <c r="T493" s="6">
        <f>MAX(tblSales[[#This Row],[TargetTRY]]-tblSales[[#This Row],[NetSalesTRY]],0)</f>
        <v>7017.5100000000093</v>
      </c>
    </row>
    <row r="494" spans="1:20">
      <c r="A494" t="s">
        <v>882</v>
      </c>
      <c r="B494" s="15">
        <v>45597</v>
      </c>
      <c r="C494" t="s">
        <v>21</v>
      </c>
      <c r="D494" t="s">
        <v>22</v>
      </c>
      <c r="E494" t="s">
        <v>43</v>
      </c>
      <c r="F494" t="s">
        <v>41</v>
      </c>
      <c r="G494" t="s">
        <v>5</v>
      </c>
      <c r="H494" s="8">
        <v>130</v>
      </c>
      <c r="I494" s="9">
        <v>127007.22</v>
      </c>
      <c r="J494" s="9">
        <v>5313.56</v>
      </c>
      <c r="K494" s="9">
        <v>1011.51</v>
      </c>
      <c r="L494" s="9">
        <v>120682.16</v>
      </c>
      <c r="M494" s="9">
        <v>116295.13</v>
      </c>
      <c r="N494" s="6" t="str">
        <f>_xlfn.XLOOKUP(tblSales[[#This Row],[ProductID]],tblProducts[ProductID],tblProducts[ProductName],"Not Found")</f>
        <v>Cardiovan</v>
      </c>
      <c r="O494" s="8">
        <f>YEAR(tblSales[[#This Row],[Month]])</f>
        <v>2024</v>
      </c>
      <c r="P494" s="8">
        <f>MONTH(tblSales[[#This Row],[Month]])</f>
        <v>11</v>
      </c>
      <c r="Q494" s="6">
        <f>IFERROR(tblSales[[#This Row],[NetSalesTRY]]/tblSales[[#This Row],[Units]],0)</f>
        <v>928.32430769230768</v>
      </c>
      <c r="R494" s="17">
        <f>IFERROR(tblSales[[#This Row],[NetSalesTRY]]/tblSales[[#This Row],[TargetTRY]],0)</f>
        <v>1.0377232477404685</v>
      </c>
      <c r="S494" s="6">
        <f>tblSales[[#This Row],[NetSalesTRY]]-tblSales[[#This Row],[TargetTRY]]</f>
        <v>4387.0299999999988</v>
      </c>
      <c r="T494" s="6">
        <f>MAX(tblSales[[#This Row],[TargetTRY]]-tblSales[[#This Row],[NetSalesTRY]],0)</f>
        <v>0</v>
      </c>
    </row>
    <row r="495" spans="1:20">
      <c r="A495" t="s">
        <v>883</v>
      </c>
      <c r="B495" s="15">
        <v>45597</v>
      </c>
      <c r="C495" t="s">
        <v>21</v>
      </c>
      <c r="D495" t="s">
        <v>22</v>
      </c>
      <c r="E495" t="s">
        <v>43</v>
      </c>
      <c r="F495" t="s">
        <v>41</v>
      </c>
      <c r="G495" t="s">
        <v>8</v>
      </c>
      <c r="H495" s="8">
        <v>153</v>
      </c>
      <c r="I495" s="9">
        <v>115847.97</v>
      </c>
      <c r="J495" s="9">
        <v>4553.9399999999996</v>
      </c>
      <c r="K495" s="9">
        <v>1020.76</v>
      </c>
      <c r="L495" s="9">
        <v>110273.26</v>
      </c>
      <c r="M495" s="9">
        <v>106223.63</v>
      </c>
      <c r="N495" s="6" t="str">
        <f>_xlfn.XLOOKUP(tblSales[[#This Row],[ProductID]],tblProducts[ProductID],tblProducts[ProductName],"Not Found")</f>
        <v>GlucoRelief</v>
      </c>
      <c r="O495" s="8">
        <f>YEAR(tblSales[[#This Row],[Month]])</f>
        <v>2024</v>
      </c>
      <c r="P495" s="8">
        <f>MONTH(tblSales[[#This Row],[Month]])</f>
        <v>11</v>
      </c>
      <c r="Q495" s="6">
        <f>IFERROR(tblSales[[#This Row],[NetSalesTRY]]/tblSales[[#This Row],[Units]],0)</f>
        <v>720.74026143790843</v>
      </c>
      <c r="R495" s="17">
        <f>IFERROR(tblSales[[#This Row],[NetSalesTRY]]/tblSales[[#This Row],[TargetTRY]],0)</f>
        <v>1.0381236265414766</v>
      </c>
      <c r="S495" s="6">
        <f>tblSales[[#This Row],[NetSalesTRY]]-tblSales[[#This Row],[TargetTRY]]</f>
        <v>4049.6299999999901</v>
      </c>
      <c r="T495" s="6">
        <f>MAX(tblSales[[#This Row],[TargetTRY]]-tblSales[[#This Row],[NetSalesTRY]],0)</f>
        <v>0</v>
      </c>
    </row>
    <row r="496" spans="1:20">
      <c r="A496" t="s">
        <v>884</v>
      </c>
      <c r="B496" s="15">
        <v>45597</v>
      </c>
      <c r="C496" t="s">
        <v>21</v>
      </c>
      <c r="D496" t="s">
        <v>22</v>
      </c>
      <c r="E496" t="s">
        <v>43</v>
      </c>
      <c r="F496" t="s">
        <v>41</v>
      </c>
      <c r="G496" t="s">
        <v>11</v>
      </c>
      <c r="H496" s="8">
        <v>171</v>
      </c>
      <c r="I496" s="9">
        <v>106810.02</v>
      </c>
      <c r="J496" s="9">
        <v>4994.6000000000004</v>
      </c>
      <c r="K496" s="9">
        <v>1465.26</v>
      </c>
      <c r="L496" s="9">
        <v>100350.16</v>
      </c>
      <c r="M496" s="9">
        <v>107185.3</v>
      </c>
      <c r="N496" s="6" t="str">
        <f>_xlfn.XLOOKUP(tblSales[[#This Row],[ProductID]],tblProducts[ProductID],tblProducts[ProductName],"Not Found")</f>
        <v>RespiraX</v>
      </c>
      <c r="O496" s="8">
        <f>YEAR(tblSales[[#This Row],[Month]])</f>
        <v>2024</v>
      </c>
      <c r="P496" s="8">
        <f>MONTH(tblSales[[#This Row],[Month]])</f>
        <v>11</v>
      </c>
      <c r="Q496" s="6">
        <f>IFERROR(tblSales[[#This Row],[NetSalesTRY]]/tblSales[[#This Row],[Units]],0)</f>
        <v>586.84304093567255</v>
      </c>
      <c r="R496" s="17">
        <f>IFERROR(tblSales[[#This Row],[NetSalesTRY]]/tblSales[[#This Row],[TargetTRY]],0)</f>
        <v>0.93623062117659794</v>
      </c>
      <c r="S496" s="6">
        <f>tblSales[[#This Row],[NetSalesTRY]]-tblSales[[#This Row],[TargetTRY]]</f>
        <v>-6835.1399999999994</v>
      </c>
      <c r="T496" s="6">
        <f>MAX(tblSales[[#This Row],[TargetTRY]]-tblSales[[#This Row],[NetSalesTRY]],0)</f>
        <v>6835.1399999999994</v>
      </c>
    </row>
    <row r="497" spans="1:20">
      <c r="A497" t="s">
        <v>885</v>
      </c>
      <c r="B497" s="15">
        <v>45597</v>
      </c>
      <c r="C497" t="s">
        <v>21</v>
      </c>
      <c r="D497" t="s">
        <v>22</v>
      </c>
      <c r="E497" t="s">
        <v>43</v>
      </c>
      <c r="F497" t="s">
        <v>41</v>
      </c>
      <c r="G497" t="s">
        <v>14</v>
      </c>
      <c r="H497" s="8">
        <v>99</v>
      </c>
      <c r="I497" s="9">
        <v>110009.23</v>
      </c>
      <c r="J497" s="9">
        <v>4205.03</v>
      </c>
      <c r="K497" s="9">
        <v>1161.18</v>
      </c>
      <c r="L497" s="9">
        <v>104643.02</v>
      </c>
      <c r="M497" s="9">
        <v>99477.55</v>
      </c>
      <c r="N497" s="6" t="str">
        <f>_xlfn.XLOOKUP(tblSales[[#This Row],[ProductID]],tblProducts[ProductID],tblProducts[ProductName],"Not Found")</f>
        <v>NeuroCalm</v>
      </c>
      <c r="O497" s="8">
        <f>YEAR(tblSales[[#This Row],[Month]])</f>
        <v>2024</v>
      </c>
      <c r="P497" s="8">
        <f>MONTH(tblSales[[#This Row],[Month]])</f>
        <v>11</v>
      </c>
      <c r="Q497" s="6">
        <f>IFERROR(tblSales[[#This Row],[NetSalesTRY]]/tblSales[[#This Row],[Units]],0)</f>
        <v>1057.0002020202021</v>
      </c>
      <c r="R497" s="17">
        <f>IFERROR(tblSales[[#This Row],[NetSalesTRY]]/tblSales[[#This Row],[TargetTRY]],0)</f>
        <v>1.0519259873207574</v>
      </c>
      <c r="S497" s="6">
        <f>tblSales[[#This Row],[NetSalesTRY]]-tblSales[[#This Row],[TargetTRY]]</f>
        <v>5165.4700000000012</v>
      </c>
      <c r="T497" s="6">
        <f>MAX(tblSales[[#This Row],[TargetTRY]]-tblSales[[#This Row],[NetSalesTRY]],0)</f>
        <v>0</v>
      </c>
    </row>
    <row r="498" spans="1:20">
      <c r="A498" t="s">
        <v>886</v>
      </c>
      <c r="B498" s="15">
        <v>45597</v>
      </c>
      <c r="C498" t="s">
        <v>21</v>
      </c>
      <c r="D498" t="s">
        <v>22</v>
      </c>
      <c r="E498" t="s">
        <v>46</v>
      </c>
      <c r="F498" t="s">
        <v>44</v>
      </c>
      <c r="G498" t="s">
        <v>5</v>
      </c>
      <c r="H498" s="8">
        <v>112</v>
      </c>
      <c r="I498" s="9">
        <v>110253.33</v>
      </c>
      <c r="J498" s="9">
        <v>7345.93</v>
      </c>
      <c r="K498" s="9">
        <v>875.3</v>
      </c>
      <c r="L498" s="9">
        <v>102032.09</v>
      </c>
      <c r="M498" s="9">
        <v>102713.86</v>
      </c>
      <c r="N498" s="6" t="str">
        <f>_xlfn.XLOOKUP(tblSales[[#This Row],[ProductID]],tblProducts[ProductID],tblProducts[ProductName],"Not Found")</f>
        <v>Cardiovan</v>
      </c>
      <c r="O498" s="8">
        <f>YEAR(tblSales[[#This Row],[Month]])</f>
        <v>2024</v>
      </c>
      <c r="P498" s="8">
        <f>MONTH(tblSales[[#This Row],[Month]])</f>
        <v>11</v>
      </c>
      <c r="Q498" s="6">
        <f>IFERROR(tblSales[[#This Row],[NetSalesTRY]]/tblSales[[#This Row],[Units]],0)</f>
        <v>911.00080357142849</v>
      </c>
      <c r="R498" s="17">
        <f>IFERROR(tblSales[[#This Row],[NetSalesTRY]]/tblSales[[#This Row],[TargetTRY]],0)</f>
        <v>0.99336243424207793</v>
      </c>
      <c r="S498" s="6">
        <f>tblSales[[#This Row],[NetSalesTRY]]-tblSales[[#This Row],[TargetTRY]]</f>
        <v>-681.77000000000407</v>
      </c>
      <c r="T498" s="6">
        <f>MAX(tblSales[[#This Row],[TargetTRY]]-tblSales[[#This Row],[NetSalesTRY]],0)</f>
        <v>681.77000000000407</v>
      </c>
    </row>
    <row r="499" spans="1:20">
      <c r="A499" t="s">
        <v>887</v>
      </c>
      <c r="B499" s="15">
        <v>45597</v>
      </c>
      <c r="C499" t="s">
        <v>21</v>
      </c>
      <c r="D499" t="s">
        <v>22</v>
      </c>
      <c r="E499" t="s">
        <v>46</v>
      </c>
      <c r="F499" t="s">
        <v>44</v>
      </c>
      <c r="G499" t="s">
        <v>8</v>
      </c>
      <c r="H499" s="8">
        <v>138</v>
      </c>
      <c r="I499" s="9">
        <v>103607.56</v>
      </c>
      <c r="J499" s="9">
        <v>7072.49</v>
      </c>
      <c r="K499" s="9">
        <v>1188.3599999999999</v>
      </c>
      <c r="L499" s="9">
        <v>95346.72</v>
      </c>
      <c r="M499" s="9">
        <v>93946.52</v>
      </c>
      <c r="N499" s="6" t="str">
        <f>_xlfn.XLOOKUP(tblSales[[#This Row],[ProductID]],tblProducts[ProductID],tblProducts[ProductName],"Not Found")</f>
        <v>GlucoRelief</v>
      </c>
      <c r="O499" s="8">
        <f>YEAR(tblSales[[#This Row],[Month]])</f>
        <v>2024</v>
      </c>
      <c r="P499" s="8">
        <f>MONTH(tblSales[[#This Row],[Month]])</f>
        <v>11</v>
      </c>
      <c r="Q499" s="6">
        <f>IFERROR(tblSales[[#This Row],[NetSalesTRY]]/tblSales[[#This Row],[Units]],0)</f>
        <v>690.91826086956519</v>
      </c>
      <c r="R499" s="17">
        <f>IFERROR(tblSales[[#This Row],[NetSalesTRY]]/tblSales[[#This Row],[TargetTRY]],0)</f>
        <v>1.0149042242331061</v>
      </c>
      <c r="S499" s="6">
        <f>tblSales[[#This Row],[NetSalesTRY]]-tblSales[[#This Row],[TargetTRY]]</f>
        <v>1400.1999999999971</v>
      </c>
      <c r="T499" s="6">
        <f>MAX(tblSales[[#This Row],[TargetTRY]]-tblSales[[#This Row],[NetSalesTRY]],0)</f>
        <v>0</v>
      </c>
    </row>
    <row r="500" spans="1:20">
      <c r="A500" t="s">
        <v>888</v>
      </c>
      <c r="B500" s="15">
        <v>45597</v>
      </c>
      <c r="C500" t="s">
        <v>21</v>
      </c>
      <c r="D500" t="s">
        <v>22</v>
      </c>
      <c r="E500" t="s">
        <v>46</v>
      </c>
      <c r="F500" t="s">
        <v>44</v>
      </c>
      <c r="G500" t="s">
        <v>11</v>
      </c>
      <c r="H500" s="8">
        <v>158</v>
      </c>
      <c r="I500" s="9">
        <v>97243.61</v>
      </c>
      <c r="J500" s="9">
        <v>4617.1400000000003</v>
      </c>
      <c r="K500" s="9">
        <v>1123.26</v>
      </c>
      <c r="L500" s="9">
        <v>91503.2</v>
      </c>
      <c r="M500" s="9">
        <v>92404.1</v>
      </c>
      <c r="N500" s="6" t="str">
        <f>_xlfn.XLOOKUP(tblSales[[#This Row],[ProductID]],tblProducts[ProductID],tblProducts[ProductName],"Not Found")</f>
        <v>RespiraX</v>
      </c>
      <c r="O500" s="8">
        <f>YEAR(tblSales[[#This Row],[Month]])</f>
        <v>2024</v>
      </c>
      <c r="P500" s="8">
        <f>MONTH(tblSales[[#This Row],[Month]])</f>
        <v>11</v>
      </c>
      <c r="Q500" s="6">
        <f>IFERROR(tblSales[[#This Row],[NetSalesTRY]]/tblSales[[#This Row],[Units]],0)</f>
        <v>579.13417721518988</v>
      </c>
      <c r="R500" s="17">
        <f>IFERROR(tblSales[[#This Row],[NetSalesTRY]]/tblSales[[#This Row],[TargetTRY]],0)</f>
        <v>0.99025043261067414</v>
      </c>
      <c r="S500" s="6">
        <f>tblSales[[#This Row],[NetSalesTRY]]-tblSales[[#This Row],[TargetTRY]]</f>
        <v>-900.90000000000873</v>
      </c>
      <c r="T500" s="6">
        <f>MAX(tblSales[[#This Row],[TargetTRY]]-tblSales[[#This Row],[NetSalesTRY]],0)</f>
        <v>900.90000000000873</v>
      </c>
    </row>
    <row r="501" spans="1:20">
      <c r="A501" t="s">
        <v>889</v>
      </c>
      <c r="B501" s="15">
        <v>45597</v>
      </c>
      <c r="C501" t="s">
        <v>21</v>
      </c>
      <c r="D501" t="s">
        <v>22</v>
      </c>
      <c r="E501" t="s">
        <v>46</v>
      </c>
      <c r="F501" t="s">
        <v>44</v>
      </c>
      <c r="G501" t="s">
        <v>14</v>
      </c>
      <c r="H501" s="8">
        <v>79</v>
      </c>
      <c r="I501" s="9">
        <v>86327.17</v>
      </c>
      <c r="J501" s="9">
        <v>5276.5</v>
      </c>
      <c r="K501" s="9">
        <v>1021.05</v>
      </c>
      <c r="L501" s="9">
        <v>80029.61</v>
      </c>
      <c r="M501" s="9">
        <v>87881.2</v>
      </c>
      <c r="N501" s="6" t="str">
        <f>_xlfn.XLOOKUP(tblSales[[#This Row],[ProductID]],tblProducts[ProductID],tblProducts[ProductName],"Not Found")</f>
        <v>NeuroCalm</v>
      </c>
      <c r="O501" s="8">
        <f>YEAR(tblSales[[#This Row],[Month]])</f>
        <v>2024</v>
      </c>
      <c r="P501" s="8">
        <f>MONTH(tblSales[[#This Row],[Month]])</f>
        <v>11</v>
      </c>
      <c r="Q501" s="6">
        <f>IFERROR(tblSales[[#This Row],[NetSalesTRY]]/tblSales[[#This Row],[Units]],0)</f>
        <v>1013.0330379746836</v>
      </c>
      <c r="R501" s="17">
        <f>IFERROR(tblSales[[#This Row],[NetSalesTRY]]/tblSales[[#This Row],[TargetTRY]],0)</f>
        <v>0.91065677300719616</v>
      </c>
      <c r="S501" s="6">
        <f>tblSales[[#This Row],[NetSalesTRY]]-tblSales[[#This Row],[TargetTRY]]</f>
        <v>-7851.5899999999965</v>
      </c>
      <c r="T501" s="6">
        <f>MAX(tblSales[[#This Row],[TargetTRY]]-tblSales[[#This Row],[NetSalesTRY]],0)</f>
        <v>7851.5899999999965</v>
      </c>
    </row>
    <row r="502" spans="1:20">
      <c r="A502" t="s">
        <v>890</v>
      </c>
      <c r="B502" s="15">
        <v>45597</v>
      </c>
      <c r="C502" t="s">
        <v>21</v>
      </c>
      <c r="D502" t="s">
        <v>22</v>
      </c>
      <c r="E502" t="s">
        <v>49</v>
      </c>
      <c r="F502" t="s">
        <v>47</v>
      </c>
      <c r="G502" t="s">
        <v>5</v>
      </c>
      <c r="H502" s="8">
        <v>123</v>
      </c>
      <c r="I502" s="9">
        <v>118758.91</v>
      </c>
      <c r="J502" s="9">
        <v>6534.94</v>
      </c>
      <c r="K502" s="9">
        <v>1587.99</v>
      </c>
      <c r="L502" s="9">
        <v>110635.97</v>
      </c>
      <c r="M502" s="9">
        <v>114917.55</v>
      </c>
      <c r="N502" s="6" t="str">
        <f>_xlfn.XLOOKUP(tblSales[[#This Row],[ProductID]],tblProducts[ProductID],tblProducts[ProductName],"Not Found")</f>
        <v>Cardiovan</v>
      </c>
      <c r="O502" s="8">
        <f>YEAR(tblSales[[#This Row],[Month]])</f>
        <v>2024</v>
      </c>
      <c r="P502" s="8">
        <f>MONTH(tblSales[[#This Row],[Month]])</f>
        <v>11</v>
      </c>
      <c r="Q502" s="6">
        <f>IFERROR(tblSales[[#This Row],[NetSalesTRY]]/tblSales[[#This Row],[Units]],0)</f>
        <v>899.47943089430896</v>
      </c>
      <c r="R502" s="17">
        <f>IFERROR(tblSales[[#This Row],[NetSalesTRY]]/tblSales[[#This Row],[TargetTRY]],0)</f>
        <v>0.96274215731191626</v>
      </c>
      <c r="S502" s="6">
        <f>tblSales[[#This Row],[NetSalesTRY]]-tblSales[[#This Row],[TargetTRY]]</f>
        <v>-4281.5800000000017</v>
      </c>
      <c r="T502" s="6">
        <f>MAX(tblSales[[#This Row],[TargetTRY]]-tblSales[[#This Row],[NetSalesTRY]],0)</f>
        <v>4281.5800000000017</v>
      </c>
    </row>
    <row r="503" spans="1:20">
      <c r="A503" t="s">
        <v>891</v>
      </c>
      <c r="B503" s="15">
        <v>45597</v>
      </c>
      <c r="C503" t="s">
        <v>21</v>
      </c>
      <c r="D503" t="s">
        <v>22</v>
      </c>
      <c r="E503" t="s">
        <v>49</v>
      </c>
      <c r="F503" t="s">
        <v>47</v>
      </c>
      <c r="G503" t="s">
        <v>8</v>
      </c>
      <c r="H503" s="8">
        <v>158</v>
      </c>
      <c r="I503" s="9">
        <v>121268.03</v>
      </c>
      <c r="J503" s="9">
        <v>8113.55</v>
      </c>
      <c r="K503" s="9">
        <v>1462.81</v>
      </c>
      <c r="L503" s="9">
        <v>111691.67</v>
      </c>
      <c r="M503" s="9">
        <v>106838.87</v>
      </c>
      <c r="N503" s="6" t="str">
        <f>_xlfn.XLOOKUP(tblSales[[#This Row],[ProductID]],tblProducts[ProductID],tblProducts[ProductName],"Not Found")</f>
        <v>GlucoRelief</v>
      </c>
      <c r="O503" s="8">
        <f>YEAR(tblSales[[#This Row],[Month]])</f>
        <v>2024</v>
      </c>
      <c r="P503" s="8">
        <f>MONTH(tblSales[[#This Row],[Month]])</f>
        <v>11</v>
      </c>
      <c r="Q503" s="6">
        <f>IFERROR(tblSales[[#This Row],[NetSalesTRY]]/tblSales[[#This Row],[Units]],0)</f>
        <v>706.9093037974684</v>
      </c>
      <c r="R503" s="17">
        <f>IFERROR(tblSales[[#This Row],[NetSalesTRY]]/tblSales[[#This Row],[TargetTRY]],0)</f>
        <v>1.0454216709704998</v>
      </c>
      <c r="S503" s="6">
        <f>tblSales[[#This Row],[NetSalesTRY]]-tblSales[[#This Row],[TargetTRY]]</f>
        <v>4852.8000000000029</v>
      </c>
      <c r="T503" s="6">
        <f>MAX(tblSales[[#This Row],[TargetTRY]]-tblSales[[#This Row],[NetSalesTRY]],0)</f>
        <v>0</v>
      </c>
    </row>
    <row r="504" spans="1:20">
      <c r="A504" t="s">
        <v>892</v>
      </c>
      <c r="B504" s="15">
        <v>45597</v>
      </c>
      <c r="C504" t="s">
        <v>21</v>
      </c>
      <c r="D504" t="s">
        <v>22</v>
      </c>
      <c r="E504" t="s">
        <v>49</v>
      </c>
      <c r="F504" t="s">
        <v>47</v>
      </c>
      <c r="G504" t="s">
        <v>11</v>
      </c>
      <c r="H504" s="8">
        <v>179</v>
      </c>
      <c r="I504" s="9">
        <v>112630.93</v>
      </c>
      <c r="J504" s="9">
        <v>5404.04</v>
      </c>
      <c r="K504" s="9">
        <v>1115.45</v>
      </c>
      <c r="L504" s="9">
        <v>106111.44</v>
      </c>
      <c r="M504" s="9">
        <v>104884.09</v>
      </c>
      <c r="N504" s="6" t="str">
        <f>_xlfn.XLOOKUP(tblSales[[#This Row],[ProductID]],tblProducts[ProductID],tblProducts[ProductName],"Not Found")</f>
        <v>RespiraX</v>
      </c>
      <c r="O504" s="8">
        <f>YEAR(tblSales[[#This Row],[Month]])</f>
        <v>2024</v>
      </c>
      <c r="P504" s="8">
        <f>MONTH(tblSales[[#This Row],[Month]])</f>
        <v>11</v>
      </c>
      <c r="Q504" s="6">
        <f>IFERROR(tblSales[[#This Row],[NetSalesTRY]]/tblSales[[#This Row],[Units]],0)</f>
        <v>592.80134078212291</v>
      </c>
      <c r="R504" s="17">
        <f>IFERROR(tblSales[[#This Row],[NetSalesTRY]]/tblSales[[#This Row],[TargetTRY]],0)</f>
        <v>1.0117019654744586</v>
      </c>
      <c r="S504" s="6">
        <f>tblSales[[#This Row],[NetSalesTRY]]-tblSales[[#This Row],[TargetTRY]]</f>
        <v>1227.3500000000058</v>
      </c>
      <c r="T504" s="6">
        <f>MAX(tblSales[[#This Row],[TargetTRY]]-tblSales[[#This Row],[NetSalesTRY]],0)</f>
        <v>0</v>
      </c>
    </row>
    <row r="505" spans="1:20">
      <c r="A505" t="s">
        <v>893</v>
      </c>
      <c r="B505" s="15">
        <v>45597</v>
      </c>
      <c r="C505" t="s">
        <v>21</v>
      </c>
      <c r="D505" t="s">
        <v>22</v>
      </c>
      <c r="E505" t="s">
        <v>49</v>
      </c>
      <c r="F505" t="s">
        <v>47</v>
      </c>
      <c r="G505" t="s">
        <v>14</v>
      </c>
      <c r="H505" s="8">
        <v>98</v>
      </c>
      <c r="I505" s="9">
        <v>109344.14</v>
      </c>
      <c r="J505" s="9">
        <v>4787.92</v>
      </c>
      <c r="K505" s="9">
        <v>1364.38</v>
      </c>
      <c r="L505" s="9">
        <v>103191.85</v>
      </c>
      <c r="M505" s="9">
        <v>99195.12</v>
      </c>
      <c r="N505" s="6" t="str">
        <f>_xlfn.XLOOKUP(tblSales[[#This Row],[ProductID]],tblProducts[ProductID],tblProducts[ProductName],"Not Found")</f>
        <v>NeuroCalm</v>
      </c>
      <c r="O505" s="8">
        <f>YEAR(tblSales[[#This Row],[Month]])</f>
        <v>2024</v>
      </c>
      <c r="P505" s="8">
        <f>MONTH(tblSales[[#This Row],[Month]])</f>
        <v>11</v>
      </c>
      <c r="Q505" s="6">
        <f>IFERROR(tblSales[[#This Row],[NetSalesTRY]]/tblSales[[#This Row],[Units]],0)</f>
        <v>1052.9780612244899</v>
      </c>
      <c r="R505" s="17">
        <f>IFERROR(tblSales[[#This Row],[NetSalesTRY]]/tblSales[[#This Row],[TargetTRY]],0)</f>
        <v>1.0402915990222101</v>
      </c>
      <c r="S505" s="6">
        <f>tblSales[[#This Row],[NetSalesTRY]]-tblSales[[#This Row],[TargetTRY]]</f>
        <v>3996.7300000000105</v>
      </c>
      <c r="T505" s="6">
        <f>MAX(tblSales[[#This Row],[TargetTRY]]-tblSales[[#This Row],[NetSalesTRY]],0)</f>
        <v>0</v>
      </c>
    </row>
    <row r="506" spans="1:20">
      <c r="A506" t="s">
        <v>894</v>
      </c>
      <c r="B506" s="15">
        <v>45597</v>
      </c>
      <c r="C506" t="s">
        <v>23</v>
      </c>
      <c r="D506" t="s">
        <v>24</v>
      </c>
      <c r="E506" t="s">
        <v>52</v>
      </c>
      <c r="F506" t="s">
        <v>50</v>
      </c>
      <c r="G506" t="s">
        <v>5</v>
      </c>
      <c r="H506" s="8">
        <v>123</v>
      </c>
      <c r="I506" s="9">
        <v>119888.52</v>
      </c>
      <c r="J506" s="9">
        <v>4783.6899999999996</v>
      </c>
      <c r="K506" s="9">
        <v>748.31</v>
      </c>
      <c r="L506" s="9">
        <v>114356.52</v>
      </c>
      <c r="M506" s="9">
        <v>116059.7</v>
      </c>
      <c r="N506" s="6" t="str">
        <f>_xlfn.XLOOKUP(tblSales[[#This Row],[ProductID]],tblProducts[ProductID],tblProducts[ProductName],"Not Found")</f>
        <v>Cardiovan</v>
      </c>
      <c r="O506" s="8">
        <f>YEAR(tblSales[[#This Row],[Month]])</f>
        <v>2024</v>
      </c>
      <c r="P506" s="8">
        <f>MONTH(tblSales[[#This Row],[Month]])</f>
        <v>11</v>
      </c>
      <c r="Q506" s="6">
        <f>IFERROR(tblSales[[#This Row],[NetSalesTRY]]/tblSales[[#This Row],[Units]],0)</f>
        <v>929.7278048780488</v>
      </c>
      <c r="R506" s="17">
        <f>IFERROR(tblSales[[#This Row],[NetSalesTRY]]/tblSales[[#This Row],[TargetTRY]],0)</f>
        <v>0.98532496637506395</v>
      </c>
      <c r="S506" s="6">
        <f>tblSales[[#This Row],[NetSalesTRY]]-tblSales[[#This Row],[TargetTRY]]</f>
        <v>-1703.179999999993</v>
      </c>
      <c r="T506" s="6">
        <f>MAX(tblSales[[#This Row],[TargetTRY]]-tblSales[[#This Row],[NetSalesTRY]],0)</f>
        <v>1703.179999999993</v>
      </c>
    </row>
    <row r="507" spans="1:20">
      <c r="A507" t="s">
        <v>895</v>
      </c>
      <c r="B507" s="15">
        <v>45597</v>
      </c>
      <c r="C507" t="s">
        <v>23</v>
      </c>
      <c r="D507" t="s">
        <v>24</v>
      </c>
      <c r="E507" t="s">
        <v>52</v>
      </c>
      <c r="F507" t="s">
        <v>50</v>
      </c>
      <c r="G507" t="s">
        <v>8</v>
      </c>
      <c r="H507" s="8">
        <v>157</v>
      </c>
      <c r="I507" s="9">
        <v>118229.03</v>
      </c>
      <c r="J507" s="9">
        <v>6719.33</v>
      </c>
      <c r="K507" s="9">
        <v>1143.56</v>
      </c>
      <c r="L507" s="9">
        <v>110366.14</v>
      </c>
      <c r="M507" s="9">
        <v>108261.28</v>
      </c>
      <c r="N507" s="6" t="str">
        <f>_xlfn.XLOOKUP(tblSales[[#This Row],[ProductID]],tblProducts[ProductID],tblProducts[ProductName],"Not Found")</f>
        <v>GlucoRelief</v>
      </c>
      <c r="O507" s="8">
        <f>YEAR(tblSales[[#This Row],[Month]])</f>
        <v>2024</v>
      </c>
      <c r="P507" s="8">
        <f>MONTH(tblSales[[#This Row],[Month]])</f>
        <v>11</v>
      </c>
      <c r="Q507" s="6">
        <f>IFERROR(tblSales[[#This Row],[NetSalesTRY]]/tblSales[[#This Row],[Units]],0)</f>
        <v>702.96904458598726</v>
      </c>
      <c r="R507" s="17">
        <f>IFERROR(tblSales[[#This Row],[NetSalesTRY]]/tblSales[[#This Row],[TargetTRY]],0)</f>
        <v>1.01944240821834</v>
      </c>
      <c r="S507" s="6">
        <f>tblSales[[#This Row],[NetSalesTRY]]-tblSales[[#This Row],[TargetTRY]]</f>
        <v>2104.8600000000006</v>
      </c>
      <c r="T507" s="6">
        <f>MAX(tblSales[[#This Row],[TargetTRY]]-tblSales[[#This Row],[NetSalesTRY]],0)</f>
        <v>0</v>
      </c>
    </row>
    <row r="508" spans="1:20">
      <c r="A508" t="s">
        <v>896</v>
      </c>
      <c r="B508" s="15">
        <v>45597</v>
      </c>
      <c r="C508" t="s">
        <v>23</v>
      </c>
      <c r="D508" t="s">
        <v>24</v>
      </c>
      <c r="E508" t="s">
        <v>52</v>
      </c>
      <c r="F508" t="s">
        <v>50</v>
      </c>
      <c r="G508" t="s">
        <v>11</v>
      </c>
      <c r="H508" s="8">
        <v>178</v>
      </c>
      <c r="I508" s="9">
        <v>110373.27</v>
      </c>
      <c r="J508" s="9">
        <v>6296.83</v>
      </c>
      <c r="K508" s="9">
        <v>598.11</v>
      </c>
      <c r="L508" s="9">
        <v>103478.33</v>
      </c>
      <c r="M508" s="9">
        <v>106886.43</v>
      </c>
      <c r="N508" s="6" t="str">
        <f>_xlfn.XLOOKUP(tblSales[[#This Row],[ProductID]],tblProducts[ProductID],tblProducts[ProductName],"Not Found")</f>
        <v>RespiraX</v>
      </c>
      <c r="O508" s="8">
        <f>YEAR(tblSales[[#This Row],[Month]])</f>
        <v>2024</v>
      </c>
      <c r="P508" s="8">
        <f>MONTH(tblSales[[#This Row],[Month]])</f>
        <v>11</v>
      </c>
      <c r="Q508" s="6">
        <f>IFERROR(tblSales[[#This Row],[NetSalesTRY]]/tblSales[[#This Row],[Units]],0)</f>
        <v>581.33893258426963</v>
      </c>
      <c r="R508" s="17">
        <f>IFERROR(tblSales[[#This Row],[NetSalesTRY]]/tblSales[[#This Row],[TargetTRY]],0)</f>
        <v>0.96811475507227629</v>
      </c>
      <c r="S508" s="6">
        <f>tblSales[[#This Row],[NetSalesTRY]]-tblSales[[#This Row],[TargetTRY]]</f>
        <v>-3408.0999999999913</v>
      </c>
      <c r="T508" s="6">
        <f>MAX(tblSales[[#This Row],[TargetTRY]]-tblSales[[#This Row],[NetSalesTRY]],0)</f>
        <v>3408.0999999999913</v>
      </c>
    </row>
    <row r="509" spans="1:20">
      <c r="A509" t="s">
        <v>897</v>
      </c>
      <c r="B509" s="15">
        <v>45597</v>
      </c>
      <c r="C509" t="s">
        <v>23</v>
      </c>
      <c r="D509" t="s">
        <v>24</v>
      </c>
      <c r="E509" t="s">
        <v>52</v>
      </c>
      <c r="F509" t="s">
        <v>50</v>
      </c>
      <c r="G509" t="s">
        <v>14</v>
      </c>
      <c r="H509" s="8">
        <v>91</v>
      </c>
      <c r="I509" s="9">
        <v>100537.84</v>
      </c>
      <c r="J509" s="9">
        <v>5764.23</v>
      </c>
      <c r="K509" s="9">
        <v>916.18</v>
      </c>
      <c r="L509" s="9">
        <v>93857.43</v>
      </c>
      <c r="M509" s="9">
        <v>99755.65</v>
      </c>
      <c r="N509" s="6" t="str">
        <f>_xlfn.XLOOKUP(tblSales[[#This Row],[ProductID]],tblProducts[ProductID],tblProducts[ProductName],"Not Found")</f>
        <v>NeuroCalm</v>
      </c>
      <c r="O509" s="8">
        <f>YEAR(tblSales[[#This Row],[Month]])</f>
        <v>2024</v>
      </c>
      <c r="P509" s="8">
        <f>MONTH(tblSales[[#This Row],[Month]])</f>
        <v>11</v>
      </c>
      <c r="Q509" s="6">
        <f>IFERROR(tblSales[[#This Row],[NetSalesTRY]]/tblSales[[#This Row],[Units]],0)</f>
        <v>1031.4003296703295</v>
      </c>
      <c r="R509" s="17">
        <f>IFERROR(tblSales[[#This Row],[NetSalesTRY]]/tblSales[[#This Row],[TargetTRY]],0)</f>
        <v>0.94087332396711365</v>
      </c>
      <c r="S509" s="6">
        <f>tblSales[[#This Row],[NetSalesTRY]]-tblSales[[#This Row],[TargetTRY]]</f>
        <v>-5898.2200000000012</v>
      </c>
      <c r="T509" s="6">
        <f>MAX(tblSales[[#This Row],[TargetTRY]]-tblSales[[#This Row],[NetSalesTRY]],0)</f>
        <v>5898.2200000000012</v>
      </c>
    </row>
    <row r="510" spans="1:20">
      <c r="A510" t="s">
        <v>898</v>
      </c>
      <c r="B510" s="15">
        <v>45597</v>
      </c>
      <c r="C510" t="s">
        <v>23</v>
      </c>
      <c r="D510" t="s">
        <v>24</v>
      </c>
      <c r="E510" t="s">
        <v>55</v>
      </c>
      <c r="F510" t="s">
        <v>53</v>
      </c>
      <c r="G510" t="s">
        <v>5</v>
      </c>
      <c r="H510" s="8">
        <v>122</v>
      </c>
      <c r="I510" s="9">
        <v>120079.48</v>
      </c>
      <c r="J510" s="9">
        <v>8427.2900000000009</v>
      </c>
      <c r="K510" s="9">
        <v>1084.5</v>
      </c>
      <c r="L510" s="9">
        <v>110567.7</v>
      </c>
      <c r="M510" s="9">
        <v>115052.57</v>
      </c>
      <c r="N510" s="6" t="str">
        <f>_xlfn.XLOOKUP(tblSales[[#This Row],[ProductID]],tblProducts[ProductID],tblProducts[ProductName],"Not Found")</f>
        <v>Cardiovan</v>
      </c>
      <c r="O510" s="8">
        <f>YEAR(tblSales[[#This Row],[Month]])</f>
        <v>2024</v>
      </c>
      <c r="P510" s="8">
        <f>MONTH(tblSales[[#This Row],[Month]])</f>
        <v>11</v>
      </c>
      <c r="Q510" s="6">
        <f>IFERROR(tblSales[[#This Row],[NetSalesTRY]]/tblSales[[#This Row],[Units]],0)</f>
        <v>906.29262295081969</v>
      </c>
      <c r="R510" s="17">
        <f>IFERROR(tblSales[[#This Row],[NetSalesTRY]]/tblSales[[#This Row],[TargetTRY]],0)</f>
        <v>0.96101894985918168</v>
      </c>
      <c r="S510" s="6">
        <f>tblSales[[#This Row],[NetSalesTRY]]-tblSales[[#This Row],[TargetTRY]]</f>
        <v>-4484.8700000000099</v>
      </c>
      <c r="T510" s="6">
        <f>MAX(tblSales[[#This Row],[TargetTRY]]-tblSales[[#This Row],[NetSalesTRY]],0)</f>
        <v>4484.8700000000099</v>
      </c>
    </row>
    <row r="511" spans="1:20">
      <c r="A511" t="s">
        <v>899</v>
      </c>
      <c r="B511" s="15">
        <v>45597</v>
      </c>
      <c r="C511" t="s">
        <v>23</v>
      </c>
      <c r="D511" t="s">
        <v>24</v>
      </c>
      <c r="E511" t="s">
        <v>55</v>
      </c>
      <c r="F511" t="s">
        <v>53</v>
      </c>
      <c r="G511" t="s">
        <v>8</v>
      </c>
      <c r="H511" s="8">
        <v>145</v>
      </c>
      <c r="I511" s="9">
        <v>110397.65</v>
      </c>
      <c r="J511" s="9">
        <v>5468.78</v>
      </c>
      <c r="K511" s="9">
        <v>1079.98</v>
      </c>
      <c r="L511" s="9">
        <v>103848.89</v>
      </c>
      <c r="M511" s="9">
        <v>107895.34</v>
      </c>
      <c r="N511" s="6" t="str">
        <f>_xlfn.XLOOKUP(tblSales[[#This Row],[ProductID]],tblProducts[ProductID],tblProducts[ProductName],"Not Found")</f>
        <v>GlucoRelief</v>
      </c>
      <c r="O511" s="8">
        <f>YEAR(tblSales[[#This Row],[Month]])</f>
        <v>2024</v>
      </c>
      <c r="P511" s="8">
        <f>MONTH(tblSales[[#This Row],[Month]])</f>
        <v>11</v>
      </c>
      <c r="Q511" s="6">
        <f>IFERROR(tblSales[[#This Row],[NetSalesTRY]]/tblSales[[#This Row],[Units]],0)</f>
        <v>716.19924137931037</v>
      </c>
      <c r="R511" s="17">
        <f>IFERROR(tblSales[[#This Row],[NetSalesTRY]]/tblSales[[#This Row],[TargetTRY]],0)</f>
        <v>0.96249652672673358</v>
      </c>
      <c r="S511" s="6">
        <f>tblSales[[#This Row],[NetSalesTRY]]-tblSales[[#This Row],[TargetTRY]]</f>
        <v>-4046.4499999999971</v>
      </c>
      <c r="T511" s="6">
        <f>MAX(tblSales[[#This Row],[TargetTRY]]-tblSales[[#This Row],[NetSalesTRY]],0)</f>
        <v>4046.4499999999971</v>
      </c>
    </row>
    <row r="512" spans="1:20">
      <c r="A512" t="s">
        <v>900</v>
      </c>
      <c r="B512" s="15">
        <v>45597</v>
      </c>
      <c r="C512" t="s">
        <v>23</v>
      </c>
      <c r="D512" t="s">
        <v>24</v>
      </c>
      <c r="E512" t="s">
        <v>55</v>
      </c>
      <c r="F512" t="s">
        <v>53</v>
      </c>
      <c r="G512" t="s">
        <v>11</v>
      </c>
      <c r="H512" s="8">
        <v>185</v>
      </c>
      <c r="I512" s="9">
        <v>116161.36</v>
      </c>
      <c r="J512" s="9">
        <v>6556.06</v>
      </c>
      <c r="K512" s="9">
        <v>821.21</v>
      </c>
      <c r="L512" s="9">
        <v>108784.09</v>
      </c>
      <c r="M512" s="9">
        <v>105577.55</v>
      </c>
      <c r="N512" s="6" t="str">
        <f>_xlfn.XLOOKUP(tblSales[[#This Row],[ProductID]],tblProducts[ProductID],tblProducts[ProductName],"Not Found")</f>
        <v>RespiraX</v>
      </c>
      <c r="O512" s="8">
        <f>YEAR(tblSales[[#This Row],[Month]])</f>
        <v>2024</v>
      </c>
      <c r="P512" s="8">
        <f>MONTH(tblSales[[#This Row],[Month]])</f>
        <v>11</v>
      </c>
      <c r="Q512" s="6">
        <f>IFERROR(tblSales[[#This Row],[NetSalesTRY]]/tblSales[[#This Row],[Units]],0)</f>
        <v>588.02210810810811</v>
      </c>
      <c r="R512" s="17">
        <f>IFERROR(tblSales[[#This Row],[NetSalesTRY]]/tblSales[[#This Row],[TargetTRY]],0)</f>
        <v>1.0303714189238147</v>
      </c>
      <c r="S512" s="6">
        <f>tblSales[[#This Row],[NetSalesTRY]]-tblSales[[#This Row],[TargetTRY]]</f>
        <v>3206.5399999999936</v>
      </c>
      <c r="T512" s="6">
        <f>MAX(tblSales[[#This Row],[TargetTRY]]-tblSales[[#This Row],[NetSalesTRY]],0)</f>
        <v>0</v>
      </c>
    </row>
    <row r="513" spans="1:20">
      <c r="A513" t="s">
        <v>901</v>
      </c>
      <c r="B513" s="15">
        <v>45597</v>
      </c>
      <c r="C513" t="s">
        <v>23</v>
      </c>
      <c r="D513" t="s">
        <v>24</v>
      </c>
      <c r="E513" t="s">
        <v>55</v>
      </c>
      <c r="F513" t="s">
        <v>53</v>
      </c>
      <c r="G513" t="s">
        <v>14</v>
      </c>
      <c r="H513" s="8">
        <v>99</v>
      </c>
      <c r="I513" s="9">
        <v>109470.36</v>
      </c>
      <c r="J513" s="9">
        <v>7541.95</v>
      </c>
      <c r="K513" s="9">
        <v>461.94</v>
      </c>
      <c r="L513" s="9">
        <v>101466.47</v>
      </c>
      <c r="M513" s="9">
        <v>100073.51</v>
      </c>
      <c r="N513" s="6" t="str">
        <f>_xlfn.XLOOKUP(tblSales[[#This Row],[ProductID]],tblProducts[ProductID],tblProducts[ProductName],"Not Found")</f>
        <v>NeuroCalm</v>
      </c>
      <c r="O513" s="8">
        <f>YEAR(tblSales[[#This Row],[Month]])</f>
        <v>2024</v>
      </c>
      <c r="P513" s="8">
        <f>MONTH(tblSales[[#This Row],[Month]])</f>
        <v>11</v>
      </c>
      <c r="Q513" s="6">
        <f>IFERROR(tblSales[[#This Row],[NetSalesTRY]]/tblSales[[#This Row],[Units]],0)</f>
        <v>1024.9138383838383</v>
      </c>
      <c r="R513" s="17">
        <f>IFERROR(tblSales[[#This Row],[NetSalesTRY]]/tblSales[[#This Row],[TargetTRY]],0)</f>
        <v>1.0139193678726768</v>
      </c>
      <c r="S513" s="6">
        <f>tblSales[[#This Row],[NetSalesTRY]]-tblSales[[#This Row],[TargetTRY]]</f>
        <v>1392.9600000000064</v>
      </c>
      <c r="T513" s="6">
        <f>MAX(tblSales[[#This Row],[TargetTRY]]-tblSales[[#This Row],[NetSalesTRY]],0)</f>
        <v>0</v>
      </c>
    </row>
    <row r="514" spans="1:20">
      <c r="A514" t="s">
        <v>902</v>
      </c>
      <c r="B514" s="15">
        <v>45597</v>
      </c>
      <c r="C514" t="s">
        <v>23</v>
      </c>
      <c r="D514" t="s">
        <v>24</v>
      </c>
      <c r="E514" t="s">
        <v>58</v>
      </c>
      <c r="F514" t="s">
        <v>56</v>
      </c>
      <c r="G514" t="s">
        <v>5</v>
      </c>
      <c r="H514" s="8">
        <v>130</v>
      </c>
      <c r="I514" s="9">
        <v>126926.1</v>
      </c>
      <c r="J514" s="9">
        <v>8988.58</v>
      </c>
      <c r="K514" s="9">
        <v>1382.39</v>
      </c>
      <c r="L514" s="9">
        <v>116555.13</v>
      </c>
      <c r="M514" s="9">
        <v>117344.54</v>
      </c>
      <c r="N514" s="6" t="str">
        <f>_xlfn.XLOOKUP(tblSales[[#This Row],[ProductID]],tblProducts[ProductID],tblProducts[ProductName],"Not Found")</f>
        <v>Cardiovan</v>
      </c>
      <c r="O514" s="8">
        <f>YEAR(tblSales[[#This Row],[Month]])</f>
        <v>2024</v>
      </c>
      <c r="P514" s="8">
        <f>MONTH(tblSales[[#This Row],[Month]])</f>
        <v>11</v>
      </c>
      <c r="Q514" s="6">
        <f>IFERROR(tblSales[[#This Row],[NetSalesTRY]]/tblSales[[#This Row],[Units]],0)</f>
        <v>896.57792307692307</v>
      </c>
      <c r="R514" s="17">
        <f>IFERROR(tblSales[[#This Row],[NetSalesTRY]]/tblSales[[#This Row],[TargetTRY]],0)</f>
        <v>0.99327271639566705</v>
      </c>
      <c r="S514" s="6">
        <f>tblSales[[#This Row],[NetSalesTRY]]-tblSales[[#This Row],[TargetTRY]]</f>
        <v>-789.40999999998894</v>
      </c>
      <c r="T514" s="6">
        <f>MAX(tblSales[[#This Row],[TargetTRY]]-tblSales[[#This Row],[NetSalesTRY]],0)</f>
        <v>789.40999999998894</v>
      </c>
    </row>
    <row r="515" spans="1:20">
      <c r="A515" t="s">
        <v>903</v>
      </c>
      <c r="B515" s="15">
        <v>45597</v>
      </c>
      <c r="C515" t="s">
        <v>23</v>
      </c>
      <c r="D515" t="s">
        <v>24</v>
      </c>
      <c r="E515" t="s">
        <v>58</v>
      </c>
      <c r="F515" t="s">
        <v>56</v>
      </c>
      <c r="G515" t="s">
        <v>8</v>
      </c>
      <c r="H515" s="8">
        <v>154</v>
      </c>
      <c r="I515" s="9">
        <v>115539.31</v>
      </c>
      <c r="J515" s="9">
        <v>4583.8</v>
      </c>
      <c r="K515" s="9">
        <v>1179.6300000000001</v>
      </c>
      <c r="L515" s="9">
        <v>109775.88</v>
      </c>
      <c r="M515" s="9">
        <v>110143.92</v>
      </c>
      <c r="N515" s="6" t="str">
        <f>_xlfn.XLOOKUP(tblSales[[#This Row],[ProductID]],tblProducts[ProductID],tblProducts[ProductName],"Not Found")</f>
        <v>GlucoRelief</v>
      </c>
      <c r="O515" s="8">
        <f>YEAR(tblSales[[#This Row],[Month]])</f>
        <v>2024</v>
      </c>
      <c r="P515" s="8">
        <f>MONTH(tblSales[[#This Row],[Month]])</f>
        <v>11</v>
      </c>
      <c r="Q515" s="6">
        <f>IFERROR(tblSales[[#This Row],[NetSalesTRY]]/tblSales[[#This Row],[Units]],0)</f>
        <v>712.8303896103896</v>
      </c>
      <c r="R515" s="17">
        <f>IFERROR(tblSales[[#This Row],[NetSalesTRY]]/tblSales[[#This Row],[TargetTRY]],0)</f>
        <v>0.99665855364508549</v>
      </c>
      <c r="S515" s="6">
        <f>tblSales[[#This Row],[NetSalesTRY]]-tblSales[[#This Row],[TargetTRY]]</f>
        <v>-368.0399999999936</v>
      </c>
      <c r="T515" s="6">
        <f>MAX(tblSales[[#This Row],[TargetTRY]]-tblSales[[#This Row],[NetSalesTRY]],0)</f>
        <v>368.0399999999936</v>
      </c>
    </row>
    <row r="516" spans="1:20">
      <c r="A516" t="s">
        <v>904</v>
      </c>
      <c r="B516" s="15">
        <v>45597</v>
      </c>
      <c r="C516" t="s">
        <v>23</v>
      </c>
      <c r="D516" t="s">
        <v>24</v>
      </c>
      <c r="E516" t="s">
        <v>58</v>
      </c>
      <c r="F516" t="s">
        <v>56</v>
      </c>
      <c r="G516" t="s">
        <v>11</v>
      </c>
      <c r="H516" s="8">
        <v>190</v>
      </c>
      <c r="I516" s="9">
        <v>117756.4</v>
      </c>
      <c r="J516" s="9">
        <v>5847.52</v>
      </c>
      <c r="K516" s="9">
        <v>865.16</v>
      </c>
      <c r="L516" s="9">
        <v>111043.72</v>
      </c>
      <c r="M516" s="9">
        <v>110361.44</v>
      </c>
      <c r="N516" s="6" t="str">
        <f>_xlfn.XLOOKUP(tblSales[[#This Row],[ProductID]],tblProducts[ProductID],tblProducts[ProductName],"Not Found")</f>
        <v>RespiraX</v>
      </c>
      <c r="O516" s="8">
        <f>YEAR(tblSales[[#This Row],[Month]])</f>
        <v>2024</v>
      </c>
      <c r="P516" s="8">
        <f>MONTH(tblSales[[#This Row],[Month]])</f>
        <v>11</v>
      </c>
      <c r="Q516" s="6">
        <f>IFERROR(tblSales[[#This Row],[NetSalesTRY]]/tblSales[[#This Row],[Units]],0)</f>
        <v>584.44063157894732</v>
      </c>
      <c r="R516" s="17">
        <f>IFERROR(tblSales[[#This Row],[NetSalesTRY]]/tblSales[[#This Row],[TargetTRY]],0)</f>
        <v>1.0061822317650078</v>
      </c>
      <c r="S516" s="6">
        <f>tblSales[[#This Row],[NetSalesTRY]]-tblSales[[#This Row],[TargetTRY]]</f>
        <v>682.27999999999884</v>
      </c>
      <c r="T516" s="6">
        <f>MAX(tblSales[[#This Row],[TargetTRY]]-tblSales[[#This Row],[NetSalesTRY]],0)</f>
        <v>0</v>
      </c>
    </row>
    <row r="517" spans="1:20">
      <c r="A517" t="s">
        <v>905</v>
      </c>
      <c r="B517" s="15">
        <v>45597</v>
      </c>
      <c r="C517" t="s">
        <v>23</v>
      </c>
      <c r="D517" t="s">
        <v>24</v>
      </c>
      <c r="E517" t="s">
        <v>58</v>
      </c>
      <c r="F517" t="s">
        <v>56</v>
      </c>
      <c r="G517" t="s">
        <v>14</v>
      </c>
      <c r="H517" s="8">
        <v>102</v>
      </c>
      <c r="I517" s="9">
        <v>113454.02</v>
      </c>
      <c r="J517" s="9">
        <v>6899.95</v>
      </c>
      <c r="K517" s="9">
        <v>1311.06</v>
      </c>
      <c r="L517" s="9">
        <v>105243.01</v>
      </c>
      <c r="M517" s="9">
        <v>103161.60000000001</v>
      </c>
      <c r="N517" s="6" t="str">
        <f>_xlfn.XLOOKUP(tblSales[[#This Row],[ProductID]],tblProducts[ProductID],tblProducts[ProductName],"Not Found")</f>
        <v>NeuroCalm</v>
      </c>
      <c r="O517" s="8">
        <f>YEAR(tblSales[[#This Row],[Month]])</f>
        <v>2024</v>
      </c>
      <c r="P517" s="8">
        <f>MONTH(tblSales[[#This Row],[Month]])</f>
        <v>11</v>
      </c>
      <c r="Q517" s="6">
        <f>IFERROR(tblSales[[#This Row],[NetSalesTRY]]/tblSales[[#This Row],[Units]],0)</f>
        <v>1031.7942156862744</v>
      </c>
      <c r="R517" s="17">
        <f>IFERROR(tblSales[[#This Row],[NetSalesTRY]]/tblSales[[#This Row],[TargetTRY]],0)</f>
        <v>1.0201762089769835</v>
      </c>
      <c r="S517" s="6">
        <f>tblSales[[#This Row],[NetSalesTRY]]-tblSales[[#This Row],[TargetTRY]]</f>
        <v>2081.4099999999889</v>
      </c>
      <c r="T517" s="6">
        <f>MAX(tblSales[[#This Row],[TargetTRY]]-tblSales[[#This Row],[NetSalesTRY]],0)</f>
        <v>0</v>
      </c>
    </row>
    <row r="518" spans="1:20">
      <c r="A518" t="s">
        <v>906</v>
      </c>
      <c r="B518" s="15">
        <v>45597</v>
      </c>
      <c r="C518" t="s">
        <v>25</v>
      </c>
      <c r="D518" t="s">
        <v>26</v>
      </c>
      <c r="E518" t="s">
        <v>61</v>
      </c>
      <c r="F518" t="s">
        <v>59</v>
      </c>
      <c r="G518" t="s">
        <v>5</v>
      </c>
      <c r="H518" s="8">
        <v>97</v>
      </c>
      <c r="I518" s="9">
        <v>94350.87</v>
      </c>
      <c r="J518" s="9">
        <v>3523.22</v>
      </c>
      <c r="K518" s="9">
        <v>430.89</v>
      </c>
      <c r="L518" s="9">
        <v>90396.76</v>
      </c>
      <c r="M518" s="9">
        <v>93322.01</v>
      </c>
      <c r="N518" s="6" t="str">
        <f>_xlfn.XLOOKUP(tblSales[[#This Row],[ProductID]],tblProducts[ProductID],tblProducts[ProductName],"Not Found")</f>
        <v>Cardiovan</v>
      </c>
      <c r="O518" s="8">
        <f>YEAR(tblSales[[#This Row],[Month]])</f>
        <v>2024</v>
      </c>
      <c r="P518" s="8">
        <f>MONTH(tblSales[[#This Row],[Month]])</f>
        <v>11</v>
      </c>
      <c r="Q518" s="6">
        <f>IFERROR(tblSales[[#This Row],[NetSalesTRY]]/tblSales[[#This Row],[Units]],0)</f>
        <v>931.92536082474226</v>
      </c>
      <c r="R518" s="17">
        <f>IFERROR(tblSales[[#This Row],[NetSalesTRY]]/tblSales[[#This Row],[TargetTRY]],0)</f>
        <v>0.96865423280102947</v>
      </c>
      <c r="S518" s="6">
        <f>tblSales[[#This Row],[NetSalesTRY]]-tblSales[[#This Row],[TargetTRY]]</f>
        <v>-2925.25</v>
      </c>
      <c r="T518" s="6">
        <f>MAX(tblSales[[#This Row],[TargetTRY]]-tblSales[[#This Row],[NetSalesTRY]],0)</f>
        <v>2925.25</v>
      </c>
    </row>
    <row r="519" spans="1:20">
      <c r="A519" t="s">
        <v>907</v>
      </c>
      <c r="B519" s="15">
        <v>45597</v>
      </c>
      <c r="C519" t="s">
        <v>25</v>
      </c>
      <c r="D519" t="s">
        <v>26</v>
      </c>
      <c r="E519" t="s">
        <v>61</v>
      </c>
      <c r="F519" t="s">
        <v>59</v>
      </c>
      <c r="G519" t="s">
        <v>8</v>
      </c>
      <c r="H519" s="8">
        <v>117</v>
      </c>
      <c r="I519" s="9">
        <v>87668.75</v>
      </c>
      <c r="J519" s="9">
        <v>6075.94</v>
      </c>
      <c r="K519" s="9">
        <v>661.78</v>
      </c>
      <c r="L519" s="9">
        <v>80931.03</v>
      </c>
      <c r="M519" s="9">
        <v>86089.49</v>
      </c>
      <c r="N519" s="6" t="str">
        <f>_xlfn.XLOOKUP(tblSales[[#This Row],[ProductID]],tblProducts[ProductID],tblProducts[ProductName],"Not Found")</f>
        <v>GlucoRelief</v>
      </c>
      <c r="O519" s="8">
        <f>YEAR(tblSales[[#This Row],[Month]])</f>
        <v>2024</v>
      </c>
      <c r="P519" s="8">
        <f>MONTH(tblSales[[#This Row],[Month]])</f>
        <v>11</v>
      </c>
      <c r="Q519" s="6">
        <f>IFERROR(tblSales[[#This Row],[NetSalesTRY]]/tblSales[[#This Row],[Units]],0)</f>
        <v>691.71820512820511</v>
      </c>
      <c r="R519" s="17">
        <f>IFERROR(tblSales[[#This Row],[NetSalesTRY]]/tblSales[[#This Row],[TargetTRY]],0)</f>
        <v>0.94008025834512432</v>
      </c>
      <c r="S519" s="6">
        <f>tblSales[[#This Row],[NetSalesTRY]]-tblSales[[#This Row],[TargetTRY]]</f>
        <v>-5158.4600000000064</v>
      </c>
      <c r="T519" s="6">
        <f>MAX(tblSales[[#This Row],[TargetTRY]]-tblSales[[#This Row],[NetSalesTRY]],0)</f>
        <v>5158.4600000000064</v>
      </c>
    </row>
    <row r="520" spans="1:20">
      <c r="A520" t="s">
        <v>908</v>
      </c>
      <c r="B520" s="15">
        <v>45597</v>
      </c>
      <c r="C520" t="s">
        <v>25</v>
      </c>
      <c r="D520" t="s">
        <v>26</v>
      </c>
      <c r="E520" t="s">
        <v>61</v>
      </c>
      <c r="F520" t="s">
        <v>59</v>
      </c>
      <c r="G520" t="s">
        <v>11</v>
      </c>
      <c r="H520" s="8">
        <v>150</v>
      </c>
      <c r="I520" s="9">
        <v>92876.81</v>
      </c>
      <c r="J520" s="9">
        <v>6242.92</v>
      </c>
      <c r="K520" s="9">
        <v>608.05999999999995</v>
      </c>
      <c r="L520" s="9">
        <v>86025.83</v>
      </c>
      <c r="M520" s="9">
        <v>86633.78</v>
      </c>
      <c r="N520" s="6" t="str">
        <f>_xlfn.XLOOKUP(tblSales[[#This Row],[ProductID]],tblProducts[ProductID],tblProducts[ProductName],"Not Found")</f>
        <v>RespiraX</v>
      </c>
      <c r="O520" s="8">
        <f>YEAR(tblSales[[#This Row],[Month]])</f>
        <v>2024</v>
      </c>
      <c r="P520" s="8">
        <f>MONTH(tblSales[[#This Row],[Month]])</f>
        <v>11</v>
      </c>
      <c r="Q520" s="6">
        <f>IFERROR(tblSales[[#This Row],[NetSalesTRY]]/tblSales[[#This Row],[Units]],0)</f>
        <v>573.50553333333335</v>
      </c>
      <c r="R520" s="17">
        <f>IFERROR(tblSales[[#This Row],[NetSalesTRY]]/tblSales[[#This Row],[TargetTRY]],0)</f>
        <v>0.99298252944752041</v>
      </c>
      <c r="S520" s="6">
        <f>tblSales[[#This Row],[NetSalesTRY]]-tblSales[[#This Row],[TargetTRY]]</f>
        <v>-607.94999999999709</v>
      </c>
      <c r="T520" s="6">
        <f>MAX(tblSales[[#This Row],[TargetTRY]]-tblSales[[#This Row],[NetSalesTRY]],0)</f>
        <v>607.94999999999709</v>
      </c>
    </row>
    <row r="521" spans="1:20">
      <c r="A521" t="s">
        <v>909</v>
      </c>
      <c r="B521" s="15">
        <v>45597</v>
      </c>
      <c r="C521" t="s">
        <v>25</v>
      </c>
      <c r="D521" t="s">
        <v>26</v>
      </c>
      <c r="E521" t="s">
        <v>61</v>
      </c>
      <c r="F521" t="s">
        <v>59</v>
      </c>
      <c r="G521" t="s">
        <v>14</v>
      </c>
      <c r="H521" s="8">
        <v>75</v>
      </c>
      <c r="I521" s="9">
        <v>82039.320000000007</v>
      </c>
      <c r="J521" s="9">
        <v>4427.53</v>
      </c>
      <c r="K521" s="9">
        <v>620.92999999999995</v>
      </c>
      <c r="L521" s="9">
        <v>76990.86</v>
      </c>
      <c r="M521" s="9">
        <v>80004</v>
      </c>
      <c r="N521" s="6" t="str">
        <f>_xlfn.XLOOKUP(tblSales[[#This Row],[ProductID]],tblProducts[ProductID],tblProducts[ProductName],"Not Found")</f>
        <v>NeuroCalm</v>
      </c>
      <c r="O521" s="8">
        <f>YEAR(tblSales[[#This Row],[Month]])</f>
        <v>2024</v>
      </c>
      <c r="P521" s="8">
        <f>MONTH(tblSales[[#This Row],[Month]])</f>
        <v>11</v>
      </c>
      <c r="Q521" s="6">
        <f>IFERROR(tblSales[[#This Row],[NetSalesTRY]]/tblSales[[#This Row],[Units]],0)</f>
        <v>1026.5447999999999</v>
      </c>
      <c r="R521" s="17">
        <f>IFERROR(tblSales[[#This Row],[NetSalesTRY]]/tblSales[[#This Row],[TargetTRY]],0)</f>
        <v>0.96233763311834408</v>
      </c>
      <c r="S521" s="6">
        <f>tblSales[[#This Row],[NetSalesTRY]]-tblSales[[#This Row],[TargetTRY]]</f>
        <v>-3013.1399999999994</v>
      </c>
      <c r="T521" s="6">
        <f>MAX(tblSales[[#This Row],[TargetTRY]]-tblSales[[#This Row],[NetSalesTRY]],0)</f>
        <v>3013.1399999999994</v>
      </c>
    </row>
    <row r="522" spans="1:20">
      <c r="A522" t="s">
        <v>910</v>
      </c>
      <c r="B522" s="15">
        <v>45597</v>
      </c>
      <c r="C522" t="s">
        <v>25</v>
      </c>
      <c r="D522" t="s">
        <v>26</v>
      </c>
      <c r="E522" t="s">
        <v>64</v>
      </c>
      <c r="F522" t="s">
        <v>62</v>
      </c>
      <c r="G522" t="s">
        <v>5</v>
      </c>
      <c r="H522" s="8">
        <v>102</v>
      </c>
      <c r="I522" s="9">
        <v>98893.63</v>
      </c>
      <c r="J522" s="9">
        <v>3510.72</v>
      </c>
      <c r="K522" s="9">
        <v>1227.78</v>
      </c>
      <c r="L522" s="9">
        <v>94155.12</v>
      </c>
      <c r="M522" s="9">
        <v>92361.83</v>
      </c>
      <c r="N522" s="6" t="str">
        <f>_xlfn.XLOOKUP(tblSales[[#This Row],[ProductID]],tblProducts[ProductID],tblProducts[ProductName],"Not Found")</f>
        <v>Cardiovan</v>
      </c>
      <c r="O522" s="8">
        <f>YEAR(tblSales[[#This Row],[Month]])</f>
        <v>2024</v>
      </c>
      <c r="P522" s="8">
        <f>MONTH(tblSales[[#This Row],[Month]])</f>
        <v>11</v>
      </c>
      <c r="Q522" s="6">
        <f>IFERROR(tblSales[[#This Row],[NetSalesTRY]]/tblSales[[#This Row],[Units]],0)</f>
        <v>923.0894117647058</v>
      </c>
      <c r="R522" s="17">
        <f>IFERROR(tblSales[[#This Row],[NetSalesTRY]]/tblSales[[#This Row],[TargetTRY]],0)</f>
        <v>1.0194159210574325</v>
      </c>
      <c r="S522" s="6">
        <f>tblSales[[#This Row],[NetSalesTRY]]-tblSales[[#This Row],[TargetTRY]]</f>
        <v>1793.2899999999936</v>
      </c>
      <c r="T522" s="6">
        <f>MAX(tblSales[[#This Row],[TargetTRY]]-tblSales[[#This Row],[NetSalesTRY]],0)</f>
        <v>0</v>
      </c>
    </row>
    <row r="523" spans="1:20">
      <c r="A523" t="s">
        <v>911</v>
      </c>
      <c r="B523" s="15">
        <v>45597</v>
      </c>
      <c r="C523" t="s">
        <v>25</v>
      </c>
      <c r="D523" t="s">
        <v>26</v>
      </c>
      <c r="E523" t="s">
        <v>64</v>
      </c>
      <c r="F523" t="s">
        <v>62</v>
      </c>
      <c r="G523" t="s">
        <v>8</v>
      </c>
      <c r="H523" s="8">
        <v>114</v>
      </c>
      <c r="I523" s="9">
        <v>87089.93</v>
      </c>
      <c r="J523" s="9">
        <v>6335.99</v>
      </c>
      <c r="K523" s="9">
        <v>857.06</v>
      </c>
      <c r="L523" s="9">
        <v>79896.87</v>
      </c>
      <c r="M523" s="9">
        <v>87645.95</v>
      </c>
      <c r="N523" s="6" t="str">
        <f>_xlfn.XLOOKUP(tblSales[[#This Row],[ProductID]],tblProducts[ProductID],tblProducts[ProductName],"Not Found")</f>
        <v>GlucoRelief</v>
      </c>
      <c r="O523" s="8">
        <f>YEAR(tblSales[[#This Row],[Month]])</f>
        <v>2024</v>
      </c>
      <c r="P523" s="8">
        <f>MONTH(tblSales[[#This Row],[Month]])</f>
        <v>11</v>
      </c>
      <c r="Q523" s="6">
        <f>IFERROR(tblSales[[#This Row],[NetSalesTRY]]/tblSales[[#This Row],[Units]],0)</f>
        <v>700.84973684210524</v>
      </c>
      <c r="R523" s="17">
        <f>IFERROR(tblSales[[#This Row],[NetSalesTRY]]/tblSales[[#This Row],[TargetTRY]],0)</f>
        <v>0.91158655933331767</v>
      </c>
      <c r="S523" s="6">
        <f>tblSales[[#This Row],[NetSalesTRY]]-tblSales[[#This Row],[TargetTRY]]</f>
        <v>-7749.0800000000017</v>
      </c>
      <c r="T523" s="6">
        <f>MAX(tblSales[[#This Row],[TargetTRY]]-tblSales[[#This Row],[NetSalesTRY]],0)</f>
        <v>7749.0800000000017</v>
      </c>
    </row>
    <row r="524" spans="1:20">
      <c r="A524" t="s">
        <v>912</v>
      </c>
      <c r="B524" s="15">
        <v>45597</v>
      </c>
      <c r="C524" t="s">
        <v>25</v>
      </c>
      <c r="D524" t="s">
        <v>26</v>
      </c>
      <c r="E524" t="s">
        <v>64</v>
      </c>
      <c r="F524" t="s">
        <v>62</v>
      </c>
      <c r="G524" t="s">
        <v>11</v>
      </c>
      <c r="H524" s="8">
        <v>149</v>
      </c>
      <c r="I524" s="9">
        <v>91675.08</v>
      </c>
      <c r="J524" s="9">
        <v>4066.16</v>
      </c>
      <c r="K524" s="9">
        <v>832.51</v>
      </c>
      <c r="L524" s="9">
        <v>86776.41</v>
      </c>
      <c r="M524" s="9">
        <v>85399.44</v>
      </c>
      <c r="N524" s="6" t="str">
        <f>_xlfn.XLOOKUP(tblSales[[#This Row],[ProductID]],tblProducts[ProductID],tblProducts[ProductName],"Not Found")</f>
        <v>RespiraX</v>
      </c>
      <c r="O524" s="8">
        <f>YEAR(tblSales[[#This Row],[Month]])</f>
        <v>2024</v>
      </c>
      <c r="P524" s="8">
        <f>MONTH(tblSales[[#This Row],[Month]])</f>
        <v>11</v>
      </c>
      <c r="Q524" s="6">
        <f>IFERROR(tblSales[[#This Row],[NetSalesTRY]]/tblSales[[#This Row],[Units]],0)</f>
        <v>582.39201342281876</v>
      </c>
      <c r="R524" s="17">
        <f>IFERROR(tblSales[[#This Row],[NetSalesTRY]]/tblSales[[#This Row],[TargetTRY]],0)</f>
        <v>1.0161238762221392</v>
      </c>
      <c r="S524" s="6">
        <f>tblSales[[#This Row],[NetSalesTRY]]-tblSales[[#This Row],[TargetTRY]]</f>
        <v>1376.9700000000012</v>
      </c>
      <c r="T524" s="6">
        <f>MAX(tblSales[[#This Row],[TargetTRY]]-tblSales[[#This Row],[NetSalesTRY]],0)</f>
        <v>0</v>
      </c>
    </row>
    <row r="525" spans="1:20">
      <c r="A525" t="s">
        <v>913</v>
      </c>
      <c r="B525" s="15">
        <v>45597</v>
      </c>
      <c r="C525" t="s">
        <v>25</v>
      </c>
      <c r="D525" t="s">
        <v>26</v>
      </c>
      <c r="E525" t="s">
        <v>64</v>
      </c>
      <c r="F525" t="s">
        <v>62</v>
      </c>
      <c r="G525" t="s">
        <v>14</v>
      </c>
      <c r="H525" s="8">
        <v>76</v>
      </c>
      <c r="I525" s="9">
        <v>83435.39</v>
      </c>
      <c r="J525" s="9">
        <v>2990.84</v>
      </c>
      <c r="K525" s="9">
        <v>851.7</v>
      </c>
      <c r="L525" s="9">
        <v>79592.84</v>
      </c>
      <c r="M525" s="9">
        <v>78834.87</v>
      </c>
      <c r="N525" s="6" t="str">
        <f>_xlfn.XLOOKUP(tblSales[[#This Row],[ProductID]],tblProducts[ProductID],tblProducts[ProductName],"Not Found")</f>
        <v>NeuroCalm</v>
      </c>
      <c r="O525" s="8">
        <f>YEAR(tblSales[[#This Row],[Month]])</f>
        <v>2024</v>
      </c>
      <c r="P525" s="8">
        <f>MONTH(tblSales[[#This Row],[Month]])</f>
        <v>11</v>
      </c>
      <c r="Q525" s="6">
        <f>IFERROR(tblSales[[#This Row],[NetSalesTRY]]/tblSales[[#This Row],[Units]],0)</f>
        <v>1047.2742105263158</v>
      </c>
      <c r="R525" s="17">
        <f>IFERROR(tblSales[[#This Row],[NetSalesTRY]]/tblSales[[#This Row],[TargetTRY]],0)</f>
        <v>1.0096146540230231</v>
      </c>
      <c r="S525" s="6">
        <f>tblSales[[#This Row],[NetSalesTRY]]-tblSales[[#This Row],[TargetTRY]]</f>
        <v>757.97000000000116</v>
      </c>
      <c r="T525" s="6">
        <f>MAX(tblSales[[#This Row],[TargetTRY]]-tblSales[[#This Row],[NetSalesTRY]],0)</f>
        <v>0</v>
      </c>
    </row>
    <row r="526" spans="1:20">
      <c r="A526" t="s">
        <v>914</v>
      </c>
      <c r="B526" s="15">
        <v>45597</v>
      </c>
      <c r="C526" t="s">
        <v>25</v>
      </c>
      <c r="D526" t="s">
        <v>26</v>
      </c>
      <c r="E526" t="s">
        <v>67</v>
      </c>
      <c r="F526" t="s">
        <v>65</v>
      </c>
      <c r="G526" t="s">
        <v>5</v>
      </c>
      <c r="H526" s="8">
        <v>116</v>
      </c>
      <c r="I526" s="9">
        <v>114185.95</v>
      </c>
      <c r="J526" s="9">
        <v>8163.9</v>
      </c>
      <c r="K526" s="9">
        <v>935.41</v>
      </c>
      <c r="L526" s="9">
        <v>105086.64</v>
      </c>
      <c r="M526" s="9">
        <v>104215.99</v>
      </c>
      <c r="N526" s="6" t="str">
        <f>_xlfn.XLOOKUP(tblSales[[#This Row],[ProductID]],tblProducts[ProductID],tblProducts[ProductName],"Not Found")</f>
        <v>Cardiovan</v>
      </c>
      <c r="O526" s="8">
        <f>YEAR(tblSales[[#This Row],[Month]])</f>
        <v>2024</v>
      </c>
      <c r="P526" s="8">
        <f>MONTH(tblSales[[#This Row],[Month]])</f>
        <v>11</v>
      </c>
      <c r="Q526" s="6">
        <f>IFERROR(tblSales[[#This Row],[NetSalesTRY]]/tblSales[[#This Row],[Units]],0)</f>
        <v>905.91931034482764</v>
      </c>
      <c r="R526" s="17">
        <f>IFERROR(tblSales[[#This Row],[NetSalesTRY]]/tblSales[[#This Row],[TargetTRY]],0)</f>
        <v>1.008354284213008</v>
      </c>
      <c r="S526" s="6">
        <f>tblSales[[#This Row],[NetSalesTRY]]-tblSales[[#This Row],[TargetTRY]]</f>
        <v>870.64999999999418</v>
      </c>
      <c r="T526" s="6">
        <f>MAX(tblSales[[#This Row],[TargetTRY]]-tblSales[[#This Row],[NetSalesTRY]],0)</f>
        <v>0</v>
      </c>
    </row>
    <row r="527" spans="1:20">
      <c r="A527" t="s">
        <v>915</v>
      </c>
      <c r="B527" s="15">
        <v>45597</v>
      </c>
      <c r="C527" t="s">
        <v>25</v>
      </c>
      <c r="D527" t="s">
        <v>26</v>
      </c>
      <c r="E527" t="s">
        <v>67</v>
      </c>
      <c r="F527" t="s">
        <v>65</v>
      </c>
      <c r="G527" t="s">
        <v>8</v>
      </c>
      <c r="H527" s="8">
        <v>137</v>
      </c>
      <c r="I527" s="9">
        <v>104372.61</v>
      </c>
      <c r="J527" s="9">
        <v>5349.25</v>
      </c>
      <c r="K527" s="9">
        <v>1241.05</v>
      </c>
      <c r="L527" s="9">
        <v>97782.3</v>
      </c>
      <c r="M527" s="9">
        <v>98672.99</v>
      </c>
      <c r="N527" s="6" t="str">
        <f>_xlfn.XLOOKUP(tblSales[[#This Row],[ProductID]],tblProducts[ProductID],tblProducts[ProductName],"Not Found")</f>
        <v>GlucoRelief</v>
      </c>
      <c r="O527" s="8">
        <f>YEAR(tblSales[[#This Row],[Month]])</f>
        <v>2024</v>
      </c>
      <c r="P527" s="8">
        <f>MONTH(tblSales[[#This Row],[Month]])</f>
        <v>11</v>
      </c>
      <c r="Q527" s="6">
        <f>IFERROR(tblSales[[#This Row],[NetSalesTRY]]/tblSales[[#This Row],[Units]],0)</f>
        <v>713.73941605839423</v>
      </c>
      <c r="R527" s="17">
        <f>IFERROR(tblSales[[#This Row],[NetSalesTRY]]/tblSales[[#This Row],[TargetTRY]],0)</f>
        <v>0.99097331498721175</v>
      </c>
      <c r="S527" s="6">
        <f>tblSales[[#This Row],[NetSalesTRY]]-tblSales[[#This Row],[TargetTRY]]</f>
        <v>-890.69000000000233</v>
      </c>
      <c r="T527" s="6">
        <f>MAX(tblSales[[#This Row],[TargetTRY]]-tblSales[[#This Row],[NetSalesTRY]],0)</f>
        <v>890.69000000000233</v>
      </c>
    </row>
    <row r="528" spans="1:20">
      <c r="A528" t="s">
        <v>916</v>
      </c>
      <c r="B528" s="15">
        <v>45597</v>
      </c>
      <c r="C528" t="s">
        <v>25</v>
      </c>
      <c r="D528" t="s">
        <v>26</v>
      </c>
      <c r="E528" t="s">
        <v>67</v>
      </c>
      <c r="F528" t="s">
        <v>65</v>
      </c>
      <c r="G528" t="s">
        <v>11</v>
      </c>
      <c r="H528" s="8">
        <v>163</v>
      </c>
      <c r="I528" s="9">
        <v>99814.46</v>
      </c>
      <c r="J528" s="9">
        <v>5992.02</v>
      </c>
      <c r="K528" s="9">
        <v>607.59</v>
      </c>
      <c r="L528" s="9">
        <v>93214.85</v>
      </c>
      <c r="M528" s="9">
        <v>97930.96</v>
      </c>
      <c r="N528" s="6" t="str">
        <f>_xlfn.XLOOKUP(tblSales[[#This Row],[ProductID]],tblProducts[ProductID],tblProducts[ProductName],"Not Found")</f>
        <v>RespiraX</v>
      </c>
      <c r="O528" s="8">
        <f>YEAR(tblSales[[#This Row],[Month]])</f>
        <v>2024</v>
      </c>
      <c r="P528" s="8">
        <f>MONTH(tblSales[[#This Row],[Month]])</f>
        <v>11</v>
      </c>
      <c r="Q528" s="6">
        <f>IFERROR(tblSales[[#This Row],[NetSalesTRY]]/tblSales[[#This Row],[Units]],0)</f>
        <v>571.87024539877302</v>
      </c>
      <c r="R528" s="17">
        <f>IFERROR(tblSales[[#This Row],[NetSalesTRY]]/tblSales[[#This Row],[TargetTRY]],0)</f>
        <v>0.95184250210556498</v>
      </c>
      <c r="S528" s="6">
        <f>tblSales[[#This Row],[NetSalesTRY]]-tblSales[[#This Row],[TargetTRY]]</f>
        <v>-4716.1100000000006</v>
      </c>
      <c r="T528" s="6">
        <f>MAX(tblSales[[#This Row],[TargetTRY]]-tblSales[[#This Row],[NetSalesTRY]],0)</f>
        <v>4716.1100000000006</v>
      </c>
    </row>
    <row r="529" spans="1:20">
      <c r="A529" t="s">
        <v>917</v>
      </c>
      <c r="B529" s="15">
        <v>45597</v>
      </c>
      <c r="C529" t="s">
        <v>25</v>
      </c>
      <c r="D529" t="s">
        <v>26</v>
      </c>
      <c r="E529" t="s">
        <v>67</v>
      </c>
      <c r="F529" t="s">
        <v>65</v>
      </c>
      <c r="G529" t="s">
        <v>14</v>
      </c>
      <c r="H529" s="8">
        <v>92</v>
      </c>
      <c r="I529" s="9">
        <v>100570.93</v>
      </c>
      <c r="J529" s="9">
        <v>5346.97</v>
      </c>
      <c r="K529" s="9">
        <v>801.07</v>
      </c>
      <c r="L529" s="9">
        <v>94422.9</v>
      </c>
      <c r="M529" s="9">
        <v>89696.29</v>
      </c>
      <c r="N529" s="6" t="str">
        <f>_xlfn.XLOOKUP(tblSales[[#This Row],[ProductID]],tblProducts[ProductID],tblProducts[ProductName],"Not Found")</f>
        <v>NeuroCalm</v>
      </c>
      <c r="O529" s="8">
        <f>YEAR(tblSales[[#This Row],[Month]])</f>
        <v>2024</v>
      </c>
      <c r="P529" s="8">
        <f>MONTH(tblSales[[#This Row],[Month]])</f>
        <v>11</v>
      </c>
      <c r="Q529" s="6">
        <f>IFERROR(tblSales[[#This Row],[NetSalesTRY]]/tblSales[[#This Row],[Units]],0)</f>
        <v>1026.3358695652173</v>
      </c>
      <c r="R529" s="17">
        <f>IFERROR(tblSales[[#This Row],[NetSalesTRY]]/tblSales[[#This Row],[TargetTRY]],0)</f>
        <v>1.0526957135016399</v>
      </c>
      <c r="S529" s="6">
        <f>tblSales[[#This Row],[NetSalesTRY]]-tblSales[[#This Row],[TargetTRY]]</f>
        <v>4726.6100000000006</v>
      </c>
      <c r="T529" s="6">
        <f>MAX(tblSales[[#This Row],[TargetTRY]]-tblSales[[#This Row],[NetSalesTRY]],0)</f>
        <v>0</v>
      </c>
    </row>
    <row r="530" spans="1:20">
      <c r="A530" t="s">
        <v>918</v>
      </c>
      <c r="B530" s="15">
        <v>45627</v>
      </c>
      <c r="C530" t="s">
        <v>19</v>
      </c>
      <c r="D530" t="s">
        <v>20</v>
      </c>
      <c r="E530" t="s">
        <v>34</v>
      </c>
      <c r="F530" t="s">
        <v>32</v>
      </c>
      <c r="G530" t="s">
        <v>5</v>
      </c>
      <c r="H530" s="8">
        <v>160</v>
      </c>
      <c r="I530" s="9">
        <v>156022.01</v>
      </c>
      <c r="J530" s="9">
        <v>5533.4</v>
      </c>
      <c r="K530" s="9">
        <v>1342.93</v>
      </c>
      <c r="L530" s="9">
        <v>149145.68</v>
      </c>
      <c r="M530" s="9">
        <v>145031.51</v>
      </c>
      <c r="N530" s="6" t="str">
        <f>_xlfn.XLOOKUP(tblSales[[#This Row],[ProductID]],tblProducts[ProductID],tblProducts[ProductName],"Not Found")</f>
        <v>Cardiovan</v>
      </c>
      <c r="O530" s="8">
        <f>YEAR(tblSales[[#This Row],[Month]])</f>
        <v>2024</v>
      </c>
      <c r="P530" s="8">
        <f>MONTH(tblSales[[#This Row],[Month]])</f>
        <v>12</v>
      </c>
      <c r="Q530" s="6">
        <f>IFERROR(tblSales[[#This Row],[NetSalesTRY]]/tblSales[[#This Row],[Units]],0)</f>
        <v>932.16049999999996</v>
      </c>
      <c r="R530" s="17">
        <f>IFERROR(tblSales[[#This Row],[NetSalesTRY]]/tblSales[[#This Row],[TargetTRY]],0)</f>
        <v>1.0283674216727108</v>
      </c>
      <c r="S530" s="6">
        <f>tblSales[[#This Row],[NetSalesTRY]]-tblSales[[#This Row],[TargetTRY]]</f>
        <v>4114.1699999999837</v>
      </c>
      <c r="T530" s="6">
        <f>MAX(tblSales[[#This Row],[TargetTRY]]-tblSales[[#This Row],[NetSalesTRY]],0)</f>
        <v>0</v>
      </c>
    </row>
    <row r="531" spans="1:20">
      <c r="A531" t="s">
        <v>919</v>
      </c>
      <c r="B531" s="15">
        <v>45627</v>
      </c>
      <c r="C531" t="s">
        <v>19</v>
      </c>
      <c r="D531" t="s">
        <v>20</v>
      </c>
      <c r="E531" t="s">
        <v>34</v>
      </c>
      <c r="F531" t="s">
        <v>32</v>
      </c>
      <c r="G531" t="s">
        <v>8</v>
      </c>
      <c r="H531" s="8">
        <v>192</v>
      </c>
      <c r="I531" s="9">
        <v>144088.1</v>
      </c>
      <c r="J531" s="9">
        <v>7842.47</v>
      </c>
      <c r="K531" s="9">
        <v>971.34</v>
      </c>
      <c r="L531" s="9">
        <v>135274.29</v>
      </c>
      <c r="M531" s="9">
        <v>135599.49</v>
      </c>
      <c r="N531" s="6" t="str">
        <f>_xlfn.XLOOKUP(tblSales[[#This Row],[ProductID]],tblProducts[ProductID],tblProducts[ProductName],"Not Found")</f>
        <v>GlucoRelief</v>
      </c>
      <c r="O531" s="8">
        <f>YEAR(tblSales[[#This Row],[Month]])</f>
        <v>2024</v>
      </c>
      <c r="P531" s="8">
        <f>MONTH(tblSales[[#This Row],[Month]])</f>
        <v>12</v>
      </c>
      <c r="Q531" s="6">
        <f>IFERROR(tblSales[[#This Row],[NetSalesTRY]]/tblSales[[#This Row],[Units]],0)</f>
        <v>704.55359375</v>
      </c>
      <c r="R531" s="17">
        <f>IFERROR(tblSales[[#This Row],[NetSalesTRY]]/tblSales[[#This Row],[TargetTRY]],0)</f>
        <v>0.9976017608915787</v>
      </c>
      <c r="S531" s="6">
        <f>tblSales[[#This Row],[NetSalesTRY]]-tblSales[[#This Row],[TargetTRY]]</f>
        <v>-325.19999999998254</v>
      </c>
      <c r="T531" s="6">
        <f>MAX(tblSales[[#This Row],[TargetTRY]]-tblSales[[#This Row],[NetSalesTRY]],0)</f>
        <v>325.19999999998254</v>
      </c>
    </row>
    <row r="532" spans="1:20">
      <c r="A532" t="s">
        <v>920</v>
      </c>
      <c r="B532" s="15">
        <v>45627</v>
      </c>
      <c r="C532" t="s">
        <v>19</v>
      </c>
      <c r="D532" t="s">
        <v>20</v>
      </c>
      <c r="E532" t="s">
        <v>34</v>
      </c>
      <c r="F532" t="s">
        <v>32</v>
      </c>
      <c r="G532" t="s">
        <v>11</v>
      </c>
      <c r="H532" s="8">
        <v>223</v>
      </c>
      <c r="I532" s="9">
        <v>139987.57</v>
      </c>
      <c r="J532" s="9">
        <v>8889.31</v>
      </c>
      <c r="K532" s="9">
        <v>1324.34</v>
      </c>
      <c r="L532" s="9">
        <v>129773.93</v>
      </c>
      <c r="M532" s="9">
        <v>132715.91</v>
      </c>
      <c r="N532" s="6" t="str">
        <f>_xlfn.XLOOKUP(tblSales[[#This Row],[ProductID]],tblProducts[ProductID],tblProducts[ProductName],"Not Found")</f>
        <v>RespiraX</v>
      </c>
      <c r="O532" s="8">
        <f>YEAR(tblSales[[#This Row],[Month]])</f>
        <v>2024</v>
      </c>
      <c r="P532" s="8">
        <f>MONTH(tblSales[[#This Row],[Month]])</f>
        <v>12</v>
      </c>
      <c r="Q532" s="6">
        <f>IFERROR(tblSales[[#This Row],[NetSalesTRY]]/tblSales[[#This Row],[Units]],0)</f>
        <v>581.94587443946182</v>
      </c>
      <c r="R532" s="17">
        <f>IFERROR(tblSales[[#This Row],[NetSalesTRY]]/tblSales[[#This Row],[TargetTRY]],0)</f>
        <v>0.97783249950966689</v>
      </c>
      <c r="S532" s="6">
        <f>tblSales[[#This Row],[NetSalesTRY]]-tblSales[[#This Row],[TargetTRY]]</f>
        <v>-2941.9800000000105</v>
      </c>
      <c r="T532" s="6">
        <f>MAX(tblSales[[#This Row],[TargetTRY]]-tblSales[[#This Row],[NetSalesTRY]],0)</f>
        <v>2941.9800000000105</v>
      </c>
    </row>
    <row r="533" spans="1:20">
      <c r="A533" t="s">
        <v>921</v>
      </c>
      <c r="B533" s="15">
        <v>45627</v>
      </c>
      <c r="C533" t="s">
        <v>19</v>
      </c>
      <c r="D533" t="s">
        <v>20</v>
      </c>
      <c r="E533" t="s">
        <v>34</v>
      </c>
      <c r="F533" t="s">
        <v>32</v>
      </c>
      <c r="G533" t="s">
        <v>14</v>
      </c>
      <c r="H533" s="8">
        <v>118</v>
      </c>
      <c r="I533" s="9">
        <v>130438.16</v>
      </c>
      <c r="J533" s="9">
        <v>6450.81</v>
      </c>
      <c r="K533" s="9">
        <v>1708.05</v>
      </c>
      <c r="L533" s="9">
        <v>122279.29</v>
      </c>
      <c r="M533" s="9">
        <v>122843.86</v>
      </c>
      <c r="N533" s="6" t="str">
        <f>_xlfn.XLOOKUP(tblSales[[#This Row],[ProductID]],tblProducts[ProductID],tblProducts[ProductName],"Not Found")</f>
        <v>NeuroCalm</v>
      </c>
      <c r="O533" s="8">
        <f>YEAR(tblSales[[#This Row],[Month]])</f>
        <v>2024</v>
      </c>
      <c r="P533" s="8">
        <f>MONTH(tblSales[[#This Row],[Month]])</f>
        <v>12</v>
      </c>
      <c r="Q533" s="6">
        <f>IFERROR(tblSales[[#This Row],[NetSalesTRY]]/tblSales[[#This Row],[Units]],0)</f>
        <v>1036.2651694915253</v>
      </c>
      <c r="R533" s="17">
        <f>IFERROR(tblSales[[#This Row],[NetSalesTRY]]/tblSales[[#This Row],[TargetTRY]],0)</f>
        <v>0.99540416590621617</v>
      </c>
      <c r="S533" s="6">
        <f>tblSales[[#This Row],[NetSalesTRY]]-tblSales[[#This Row],[TargetTRY]]</f>
        <v>-564.57000000000698</v>
      </c>
      <c r="T533" s="6">
        <f>MAX(tblSales[[#This Row],[TargetTRY]]-tblSales[[#This Row],[NetSalesTRY]],0)</f>
        <v>564.57000000000698</v>
      </c>
    </row>
    <row r="534" spans="1:20">
      <c r="A534" t="s">
        <v>922</v>
      </c>
      <c r="B534" s="15">
        <v>45627</v>
      </c>
      <c r="C534" t="s">
        <v>19</v>
      </c>
      <c r="D534" t="s">
        <v>20</v>
      </c>
      <c r="E534" t="s">
        <v>37</v>
      </c>
      <c r="F534" t="s">
        <v>35</v>
      </c>
      <c r="G534" t="s">
        <v>5</v>
      </c>
      <c r="H534" s="8">
        <v>160</v>
      </c>
      <c r="I534" s="9">
        <v>156861.09</v>
      </c>
      <c r="J534" s="9">
        <v>11509.7</v>
      </c>
      <c r="K534" s="9">
        <v>1867.17</v>
      </c>
      <c r="L534" s="9">
        <v>143484.22</v>
      </c>
      <c r="M534" s="9">
        <v>148066.6</v>
      </c>
      <c r="N534" s="6" t="str">
        <f>_xlfn.XLOOKUP(tblSales[[#This Row],[ProductID]],tblProducts[ProductID],tblProducts[ProductName],"Not Found")</f>
        <v>Cardiovan</v>
      </c>
      <c r="O534" s="8">
        <f>YEAR(tblSales[[#This Row],[Month]])</f>
        <v>2024</v>
      </c>
      <c r="P534" s="8">
        <f>MONTH(tblSales[[#This Row],[Month]])</f>
        <v>12</v>
      </c>
      <c r="Q534" s="6">
        <f>IFERROR(tblSales[[#This Row],[NetSalesTRY]]/tblSales[[#This Row],[Units]],0)</f>
        <v>896.77637500000003</v>
      </c>
      <c r="R534" s="17">
        <f>IFERROR(tblSales[[#This Row],[NetSalesTRY]]/tblSales[[#This Row],[TargetTRY]],0)</f>
        <v>0.96905189961814475</v>
      </c>
      <c r="S534" s="6">
        <f>tblSales[[#This Row],[NetSalesTRY]]-tblSales[[#This Row],[TargetTRY]]</f>
        <v>-4582.3800000000047</v>
      </c>
      <c r="T534" s="6">
        <f>MAX(tblSales[[#This Row],[TargetTRY]]-tblSales[[#This Row],[NetSalesTRY]],0)</f>
        <v>4582.3800000000047</v>
      </c>
    </row>
    <row r="535" spans="1:20">
      <c r="A535" t="s">
        <v>923</v>
      </c>
      <c r="B535" s="15">
        <v>45627</v>
      </c>
      <c r="C535" t="s">
        <v>19</v>
      </c>
      <c r="D535" t="s">
        <v>20</v>
      </c>
      <c r="E535" t="s">
        <v>37</v>
      </c>
      <c r="F535" t="s">
        <v>35</v>
      </c>
      <c r="G535" t="s">
        <v>8</v>
      </c>
      <c r="H535" s="8">
        <v>189</v>
      </c>
      <c r="I535" s="9">
        <v>144678.66</v>
      </c>
      <c r="J535" s="9">
        <v>9699.94</v>
      </c>
      <c r="K535" s="9">
        <v>749.03</v>
      </c>
      <c r="L535" s="9">
        <v>134229.69</v>
      </c>
      <c r="M535" s="9">
        <v>137158.91</v>
      </c>
      <c r="N535" s="6" t="str">
        <f>_xlfn.XLOOKUP(tblSales[[#This Row],[ProductID]],tblProducts[ProductID],tblProducts[ProductName],"Not Found")</f>
        <v>GlucoRelief</v>
      </c>
      <c r="O535" s="8">
        <f>YEAR(tblSales[[#This Row],[Month]])</f>
        <v>2024</v>
      </c>
      <c r="P535" s="8">
        <f>MONTH(tblSales[[#This Row],[Month]])</f>
        <v>12</v>
      </c>
      <c r="Q535" s="6">
        <f>IFERROR(tblSales[[#This Row],[NetSalesTRY]]/tblSales[[#This Row],[Units]],0)</f>
        <v>710.21</v>
      </c>
      <c r="R535" s="17">
        <f>IFERROR(tblSales[[#This Row],[NetSalesTRY]]/tblSales[[#This Row],[TargetTRY]],0)</f>
        <v>0.97864360397731365</v>
      </c>
      <c r="S535" s="6">
        <f>tblSales[[#This Row],[NetSalesTRY]]-tblSales[[#This Row],[TargetTRY]]</f>
        <v>-2929.2200000000012</v>
      </c>
      <c r="T535" s="6">
        <f>MAX(tblSales[[#This Row],[TargetTRY]]-tblSales[[#This Row],[NetSalesTRY]],0)</f>
        <v>2929.2200000000012</v>
      </c>
    </row>
    <row r="536" spans="1:20">
      <c r="A536" t="s">
        <v>924</v>
      </c>
      <c r="B536" s="15">
        <v>45627</v>
      </c>
      <c r="C536" t="s">
        <v>19</v>
      </c>
      <c r="D536" t="s">
        <v>20</v>
      </c>
      <c r="E536" t="s">
        <v>37</v>
      </c>
      <c r="F536" t="s">
        <v>35</v>
      </c>
      <c r="G536" t="s">
        <v>11</v>
      </c>
      <c r="H536" s="8">
        <v>241</v>
      </c>
      <c r="I536" s="9">
        <v>147199.16</v>
      </c>
      <c r="J536" s="9">
        <v>10147.1</v>
      </c>
      <c r="K536" s="9">
        <v>1967.83</v>
      </c>
      <c r="L536" s="9">
        <v>135084.22</v>
      </c>
      <c r="M536" s="9">
        <v>135064.54</v>
      </c>
      <c r="N536" s="6" t="str">
        <f>_xlfn.XLOOKUP(tblSales[[#This Row],[ProductID]],tblProducts[ProductID],tblProducts[ProductName],"Not Found")</f>
        <v>RespiraX</v>
      </c>
      <c r="O536" s="8">
        <f>YEAR(tblSales[[#This Row],[Month]])</f>
        <v>2024</v>
      </c>
      <c r="P536" s="8">
        <f>MONTH(tblSales[[#This Row],[Month]])</f>
        <v>12</v>
      </c>
      <c r="Q536" s="6">
        <f>IFERROR(tblSales[[#This Row],[NetSalesTRY]]/tblSales[[#This Row],[Units]],0)</f>
        <v>560.51543568464729</v>
      </c>
      <c r="R536" s="17">
        <f>IFERROR(tblSales[[#This Row],[NetSalesTRY]]/tblSales[[#This Row],[TargetTRY]],0)</f>
        <v>1.0001457081185039</v>
      </c>
      <c r="S536" s="6">
        <f>tblSales[[#This Row],[NetSalesTRY]]-tblSales[[#This Row],[TargetTRY]]</f>
        <v>19.679999999993015</v>
      </c>
      <c r="T536" s="6">
        <f>MAX(tblSales[[#This Row],[TargetTRY]]-tblSales[[#This Row],[NetSalesTRY]],0)</f>
        <v>0</v>
      </c>
    </row>
    <row r="537" spans="1:20">
      <c r="A537" t="s">
        <v>925</v>
      </c>
      <c r="B537" s="15">
        <v>45627</v>
      </c>
      <c r="C537" t="s">
        <v>19</v>
      </c>
      <c r="D537" t="s">
        <v>20</v>
      </c>
      <c r="E537" t="s">
        <v>37</v>
      </c>
      <c r="F537" t="s">
        <v>35</v>
      </c>
      <c r="G537" t="s">
        <v>14</v>
      </c>
      <c r="H537" s="8">
        <v>117</v>
      </c>
      <c r="I537" s="9">
        <v>130257.89</v>
      </c>
      <c r="J537" s="9">
        <v>8241.86</v>
      </c>
      <c r="K537" s="9">
        <v>1740.97</v>
      </c>
      <c r="L537" s="9">
        <v>120275.06</v>
      </c>
      <c r="M537" s="9">
        <v>126356.52</v>
      </c>
      <c r="N537" s="6" t="str">
        <f>_xlfn.XLOOKUP(tblSales[[#This Row],[ProductID]],tblProducts[ProductID],tblProducts[ProductName],"Not Found")</f>
        <v>NeuroCalm</v>
      </c>
      <c r="O537" s="8">
        <f>YEAR(tblSales[[#This Row],[Month]])</f>
        <v>2024</v>
      </c>
      <c r="P537" s="8">
        <f>MONTH(tblSales[[#This Row],[Month]])</f>
        <v>12</v>
      </c>
      <c r="Q537" s="6">
        <f>IFERROR(tblSales[[#This Row],[NetSalesTRY]]/tblSales[[#This Row],[Units]],0)</f>
        <v>1027.9919658119659</v>
      </c>
      <c r="R537" s="17">
        <f>IFERROR(tblSales[[#This Row],[NetSalesTRY]]/tblSales[[#This Row],[TargetTRY]],0)</f>
        <v>0.95187062764944774</v>
      </c>
      <c r="S537" s="6">
        <f>tblSales[[#This Row],[NetSalesTRY]]-tblSales[[#This Row],[TargetTRY]]</f>
        <v>-6081.4600000000064</v>
      </c>
      <c r="T537" s="6">
        <f>MAX(tblSales[[#This Row],[TargetTRY]]-tblSales[[#This Row],[NetSalesTRY]],0)</f>
        <v>6081.4600000000064</v>
      </c>
    </row>
    <row r="538" spans="1:20">
      <c r="A538" t="s">
        <v>926</v>
      </c>
      <c r="B538" s="15">
        <v>45627</v>
      </c>
      <c r="C538" t="s">
        <v>19</v>
      </c>
      <c r="D538" t="s">
        <v>20</v>
      </c>
      <c r="E538" t="s">
        <v>40</v>
      </c>
      <c r="F538" t="s">
        <v>38</v>
      </c>
      <c r="G538" t="s">
        <v>5</v>
      </c>
      <c r="H538" s="8">
        <v>166</v>
      </c>
      <c r="I538" s="9">
        <v>163323.65</v>
      </c>
      <c r="J538" s="9">
        <v>12245.8</v>
      </c>
      <c r="K538" s="9">
        <v>2142.67</v>
      </c>
      <c r="L538" s="9">
        <v>148935.18</v>
      </c>
      <c r="M538" s="9">
        <v>161947.51</v>
      </c>
      <c r="N538" s="6" t="str">
        <f>_xlfn.XLOOKUP(tblSales[[#This Row],[ProductID]],tblProducts[ProductID],tblProducts[ProductName],"Not Found")</f>
        <v>Cardiovan</v>
      </c>
      <c r="O538" s="8">
        <f>YEAR(tblSales[[#This Row],[Month]])</f>
        <v>2024</v>
      </c>
      <c r="P538" s="8">
        <f>MONTH(tblSales[[#This Row],[Month]])</f>
        <v>12</v>
      </c>
      <c r="Q538" s="6">
        <f>IFERROR(tblSales[[#This Row],[NetSalesTRY]]/tblSales[[#This Row],[Units]],0)</f>
        <v>897.19987951807229</v>
      </c>
      <c r="R538" s="17">
        <f>IFERROR(tblSales[[#This Row],[NetSalesTRY]]/tblSales[[#This Row],[TargetTRY]],0)</f>
        <v>0.91965094122163404</v>
      </c>
      <c r="S538" s="6">
        <f>tblSales[[#This Row],[NetSalesTRY]]-tblSales[[#This Row],[TargetTRY]]</f>
        <v>-13012.330000000016</v>
      </c>
      <c r="T538" s="6">
        <f>MAX(tblSales[[#This Row],[TargetTRY]]-tblSales[[#This Row],[NetSalesTRY]],0)</f>
        <v>13012.330000000016</v>
      </c>
    </row>
    <row r="539" spans="1:20">
      <c r="A539" t="s">
        <v>927</v>
      </c>
      <c r="B539" s="15">
        <v>45627</v>
      </c>
      <c r="C539" t="s">
        <v>19</v>
      </c>
      <c r="D539" t="s">
        <v>20</v>
      </c>
      <c r="E539" t="s">
        <v>40</v>
      </c>
      <c r="F539" t="s">
        <v>38</v>
      </c>
      <c r="G539" t="s">
        <v>8</v>
      </c>
      <c r="H539" s="8">
        <v>211</v>
      </c>
      <c r="I539" s="9">
        <v>160442.92000000001</v>
      </c>
      <c r="J539" s="9">
        <v>7810.61</v>
      </c>
      <c r="K539" s="9">
        <v>992.03</v>
      </c>
      <c r="L539" s="9">
        <v>151640.29</v>
      </c>
      <c r="M539" s="9">
        <v>150312.43</v>
      </c>
      <c r="N539" s="6" t="str">
        <f>_xlfn.XLOOKUP(tblSales[[#This Row],[ProductID]],tblProducts[ProductID],tblProducts[ProductName],"Not Found")</f>
        <v>GlucoRelief</v>
      </c>
      <c r="O539" s="8">
        <f>YEAR(tblSales[[#This Row],[Month]])</f>
        <v>2024</v>
      </c>
      <c r="P539" s="8">
        <f>MONTH(tblSales[[#This Row],[Month]])</f>
        <v>12</v>
      </c>
      <c r="Q539" s="6">
        <f>IFERROR(tblSales[[#This Row],[NetSalesTRY]]/tblSales[[#This Row],[Units]],0)</f>
        <v>718.67436018957346</v>
      </c>
      <c r="R539" s="17">
        <f>IFERROR(tblSales[[#This Row],[NetSalesTRY]]/tblSales[[#This Row],[TargetTRY]],0)</f>
        <v>1.0088339999559586</v>
      </c>
      <c r="S539" s="6">
        <f>tblSales[[#This Row],[NetSalesTRY]]-tblSales[[#This Row],[TargetTRY]]</f>
        <v>1327.8600000000151</v>
      </c>
      <c r="T539" s="6">
        <f>MAX(tblSales[[#This Row],[TargetTRY]]-tblSales[[#This Row],[NetSalesTRY]],0)</f>
        <v>0</v>
      </c>
    </row>
    <row r="540" spans="1:20">
      <c r="A540" t="s">
        <v>928</v>
      </c>
      <c r="B540" s="15">
        <v>45627</v>
      </c>
      <c r="C540" t="s">
        <v>19</v>
      </c>
      <c r="D540" t="s">
        <v>20</v>
      </c>
      <c r="E540" t="s">
        <v>40</v>
      </c>
      <c r="F540" t="s">
        <v>38</v>
      </c>
      <c r="G540" t="s">
        <v>11</v>
      </c>
      <c r="H540" s="8">
        <v>243</v>
      </c>
      <c r="I540" s="9">
        <v>151706.65</v>
      </c>
      <c r="J540" s="9">
        <v>10628.39</v>
      </c>
      <c r="K540" s="9">
        <v>2052.4499999999998</v>
      </c>
      <c r="L540" s="9">
        <v>139025.81</v>
      </c>
      <c r="M540" s="9">
        <v>149960.15</v>
      </c>
      <c r="N540" s="6" t="str">
        <f>_xlfn.XLOOKUP(tblSales[[#This Row],[ProductID]],tblProducts[ProductID],tblProducts[ProductName],"Not Found")</f>
        <v>RespiraX</v>
      </c>
      <c r="O540" s="8">
        <f>YEAR(tblSales[[#This Row],[Month]])</f>
        <v>2024</v>
      </c>
      <c r="P540" s="8">
        <f>MONTH(tblSales[[#This Row],[Month]])</f>
        <v>12</v>
      </c>
      <c r="Q540" s="6">
        <f>IFERROR(tblSales[[#This Row],[NetSalesTRY]]/tblSales[[#This Row],[Units]],0)</f>
        <v>572.12267489711928</v>
      </c>
      <c r="R540" s="17">
        <f>IFERROR(tblSales[[#This Row],[NetSalesTRY]]/tblSales[[#This Row],[TargetTRY]],0)</f>
        <v>0.92708502892268385</v>
      </c>
      <c r="S540" s="6">
        <f>tblSales[[#This Row],[NetSalesTRY]]-tblSales[[#This Row],[TargetTRY]]</f>
        <v>-10934.339999999997</v>
      </c>
      <c r="T540" s="6">
        <f>MAX(tblSales[[#This Row],[TargetTRY]]-tblSales[[#This Row],[NetSalesTRY]],0)</f>
        <v>10934.339999999997</v>
      </c>
    </row>
    <row r="541" spans="1:20">
      <c r="A541" t="s">
        <v>929</v>
      </c>
      <c r="B541" s="15">
        <v>45627</v>
      </c>
      <c r="C541" t="s">
        <v>19</v>
      </c>
      <c r="D541" t="s">
        <v>20</v>
      </c>
      <c r="E541" t="s">
        <v>40</v>
      </c>
      <c r="F541" t="s">
        <v>38</v>
      </c>
      <c r="G541" t="s">
        <v>14</v>
      </c>
      <c r="H541" s="8">
        <v>136</v>
      </c>
      <c r="I541" s="9">
        <v>147649.87</v>
      </c>
      <c r="J541" s="9">
        <v>10854.32</v>
      </c>
      <c r="K541" s="9">
        <v>594.09</v>
      </c>
      <c r="L541" s="9">
        <v>136201.46</v>
      </c>
      <c r="M541" s="9">
        <v>137259.34</v>
      </c>
      <c r="N541" s="6" t="str">
        <f>_xlfn.XLOOKUP(tblSales[[#This Row],[ProductID]],tblProducts[ProductID],tblProducts[ProductName],"Not Found")</f>
        <v>NeuroCalm</v>
      </c>
      <c r="O541" s="8">
        <f>YEAR(tblSales[[#This Row],[Month]])</f>
        <v>2024</v>
      </c>
      <c r="P541" s="8">
        <f>MONTH(tblSales[[#This Row],[Month]])</f>
        <v>12</v>
      </c>
      <c r="Q541" s="6">
        <f>IFERROR(tblSales[[#This Row],[NetSalesTRY]]/tblSales[[#This Row],[Units]],0)</f>
        <v>1001.4813235294117</v>
      </c>
      <c r="R541" s="17">
        <f>IFERROR(tblSales[[#This Row],[NetSalesTRY]]/tblSales[[#This Row],[TargetTRY]],0)</f>
        <v>0.99229283777701394</v>
      </c>
      <c r="S541" s="6">
        <f>tblSales[[#This Row],[NetSalesTRY]]-tblSales[[#This Row],[TargetTRY]]</f>
        <v>-1057.8800000000047</v>
      </c>
      <c r="T541" s="6">
        <f>MAX(tblSales[[#This Row],[TargetTRY]]-tblSales[[#This Row],[NetSalesTRY]],0)</f>
        <v>1057.8800000000047</v>
      </c>
    </row>
    <row r="542" spans="1:20">
      <c r="A542" t="s">
        <v>930</v>
      </c>
      <c r="B542" s="15">
        <v>45627</v>
      </c>
      <c r="C542" t="s">
        <v>21</v>
      </c>
      <c r="D542" t="s">
        <v>22</v>
      </c>
      <c r="E542" t="s">
        <v>43</v>
      </c>
      <c r="F542" t="s">
        <v>41</v>
      </c>
      <c r="G542" t="s">
        <v>5</v>
      </c>
      <c r="H542" s="8">
        <v>128</v>
      </c>
      <c r="I542" s="9">
        <v>125307.46</v>
      </c>
      <c r="J542" s="9">
        <v>7133.69</v>
      </c>
      <c r="K542" s="9">
        <v>1679.42</v>
      </c>
      <c r="L542" s="9">
        <v>116494.36</v>
      </c>
      <c r="M542" s="9">
        <v>117272.46</v>
      </c>
      <c r="N542" s="6" t="str">
        <f>_xlfn.XLOOKUP(tblSales[[#This Row],[ProductID]],tblProducts[ProductID],tblProducts[ProductName],"Not Found")</f>
        <v>Cardiovan</v>
      </c>
      <c r="O542" s="8">
        <f>YEAR(tblSales[[#This Row],[Month]])</f>
        <v>2024</v>
      </c>
      <c r="P542" s="8">
        <f>MONTH(tblSales[[#This Row],[Month]])</f>
        <v>12</v>
      </c>
      <c r="Q542" s="6">
        <f>IFERROR(tblSales[[#This Row],[NetSalesTRY]]/tblSales[[#This Row],[Units]],0)</f>
        <v>910.1121875</v>
      </c>
      <c r="R542" s="17">
        <f>IFERROR(tblSales[[#This Row],[NetSalesTRY]]/tblSales[[#This Row],[TargetTRY]],0)</f>
        <v>0.99336502363811585</v>
      </c>
      <c r="S542" s="6">
        <f>tblSales[[#This Row],[NetSalesTRY]]-tblSales[[#This Row],[TargetTRY]]</f>
        <v>-778.10000000000582</v>
      </c>
      <c r="T542" s="6">
        <f>MAX(tblSales[[#This Row],[TargetTRY]]-tblSales[[#This Row],[NetSalesTRY]],0)</f>
        <v>778.10000000000582</v>
      </c>
    </row>
    <row r="543" spans="1:20">
      <c r="A543" t="s">
        <v>931</v>
      </c>
      <c r="B543" s="15">
        <v>45627</v>
      </c>
      <c r="C543" t="s">
        <v>21</v>
      </c>
      <c r="D543" t="s">
        <v>22</v>
      </c>
      <c r="E543" t="s">
        <v>43</v>
      </c>
      <c r="F543" t="s">
        <v>41</v>
      </c>
      <c r="G543" t="s">
        <v>8</v>
      </c>
      <c r="H543" s="8">
        <v>148</v>
      </c>
      <c r="I543" s="9">
        <v>111381.75999999999</v>
      </c>
      <c r="J543" s="9">
        <v>5077.5</v>
      </c>
      <c r="K543" s="9">
        <v>877.18</v>
      </c>
      <c r="L543" s="9">
        <v>105427.08</v>
      </c>
      <c r="M543" s="9">
        <v>109513.83</v>
      </c>
      <c r="N543" s="6" t="str">
        <f>_xlfn.XLOOKUP(tblSales[[#This Row],[ProductID]],tblProducts[ProductID],tblProducts[ProductName],"Not Found")</f>
        <v>GlucoRelief</v>
      </c>
      <c r="O543" s="8">
        <f>YEAR(tblSales[[#This Row],[Month]])</f>
        <v>2024</v>
      </c>
      <c r="P543" s="8">
        <f>MONTH(tblSales[[#This Row],[Month]])</f>
        <v>12</v>
      </c>
      <c r="Q543" s="6">
        <f>IFERROR(tblSales[[#This Row],[NetSalesTRY]]/tblSales[[#This Row],[Units]],0)</f>
        <v>712.34513513513514</v>
      </c>
      <c r="R543" s="17">
        <f>IFERROR(tblSales[[#This Row],[NetSalesTRY]]/tblSales[[#This Row],[TargetTRY]],0)</f>
        <v>0.96268279540584056</v>
      </c>
      <c r="S543" s="6">
        <f>tblSales[[#This Row],[NetSalesTRY]]-tblSales[[#This Row],[TargetTRY]]</f>
        <v>-4086.75</v>
      </c>
      <c r="T543" s="6">
        <f>MAX(tblSales[[#This Row],[TargetTRY]]-tblSales[[#This Row],[NetSalesTRY]],0)</f>
        <v>4086.75</v>
      </c>
    </row>
    <row r="544" spans="1:20">
      <c r="A544" t="s">
        <v>932</v>
      </c>
      <c r="B544" s="15">
        <v>45627</v>
      </c>
      <c r="C544" t="s">
        <v>21</v>
      </c>
      <c r="D544" t="s">
        <v>22</v>
      </c>
      <c r="E544" t="s">
        <v>43</v>
      </c>
      <c r="F544" t="s">
        <v>41</v>
      </c>
      <c r="G544" t="s">
        <v>11</v>
      </c>
      <c r="H544" s="8">
        <v>195</v>
      </c>
      <c r="I544" s="9">
        <v>119385.19</v>
      </c>
      <c r="J544" s="9">
        <v>4489.97</v>
      </c>
      <c r="K544" s="9">
        <v>1609.81</v>
      </c>
      <c r="L544" s="9">
        <v>113285.42</v>
      </c>
      <c r="M544" s="9">
        <v>106798.79</v>
      </c>
      <c r="N544" s="6" t="str">
        <f>_xlfn.XLOOKUP(tblSales[[#This Row],[ProductID]],tblProducts[ProductID],tblProducts[ProductName],"Not Found")</f>
        <v>RespiraX</v>
      </c>
      <c r="O544" s="8">
        <f>YEAR(tblSales[[#This Row],[Month]])</f>
        <v>2024</v>
      </c>
      <c r="P544" s="8">
        <f>MONTH(tblSales[[#This Row],[Month]])</f>
        <v>12</v>
      </c>
      <c r="Q544" s="6">
        <f>IFERROR(tblSales[[#This Row],[NetSalesTRY]]/tblSales[[#This Row],[Units]],0)</f>
        <v>580.95087179487177</v>
      </c>
      <c r="R544" s="17">
        <f>IFERROR(tblSales[[#This Row],[NetSalesTRY]]/tblSales[[#This Row],[TargetTRY]],0)</f>
        <v>1.0607369240793834</v>
      </c>
      <c r="S544" s="6">
        <f>tblSales[[#This Row],[NetSalesTRY]]-tblSales[[#This Row],[TargetTRY]]</f>
        <v>6486.6300000000047</v>
      </c>
      <c r="T544" s="6">
        <f>MAX(tblSales[[#This Row],[TargetTRY]]-tblSales[[#This Row],[NetSalesTRY]],0)</f>
        <v>0</v>
      </c>
    </row>
    <row r="545" spans="1:20">
      <c r="A545" t="s">
        <v>933</v>
      </c>
      <c r="B545" s="15">
        <v>45627</v>
      </c>
      <c r="C545" t="s">
        <v>21</v>
      </c>
      <c r="D545" t="s">
        <v>22</v>
      </c>
      <c r="E545" t="s">
        <v>43</v>
      </c>
      <c r="F545" t="s">
        <v>41</v>
      </c>
      <c r="G545" t="s">
        <v>14</v>
      </c>
      <c r="H545" s="8">
        <v>100</v>
      </c>
      <c r="I545" s="9">
        <v>108512.57</v>
      </c>
      <c r="J545" s="9">
        <v>4826.1000000000004</v>
      </c>
      <c r="K545" s="9">
        <v>1035.94</v>
      </c>
      <c r="L545" s="9">
        <v>102650.53</v>
      </c>
      <c r="M545" s="9">
        <v>99577.1</v>
      </c>
      <c r="N545" s="6" t="str">
        <f>_xlfn.XLOOKUP(tblSales[[#This Row],[ProductID]],tblProducts[ProductID],tblProducts[ProductName],"Not Found")</f>
        <v>NeuroCalm</v>
      </c>
      <c r="O545" s="8">
        <f>YEAR(tblSales[[#This Row],[Month]])</f>
        <v>2024</v>
      </c>
      <c r="P545" s="8">
        <f>MONTH(tblSales[[#This Row],[Month]])</f>
        <v>12</v>
      </c>
      <c r="Q545" s="6">
        <f>IFERROR(tblSales[[#This Row],[NetSalesTRY]]/tblSales[[#This Row],[Units]],0)</f>
        <v>1026.5053</v>
      </c>
      <c r="R545" s="17">
        <f>IFERROR(tblSales[[#This Row],[NetSalesTRY]]/tblSales[[#This Row],[TargetTRY]],0)</f>
        <v>1.0308648273548837</v>
      </c>
      <c r="S545" s="6">
        <f>tblSales[[#This Row],[NetSalesTRY]]-tblSales[[#This Row],[TargetTRY]]</f>
        <v>3073.429999999993</v>
      </c>
      <c r="T545" s="6">
        <f>MAX(tblSales[[#This Row],[TargetTRY]]-tblSales[[#This Row],[NetSalesTRY]],0)</f>
        <v>0</v>
      </c>
    </row>
    <row r="546" spans="1:20">
      <c r="A546" t="s">
        <v>934</v>
      </c>
      <c r="B546" s="15">
        <v>45627</v>
      </c>
      <c r="C546" t="s">
        <v>21</v>
      </c>
      <c r="D546" t="s">
        <v>22</v>
      </c>
      <c r="E546" t="s">
        <v>46</v>
      </c>
      <c r="F546" t="s">
        <v>44</v>
      </c>
      <c r="G546" t="s">
        <v>5</v>
      </c>
      <c r="H546" s="8">
        <v>107</v>
      </c>
      <c r="I546" s="9">
        <v>104216.71</v>
      </c>
      <c r="J546" s="9">
        <v>7300.95</v>
      </c>
      <c r="K546" s="9">
        <v>1286.9000000000001</v>
      </c>
      <c r="L546" s="9">
        <v>95628.86</v>
      </c>
      <c r="M546" s="9">
        <v>102200.05</v>
      </c>
      <c r="N546" s="6" t="str">
        <f>_xlfn.XLOOKUP(tblSales[[#This Row],[ProductID]],tblProducts[ProductID],tblProducts[ProductName],"Not Found")</f>
        <v>Cardiovan</v>
      </c>
      <c r="O546" s="8">
        <f>YEAR(tblSales[[#This Row],[Month]])</f>
        <v>2024</v>
      </c>
      <c r="P546" s="8">
        <f>MONTH(tblSales[[#This Row],[Month]])</f>
        <v>12</v>
      </c>
      <c r="Q546" s="6">
        <f>IFERROR(tblSales[[#This Row],[NetSalesTRY]]/tblSales[[#This Row],[Units]],0)</f>
        <v>893.72766355140186</v>
      </c>
      <c r="R546" s="17">
        <f>IFERROR(tblSales[[#This Row],[NetSalesTRY]]/tblSales[[#This Row],[TargetTRY]],0)</f>
        <v>0.93570267333528701</v>
      </c>
      <c r="S546" s="6">
        <f>tblSales[[#This Row],[NetSalesTRY]]-tblSales[[#This Row],[TargetTRY]]</f>
        <v>-6571.1900000000023</v>
      </c>
      <c r="T546" s="6">
        <f>MAX(tblSales[[#This Row],[TargetTRY]]-tblSales[[#This Row],[NetSalesTRY]],0)</f>
        <v>6571.1900000000023</v>
      </c>
    </row>
    <row r="547" spans="1:20">
      <c r="A547" t="s">
        <v>935</v>
      </c>
      <c r="B547" s="15">
        <v>45627</v>
      </c>
      <c r="C547" t="s">
        <v>21</v>
      </c>
      <c r="D547" t="s">
        <v>22</v>
      </c>
      <c r="E547" t="s">
        <v>46</v>
      </c>
      <c r="F547" t="s">
        <v>44</v>
      </c>
      <c r="G547" t="s">
        <v>8</v>
      </c>
      <c r="H547" s="8">
        <v>138</v>
      </c>
      <c r="I547" s="9">
        <v>105654.17</v>
      </c>
      <c r="J547" s="9">
        <v>5903.35</v>
      </c>
      <c r="K547" s="9">
        <v>1103.3599999999999</v>
      </c>
      <c r="L547" s="9">
        <v>98647.46</v>
      </c>
      <c r="M547" s="9">
        <v>96642.26</v>
      </c>
      <c r="N547" s="6" t="str">
        <f>_xlfn.XLOOKUP(tblSales[[#This Row],[ProductID]],tblProducts[ProductID],tblProducts[ProductName],"Not Found")</f>
        <v>GlucoRelief</v>
      </c>
      <c r="O547" s="8">
        <f>YEAR(tblSales[[#This Row],[Month]])</f>
        <v>2024</v>
      </c>
      <c r="P547" s="8">
        <f>MONTH(tblSales[[#This Row],[Month]])</f>
        <v>12</v>
      </c>
      <c r="Q547" s="6">
        <f>IFERROR(tblSales[[#This Row],[NetSalesTRY]]/tblSales[[#This Row],[Units]],0)</f>
        <v>714.8366666666667</v>
      </c>
      <c r="R547" s="17">
        <f>IFERROR(tblSales[[#This Row],[NetSalesTRY]]/tblSales[[#This Row],[TargetTRY]],0)</f>
        <v>1.0207486869615841</v>
      </c>
      <c r="S547" s="6">
        <f>tblSales[[#This Row],[NetSalesTRY]]-tblSales[[#This Row],[TargetTRY]]</f>
        <v>2005.2000000000116</v>
      </c>
      <c r="T547" s="6">
        <f>MAX(tblSales[[#This Row],[TargetTRY]]-tblSales[[#This Row],[NetSalesTRY]],0)</f>
        <v>0</v>
      </c>
    </row>
    <row r="548" spans="1:20">
      <c r="A548" t="s">
        <v>936</v>
      </c>
      <c r="B548" s="15">
        <v>45627</v>
      </c>
      <c r="C548" t="s">
        <v>21</v>
      </c>
      <c r="D548" t="s">
        <v>22</v>
      </c>
      <c r="E548" t="s">
        <v>46</v>
      </c>
      <c r="F548" t="s">
        <v>44</v>
      </c>
      <c r="G548" t="s">
        <v>11</v>
      </c>
      <c r="H548" s="8">
        <v>173</v>
      </c>
      <c r="I548" s="9">
        <v>108725.91</v>
      </c>
      <c r="J548" s="9">
        <v>4486.18</v>
      </c>
      <c r="K548" s="9">
        <v>1461.43</v>
      </c>
      <c r="L548" s="9">
        <v>102778.3</v>
      </c>
      <c r="M548" s="9">
        <v>94225.48</v>
      </c>
      <c r="N548" s="6" t="str">
        <f>_xlfn.XLOOKUP(tblSales[[#This Row],[ProductID]],tblProducts[ProductID],tblProducts[ProductName],"Not Found")</f>
        <v>RespiraX</v>
      </c>
      <c r="O548" s="8">
        <f>YEAR(tblSales[[#This Row],[Month]])</f>
        <v>2024</v>
      </c>
      <c r="P548" s="8">
        <f>MONTH(tblSales[[#This Row],[Month]])</f>
        <v>12</v>
      </c>
      <c r="Q548" s="6">
        <f>IFERROR(tblSales[[#This Row],[NetSalesTRY]]/tblSales[[#This Row],[Units]],0)</f>
        <v>594.09421965317915</v>
      </c>
      <c r="R548" s="17">
        <f>IFERROR(tblSales[[#This Row],[NetSalesTRY]]/tblSales[[#This Row],[TargetTRY]],0)</f>
        <v>1.0907697153678602</v>
      </c>
      <c r="S548" s="6">
        <f>tblSales[[#This Row],[NetSalesTRY]]-tblSales[[#This Row],[TargetTRY]]</f>
        <v>8552.820000000007</v>
      </c>
      <c r="T548" s="6">
        <f>MAX(tblSales[[#This Row],[TargetTRY]]-tblSales[[#This Row],[NetSalesTRY]],0)</f>
        <v>0</v>
      </c>
    </row>
    <row r="549" spans="1:20">
      <c r="A549" t="s">
        <v>937</v>
      </c>
      <c r="B549" s="15">
        <v>45627</v>
      </c>
      <c r="C549" t="s">
        <v>21</v>
      </c>
      <c r="D549" t="s">
        <v>22</v>
      </c>
      <c r="E549" t="s">
        <v>46</v>
      </c>
      <c r="F549" t="s">
        <v>44</v>
      </c>
      <c r="G549" t="s">
        <v>14</v>
      </c>
      <c r="H549" s="8">
        <v>89</v>
      </c>
      <c r="I549" s="9">
        <v>98874.3</v>
      </c>
      <c r="J549" s="9">
        <v>3996.16</v>
      </c>
      <c r="K549" s="9">
        <v>914.25</v>
      </c>
      <c r="L549" s="9">
        <v>93963.89</v>
      </c>
      <c r="M549" s="9">
        <v>90180.17</v>
      </c>
      <c r="N549" s="6" t="str">
        <f>_xlfn.XLOOKUP(tblSales[[#This Row],[ProductID]],tblProducts[ProductID],tblProducts[ProductName],"Not Found")</f>
        <v>NeuroCalm</v>
      </c>
      <c r="O549" s="8">
        <f>YEAR(tblSales[[#This Row],[Month]])</f>
        <v>2024</v>
      </c>
      <c r="P549" s="8">
        <f>MONTH(tblSales[[#This Row],[Month]])</f>
        <v>12</v>
      </c>
      <c r="Q549" s="6">
        <f>IFERROR(tblSales[[#This Row],[NetSalesTRY]]/tblSales[[#This Row],[Units]],0)</f>
        <v>1055.7740449438202</v>
      </c>
      <c r="R549" s="17">
        <f>IFERROR(tblSales[[#This Row],[NetSalesTRY]]/tblSales[[#This Row],[TargetTRY]],0)</f>
        <v>1.0419573394017776</v>
      </c>
      <c r="S549" s="6">
        <f>tblSales[[#This Row],[NetSalesTRY]]-tblSales[[#This Row],[TargetTRY]]</f>
        <v>3783.7200000000012</v>
      </c>
      <c r="T549" s="6">
        <f>MAX(tblSales[[#This Row],[TargetTRY]]-tblSales[[#This Row],[NetSalesTRY]],0)</f>
        <v>0</v>
      </c>
    </row>
    <row r="550" spans="1:20">
      <c r="A550" t="s">
        <v>938</v>
      </c>
      <c r="B550" s="15">
        <v>45627</v>
      </c>
      <c r="C550" t="s">
        <v>21</v>
      </c>
      <c r="D550" t="s">
        <v>22</v>
      </c>
      <c r="E550" t="s">
        <v>49</v>
      </c>
      <c r="F550" t="s">
        <v>47</v>
      </c>
      <c r="G550" t="s">
        <v>5</v>
      </c>
      <c r="H550" s="8">
        <v>124</v>
      </c>
      <c r="I550" s="9">
        <v>121581.07</v>
      </c>
      <c r="J550" s="9">
        <v>8188.35</v>
      </c>
      <c r="K550" s="9">
        <v>902.91</v>
      </c>
      <c r="L550" s="9">
        <v>112489.8</v>
      </c>
      <c r="M550" s="9">
        <v>116006.87</v>
      </c>
      <c r="N550" s="6" t="str">
        <f>_xlfn.XLOOKUP(tblSales[[#This Row],[ProductID]],tblProducts[ProductID],tblProducts[ProductName],"Not Found")</f>
        <v>Cardiovan</v>
      </c>
      <c r="O550" s="8">
        <f>YEAR(tblSales[[#This Row],[Month]])</f>
        <v>2024</v>
      </c>
      <c r="P550" s="8">
        <f>MONTH(tblSales[[#This Row],[Month]])</f>
        <v>12</v>
      </c>
      <c r="Q550" s="6">
        <f>IFERROR(tblSales[[#This Row],[NetSalesTRY]]/tblSales[[#This Row],[Units]],0)</f>
        <v>907.17580645161297</v>
      </c>
      <c r="R550" s="17">
        <f>IFERROR(tblSales[[#This Row],[NetSalesTRY]]/tblSales[[#This Row],[TargetTRY]],0)</f>
        <v>0.96968222657847769</v>
      </c>
      <c r="S550" s="6">
        <f>tblSales[[#This Row],[NetSalesTRY]]-tblSales[[#This Row],[TargetTRY]]</f>
        <v>-3517.0699999999924</v>
      </c>
      <c r="T550" s="6">
        <f>MAX(tblSales[[#This Row],[TargetTRY]]-tblSales[[#This Row],[NetSalesTRY]],0)</f>
        <v>3517.0699999999924</v>
      </c>
    </row>
    <row r="551" spans="1:20">
      <c r="A551" t="s">
        <v>939</v>
      </c>
      <c r="B551" s="15">
        <v>45627</v>
      </c>
      <c r="C551" t="s">
        <v>21</v>
      </c>
      <c r="D551" t="s">
        <v>22</v>
      </c>
      <c r="E551" t="s">
        <v>49</v>
      </c>
      <c r="F551" t="s">
        <v>47</v>
      </c>
      <c r="G551" t="s">
        <v>8</v>
      </c>
      <c r="H551" s="8">
        <v>157</v>
      </c>
      <c r="I551" s="9">
        <v>119344.42</v>
      </c>
      <c r="J551" s="9">
        <v>7284.43</v>
      </c>
      <c r="K551" s="9">
        <v>497.18</v>
      </c>
      <c r="L551" s="9">
        <v>111562.81</v>
      </c>
      <c r="M551" s="9">
        <v>108980.34</v>
      </c>
      <c r="N551" s="6" t="str">
        <f>_xlfn.XLOOKUP(tblSales[[#This Row],[ProductID]],tblProducts[ProductID],tblProducts[ProductName],"Not Found")</f>
        <v>GlucoRelief</v>
      </c>
      <c r="O551" s="8">
        <f>YEAR(tblSales[[#This Row],[Month]])</f>
        <v>2024</v>
      </c>
      <c r="P551" s="8">
        <f>MONTH(tblSales[[#This Row],[Month]])</f>
        <v>12</v>
      </c>
      <c r="Q551" s="6">
        <f>IFERROR(tblSales[[#This Row],[NetSalesTRY]]/tblSales[[#This Row],[Units]],0)</f>
        <v>710.59114649681533</v>
      </c>
      <c r="R551" s="17">
        <f>IFERROR(tblSales[[#This Row],[NetSalesTRY]]/tblSales[[#This Row],[TargetTRY]],0)</f>
        <v>1.0236966594158177</v>
      </c>
      <c r="S551" s="6">
        <f>tblSales[[#This Row],[NetSalesTRY]]-tblSales[[#This Row],[TargetTRY]]</f>
        <v>2582.4700000000012</v>
      </c>
      <c r="T551" s="6">
        <f>MAX(tblSales[[#This Row],[TargetTRY]]-tblSales[[#This Row],[NetSalesTRY]],0)</f>
        <v>0</v>
      </c>
    </row>
    <row r="552" spans="1:20">
      <c r="A552" t="s">
        <v>940</v>
      </c>
      <c r="B552" s="15">
        <v>45627</v>
      </c>
      <c r="C552" t="s">
        <v>21</v>
      </c>
      <c r="D552" t="s">
        <v>22</v>
      </c>
      <c r="E552" t="s">
        <v>49</v>
      </c>
      <c r="F552" t="s">
        <v>47</v>
      </c>
      <c r="G552" t="s">
        <v>11</v>
      </c>
      <c r="H552" s="8">
        <v>184</v>
      </c>
      <c r="I552" s="9">
        <v>115273.59</v>
      </c>
      <c r="J552" s="9">
        <v>7609.3</v>
      </c>
      <c r="K552" s="9">
        <v>760.42</v>
      </c>
      <c r="L552" s="9">
        <v>106903.87</v>
      </c>
      <c r="M552" s="9">
        <v>108443.3</v>
      </c>
      <c r="N552" s="6" t="str">
        <f>_xlfn.XLOOKUP(tblSales[[#This Row],[ProductID]],tblProducts[ProductID],tblProducts[ProductName],"Not Found")</f>
        <v>RespiraX</v>
      </c>
      <c r="O552" s="8">
        <f>YEAR(tblSales[[#This Row],[Month]])</f>
        <v>2024</v>
      </c>
      <c r="P552" s="8">
        <f>MONTH(tblSales[[#This Row],[Month]])</f>
        <v>12</v>
      </c>
      <c r="Q552" s="6">
        <f>IFERROR(tblSales[[#This Row],[NetSalesTRY]]/tblSales[[#This Row],[Units]],0)</f>
        <v>580.99929347826082</v>
      </c>
      <c r="R552" s="17">
        <f>IFERROR(tblSales[[#This Row],[NetSalesTRY]]/tblSales[[#This Row],[TargetTRY]],0)</f>
        <v>0.9858042866640907</v>
      </c>
      <c r="S552" s="6">
        <f>tblSales[[#This Row],[NetSalesTRY]]-tblSales[[#This Row],[TargetTRY]]</f>
        <v>-1539.4300000000076</v>
      </c>
      <c r="T552" s="6">
        <f>MAX(tblSales[[#This Row],[TargetTRY]]-tblSales[[#This Row],[NetSalesTRY]],0)</f>
        <v>1539.4300000000076</v>
      </c>
    </row>
    <row r="553" spans="1:20">
      <c r="A553" t="s">
        <v>941</v>
      </c>
      <c r="B553" s="15">
        <v>45627</v>
      </c>
      <c r="C553" t="s">
        <v>21</v>
      </c>
      <c r="D553" t="s">
        <v>22</v>
      </c>
      <c r="E553" t="s">
        <v>49</v>
      </c>
      <c r="F553" t="s">
        <v>47</v>
      </c>
      <c r="G553" t="s">
        <v>14</v>
      </c>
      <c r="H553" s="8">
        <v>102</v>
      </c>
      <c r="I553" s="9">
        <v>113028.66</v>
      </c>
      <c r="J553" s="9">
        <v>4144.51</v>
      </c>
      <c r="K553" s="9">
        <v>843.9</v>
      </c>
      <c r="L553" s="9">
        <v>108040.25</v>
      </c>
      <c r="M553" s="9">
        <v>99863.03</v>
      </c>
      <c r="N553" s="6" t="str">
        <f>_xlfn.XLOOKUP(tblSales[[#This Row],[ProductID]],tblProducts[ProductID],tblProducts[ProductName],"Not Found")</f>
        <v>NeuroCalm</v>
      </c>
      <c r="O553" s="8">
        <f>YEAR(tblSales[[#This Row],[Month]])</f>
        <v>2024</v>
      </c>
      <c r="P553" s="8">
        <f>MONTH(tblSales[[#This Row],[Month]])</f>
        <v>12</v>
      </c>
      <c r="Q553" s="6">
        <f>IFERROR(tblSales[[#This Row],[NetSalesTRY]]/tblSales[[#This Row],[Units]],0)</f>
        <v>1059.2181372549019</v>
      </c>
      <c r="R553" s="17">
        <f>IFERROR(tblSales[[#This Row],[NetSalesTRY]]/tblSales[[#This Row],[TargetTRY]],0)</f>
        <v>1.0818843570037882</v>
      </c>
      <c r="S553" s="6">
        <f>tblSales[[#This Row],[NetSalesTRY]]-tblSales[[#This Row],[TargetTRY]]</f>
        <v>8177.2200000000012</v>
      </c>
      <c r="T553" s="6">
        <f>MAX(tblSales[[#This Row],[TargetTRY]]-tblSales[[#This Row],[NetSalesTRY]],0)</f>
        <v>0</v>
      </c>
    </row>
    <row r="554" spans="1:20">
      <c r="A554" t="s">
        <v>942</v>
      </c>
      <c r="B554" s="15">
        <v>45627</v>
      </c>
      <c r="C554" t="s">
        <v>23</v>
      </c>
      <c r="D554" t="s">
        <v>24</v>
      </c>
      <c r="E554" t="s">
        <v>52</v>
      </c>
      <c r="F554" t="s">
        <v>50</v>
      </c>
      <c r="G554" t="s">
        <v>5</v>
      </c>
      <c r="H554" s="8">
        <v>131</v>
      </c>
      <c r="I554" s="9">
        <v>127623.34</v>
      </c>
      <c r="J554" s="9">
        <v>8709.6</v>
      </c>
      <c r="K554" s="9">
        <v>864.42</v>
      </c>
      <c r="L554" s="9">
        <v>118049.32</v>
      </c>
      <c r="M554" s="9">
        <v>117204.95</v>
      </c>
      <c r="N554" s="6" t="str">
        <f>_xlfn.XLOOKUP(tblSales[[#This Row],[ProductID]],tblProducts[ProductID],tblProducts[ProductName],"Not Found")</f>
        <v>Cardiovan</v>
      </c>
      <c r="O554" s="8">
        <f>YEAR(tblSales[[#This Row],[Month]])</f>
        <v>2024</v>
      </c>
      <c r="P554" s="8">
        <f>MONTH(tblSales[[#This Row],[Month]])</f>
        <v>12</v>
      </c>
      <c r="Q554" s="6">
        <f>IFERROR(tblSales[[#This Row],[NetSalesTRY]]/tblSales[[#This Row],[Units]],0)</f>
        <v>901.13984732824429</v>
      </c>
      <c r="R554" s="17">
        <f>IFERROR(tblSales[[#This Row],[NetSalesTRY]]/tblSales[[#This Row],[TargetTRY]],0)</f>
        <v>1.0072042179105918</v>
      </c>
      <c r="S554" s="6">
        <f>tblSales[[#This Row],[NetSalesTRY]]-tblSales[[#This Row],[TargetTRY]]</f>
        <v>844.3700000000099</v>
      </c>
      <c r="T554" s="6">
        <f>MAX(tblSales[[#This Row],[TargetTRY]]-tblSales[[#This Row],[NetSalesTRY]],0)</f>
        <v>0</v>
      </c>
    </row>
    <row r="555" spans="1:20">
      <c r="A555" t="s">
        <v>943</v>
      </c>
      <c r="B555" s="15">
        <v>45627</v>
      </c>
      <c r="C555" t="s">
        <v>23</v>
      </c>
      <c r="D555" t="s">
        <v>24</v>
      </c>
      <c r="E555" t="s">
        <v>52</v>
      </c>
      <c r="F555" t="s">
        <v>50</v>
      </c>
      <c r="G555" t="s">
        <v>8</v>
      </c>
      <c r="H555" s="8">
        <v>159</v>
      </c>
      <c r="I555" s="9">
        <v>119218.22</v>
      </c>
      <c r="J555" s="9">
        <v>6123.38</v>
      </c>
      <c r="K555" s="9">
        <v>1210.73</v>
      </c>
      <c r="L555" s="9">
        <v>111884.1</v>
      </c>
      <c r="M555" s="9">
        <v>107761.44</v>
      </c>
      <c r="N555" s="6" t="str">
        <f>_xlfn.XLOOKUP(tblSales[[#This Row],[ProductID]],tblProducts[ProductID],tblProducts[ProductName],"Not Found")</f>
        <v>GlucoRelief</v>
      </c>
      <c r="O555" s="8">
        <f>YEAR(tblSales[[#This Row],[Month]])</f>
        <v>2024</v>
      </c>
      <c r="P555" s="8">
        <f>MONTH(tblSales[[#This Row],[Month]])</f>
        <v>12</v>
      </c>
      <c r="Q555" s="6">
        <f>IFERROR(tblSales[[#This Row],[NetSalesTRY]]/tblSales[[#This Row],[Units]],0)</f>
        <v>703.67358490566039</v>
      </c>
      <c r="R555" s="17">
        <f>IFERROR(tblSales[[#This Row],[NetSalesTRY]]/tblSales[[#This Row],[TargetTRY]],0)</f>
        <v>1.0382572838670308</v>
      </c>
      <c r="S555" s="6">
        <f>tblSales[[#This Row],[NetSalesTRY]]-tblSales[[#This Row],[TargetTRY]]</f>
        <v>4122.6600000000035</v>
      </c>
      <c r="T555" s="6">
        <f>MAX(tblSales[[#This Row],[TargetTRY]]-tblSales[[#This Row],[NetSalesTRY]],0)</f>
        <v>0</v>
      </c>
    </row>
    <row r="556" spans="1:20">
      <c r="A556" t="s">
        <v>944</v>
      </c>
      <c r="B556" s="15">
        <v>45627</v>
      </c>
      <c r="C556" t="s">
        <v>23</v>
      </c>
      <c r="D556" t="s">
        <v>24</v>
      </c>
      <c r="E556" t="s">
        <v>52</v>
      </c>
      <c r="F556" t="s">
        <v>50</v>
      </c>
      <c r="G556" t="s">
        <v>11</v>
      </c>
      <c r="H556" s="8">
        <v>185</v>
      </c>
      <c r="I556" s="9">
        <v>115025.29</v>
      </c>
      <c r="J556" s="9">
        <v>6548.31</v>
      </c>
      <c r="K556" s="9">
        <v>620.87</v>
      </c>
      <c r="L556" s="9">
        <v>107856.12</v>
      </c>
      <c r="M556" s="9">
        <v>108078.06</v>
      </c>
      <c r="N556" s="6" t="str">
        <f>_xlfn.XLOOKUP(tblSales[[#This Row],[ProductID]],tblProducts[ProductID],tblProducts[ProductName],"Not Found")</f>
        <v>RespiraX</v>
      </c>
      <c r="O556" s="8">
        <f>YEAR(tblSales[[#This Row],[Month]])</f>
        <v>2024</v>
      </c>
      <c r="P556" s="8">
        <f>MONTH(tblSales[[#This Row],[Month]])</f>
        <v>12</v>
      </c>
      <c r="Q556" s="6">
        <f>IFERROR(tblSales[[#This Row],[NetSalesTRY]]/tblSales[[#This Row],[Units]],0)</f>
        <v>583.00605405405406</v>
      </c>
      <c r="R556" s="17">
        <f>IFERROR(tblSales[[#This Row],[NetSalesTRY]]/tblSales[[#This Row],[TargetTRY]],0)</f>
        <v>0.99794648423556087</v>
      </c>
      <c r="S556" s="6">
        <f>tblSales[[#This Row],[NetSalesTRY]]-tblSales[[#This Row],[TargetTRY]]</f>
        <v>-221.94000000000233</v>
      </c>
      <c r="T556" s="6">
        <f>MAX(tblSales[[#This Row],[TargetTRY]]-tblSales[[#This Row],[NetSalesTRY]],0)</f>
        <v>221.94000000000233</v>
      </c>
    </row>
    <row r="557" spans="1:20">
      <c r="A557" t="s">
        <v>945</v>
      </c>
      <c r="B557" s="15">
        <v>45627</v>
      </c>
      <c r="C557" t="s">
        <v>23</v>
      </c>
      <c r="D557" t="s">
        <v>24</v>
      </c>
      <c r="E557" t="s">
        <v>52</v>
      </c>
      <c r="F557" t="s">
        <v>50</v>
      </c>
      <c r="G557" t="s">
        <v>14</v>
      </c>
      <c r="H557" s="8">
        <v>95</v>
      </c>
      <c r="I557" s="9">
        <v>105505.39</v>
      </c>
      <c r="J557" s="9">
        <v>6889.94</v>
      </c>
      <c r="K557" s="9">
        <v>916.7</v>
      </c>
      <c r="L557" s="9">
        <v>97698.75</v>
      </c>
      <c r="M557" s="9">
        <v>100779.06</v>
      </c>
      <c r="N557" s="6" t="str">
        <f>_xlfn.XLOOKUP(tblSales[[#This Row],[ProductID]],tblProducts[ProductID],tblProducts[ProductName],"Not Found")</f>
        <v>NeuroCalm</v>
      </c>
      <c r="O557" s="8">
        <f>YEAR(tblSales[[#This Row],[Month]])</f>
        <v>2024</v>
      </c>
      <c r="P557" s="8">
        <f>MONTH(tblSales[[#This Row],[Month]])</f>
        <v>12</v>
      </c>
      <c r="Q557" s="6">
        <f>IFERROR(tblSales[[#This Row],[NetSalesTRY]]/tblSales[[#This Row],[Units]],0)</f>
        <v>1028.4078947368421</v>
      </c>
      <c r="R557" s="17">
        <f>IFERROR(tblSales[[#This Row],[NetSalesTRY]]/tblSales[[#This Row],[TargetTRY]],0)</f>
        <v>0.96943501953679667</v>
      </c>
      <c r="S557" s="6">
        <f>tblSales[[#This Row],[NetSalesTRY]]-tblSales[[#This Row],[TargetTRY]]</f>
        <v>-3080.3099999999977</v>
      </c>
      <c r="T557" s="6">
        <f>MAX(tblSales[[#This Row],[TargetTRY]]-tblSales[[#This Row],[NetSalesTRY]],0)</f>
        <v>3080.3099999999977</v>
      </c>
    </row>
    <row r="558" spans="1:20">
      <c r="A558" t="s">
        <v>946</v>
      </c>
      <c r="B558" s="15">
        <v>45627</v>
      </c>
      <c r="C558" t="s">
        <v>23</v>
      </c>
      <c r="D558" t="s">
        <v>24</v>
      </c>
      <c r="E558" t="s">
        <v>55</v>
      </c>
      <c r="F558" t="s">
        <v>53</v>
      </c>
      <c r="G558" t="s">
        <v>5</v>
      </c>
      <c r="H558" s="8">
        <v>123</v>
      </c>
      <c r="I558" s="9">
        <v>121199.96</v>
      </c>
      <c r="J558" s="9">
        <v>6374</v>
      </c>
      <c r="K558" s="9">
        <v>1590.99</v>
      </c>
      <c r="L558" s="9">
        <v>113234.98</v>
      </c>
      <c r="M558" s="9">
        <v>118940.05</v>
      </c>
      <c r="N558" s="6" t="str">
        <f>_xlfn.XLOOKUP(tblSales[[#This Row],[ProductID]],tblProducts[ProductID],tblProducts[ProductName],"Not Found")</f>
        <v>Cardiovan</v>
      </c>
      <c r="O558" s="8">
        <f>YEAR(tblSales[[#This Row],[Month]])</f>
        <v>2024</v>
      </c>
      <c r="P558" s="8">
        <f>MONTH(tblSales[[#This Row],[Month]])</f>
        <v>12</v>
      </c>
      <c r="Q558" s="6">
        <f>IFERROR(tblSales[[#This Row],[NetSalesTRY]]/tblSales[[#This Row],[Units]],0)</f>
        <v>920.60959349593497</v>
      </c>
      <c r="R558" s="17">
        <f>IFERROR(tblSales[[#This Row],[NetSalesTRY]]/tblSales[[#This Row],[TargetTRY]],0)</f>
        <v>0.95203407094582515</v>
      </c>
      <c r="S558" s="6">
        <f>tblSales[[#This Row],[NetSalesTRY]]-tblSales[[#This Row],[TargetTRY]]</f>
        <v>-5705.070000000007</v>
      </c>
      <c r="T558" s="6">
        <f>MAX(tblSales[[#This Row],[TargetTRY]]-tblSales[[#This Row],[NetSalesTRY]],0)</f>
        <v>5705.070000000007</v>
      </c>
    </row>
    <row r="559" spans="1:20">
      <c r="A559" t="s">
        <v>947</v>
      </c>
      <c r="B559" s="15">
        <v>45627</v>
      </c>
      <c r="C559" t="s">
        <v>23</v>
      </c>
      <c r="D559" t="s">
        <v>24</v>
      </c>
      <c r="E559" t="s">
        <v>55</v>
      </c>
      <c r="F559" t="s">
        <v>53</v>
      </c>
      <c r="G559" t="s">
        <v>8</v>
      </c>
      <c r="H559" s="8">
        <v>160</v>
      </c>
      <c r="I559" s="9">
        <v>121134.08</v>
      </c>
      <c r="J559" s="9">
        <v>7374.54</v>
      </c>
      <c r="K559" s="9">
        <v>968.5</v>
      </c>
      <c r="L559" s="9">
        <v>112791.05</v>
      </c>
      <c r="M559" s="9">
        <v>109443.59</v>
      </c>
      <c r="N559" s="6" t="str">
        <f>_xlfn.XLOOKUP(tblSales[[#This Row],[ProductID]],tblProducts[ProductID],tblProducts[ProductName],"Not Found")</f>
        <v>GlucoRelief</v>
      </c>
      <c r="O559" s="8">
        <f>YEAR(tblSales[[#This Row],[Month]])</f>
        <v>2024</v>
      </c>
      <c r="P559" s="8">
        <f>MONTH(tblSales[[#This Row],[Month]])</f>
        <v>12</v>
      </c>
      <c r="Q559" s="6">
        <f>IFERROR(tblSales[[#This Row],[NetSalesTRY]]/tblSales[[#This Row],[Units]],0)</f>
        <v>704.94406249999997</v>
      </c>
      <c r="R559" s="17">
        <f>IFERROR(tblSales[[#This Row],[NetSalesTRY]]/tblSales[[#This Row],[TargetTRY]],0)</f>
        <v>1.030586167723482</v>
      </c>
      <c r="S559" s="6">
        <f>tblSales[[#This Row],[NetSalesTRY]]-tblSales[[#This Row],[TargetTRY]]</f>
        <v>3347.4600000000064</v>
      </c>
      <c r="T559" s="6">
        <f>MAX(tblSales[[#This Row],[TargetTRY]]-tblSales[[#This Row],[NetSalesTRY]],0)</f>
        <v>0</v>
      </c>
    </row>
    <row r="560" spans="1:20">
      <c r="A560" t="s">
        <v>948</v>
      </c>
      <c r="B560" s="15">
        <v>45627</v>
      </c>
      <c r="C560" t="s">
        <v>23</v>
      </c>
      <c r="D560" t="s">
        <v>24</v>
      </c>
      <c r="E560" t="s">
        <v>55</v>
      </c>
      <c r="F560" t="s">
        <v>53</v>
      </c>
      <c r="G560" t="s">
        <v>11</v>
      </c>
      <c r="H560" s="8">
        <v>192</v>
      </c>
      <c r="I560" s="9">
        <v>117339.2</v>
      </c>
      <c r="J560" s="9">
        <v>8581.64</v>
      </c>
      <c r="K560" s="9">
        <v>841.7</v>
      </c>
      <c r="L560" s="9">
        <v>107915.87</v>
      </c>
      <c r="M560" s="9">
        <v>109333.39</v>
      </c>
      <c r="N560" s="6" t="str">
        <f>_xlfn.XLOOKUP(tblSales[[#This Row],[ProductID]],tblProducts[ProductID],tblProducts[ProductName],"Not Found")</f>
        <v>RespiraX</v>
      </c>
      <c r="O560" s="8">
        <f>YEAR(tblSales[[#This Row],[Month]])</f>
        <v>2024</v>
      </c>
      <c r="P560" s="8">
        <f>MONTH(tblSales[[#This Row],[Month]])</f>
        <v>12</v>
      </c>
      <c r="Q560" s="6">
        <f>IFERROR(tblSales[[#This Row],[NetSalesTRY]]/tblSales[[#This Row],[Units]],0)</f>
        <v>562.06182291666664</v>
      </c>
      <c r="R560" s="17">
        <f>IFERROR(tblSales[[#This Row],[NetSalesTRY]]/tblSales[[#This Row],[TargetTRY]],0)</f>
        <v>0.98703488476850476</v>
      </c>
      <c r="S560" s="6">
        <f>tblSales[[#This Row],[NetSalesTRY]]-tblSales[[#This Row],[TargetTRY]]</f>
        <v>-1417.5200000000041</v>
      </c>
      <c r="T560" s="6">
        <f>MAX(tblSales[[#This Row],[TargetTRY]]-tblSales[[#This Row],[NetSalesTRY]],0)</f>
        <v>1417.5200000000041</v>
      </c>
    </row>
    <row r="561" spans="1:20">
      <c r="A561" t="s">
        <v>949</v>
      </c>
      <c r="B561" s="15">
        <v>45627</v>
      </c>
      <c r="C561" t="s">
        <v>23</v>
      </c>
      <c r="D561" t="s">
        <v>24</v>
      </c>
      <c r="E561" t="s">
        <v>55</v>
      </c>
      <c r="F561" t="s">
        <v>53</v>
      </c>
      <c r="G561" t="s">
        <v>14</v>
      </c>
      <c r="H561" s="8">
        <v>97</v>
      </c>
      <c r="I561" s="9">
        <v>107548.13</v>
      </c>
      <c r="J561" s="9">
        <v>4990.07</v>
      </c>
      <c r="K561" s="9">
        <v>780.79</v>
      </c>
      <c r="L561" s="9">
        <v>101777.27</v>
      </c>
      <c r="M561" s="9">
        <v>99760.75</v>
      </c>
      <c r="N561" s="6" t="str">
        <f>_xlfn.XLOOKUP(tblSales[[#This Row],[ProductID]],tblProducts[ProductID],tblProducts[ProductName],"Not Found")</f>
        <v>NeuroCalm</v>
      </c>
      <c r="O561" s="8">
        <f>YEAR(tblSales[[#This Row],[Month]])</f>
        <v>2024</v>
      </c>
      <c r="P561" s="8">
        <f>MONTH(tblSales[[#This Row],[Month]])</f>
        <v>12</v>
      </c>
      <c r="Q561" s="6">
        <f>IFERROR(tblSales[[#This Row],[NetSalesTRY]]/tblSales[[#This Row],[Units]],0)</f>
        <v>1049.2502061855671</v>
      </c>
      <c r="R561" s="17">
        <f>IFERROR(tblSales[[#This Row],[NetSalesTRY]]/tblSales[[#This Row],[TargetTRY]],0)</f>
        <v>1.0202135609445599</v>
      </c>
      <c r="S561" s="6">
        <f>tblSales[[#This Row],[NetSalesTRY]]-tblSales[[#This Row],[TargetTRY]]</f>
        <v>2016.5200000000041</v>
      </c>
      <c r="T561" s="6">
        <f>MAX(tblSales[[#This Row],[TargetTRY]]-tblSales[[#This Row],[NetSalesTRY]],0)</f>
        <v>0</v>
      </c>
    </row>
    <row r="562" spans="1:20">
      <c r="A562" t="s">
        <v>950</v>
      </c>
      <c r="B562" s="15">
        <v>45627</v>
      </c>
      <c r="C562" t="s">
        <v>23</v>
      </c>
      <c r="D562" t="s">
        <v>24</v>
      </c>
      <c r="E562" t="s">
        <v>58</v>
      </c>
      <c r="F562" t="s">
        <v>56</v>
      </c>
      <c r="G562" t="s">
        <v>5</v>
      </c>
      <c r="H562" s="8">
        <v>135</v>
      </c>
      <c r="I562" s="9">
        <v>132039.37</v>
      </c>
      <c r="J562" s="9">
        <v>7554.35</v>
      </c>
      <c r="K562" s="9">
        <v>1027.8800000000001</v>
      </c>
      <c r="L562" s="9">
        <v>123457.14</v>
      </c>
      <c r="M562" s="9">
        <v>120802.01</v>
      </c>
      <c r="N562" s="6" t="str">
        <f>_xlfn.XLOOKUP(tblSales[[#This Row],[ProductID]],tblProducts[ProductID],tblProducts[ProductName],"Not Found")</f>
        <v>Cardiovan</v>
      </c>
      <c r="O562" s="8">
        <f>YEAR(tblSales[[#This Row],[Month]])</f>
        <v>2024</v>
      </c>
      <c r="P562" s="8">
        <f>MONTH(tblSales[[#This Row],[Month]])</f>
        <v>12</v>
      </c>
      <c r="Q562" s="6">
        <f>IFERROR(tblSales[[#This Row],[NetSalesTRY]]/tblSales[[#This Row],[Units]],0)</f>
        <v>914.49733333333336</v>
      </c>
      <c r="R562" s="17">
        <f>IFERROR(tblSales[[#This Row],[NetSalesTRY]]/tblSales[[#This Row],[TargetTRY]],0)</f>
        <v>1.0219791872668345</v>
      </c>
      <c r="S562" s="6">
        <f>tblSales[[#This Row],[NetSalesTRY]]-tblSales[[#This Row],[TargetTRY]]</f>
        <v>2655.1300000000047</v>
      </c>
      <c r="T562" s="6">
        <f>MAX(tblSales[[#This Row],[TargetTRY]]-tblSales[[#This Row],[NetSalesTRY]],0)</f>
        <v>0</v>
      </c>
    </row>
    <row r="563" spans="1:20">
      <c r="A563" t="s">
        <v>951</v>
      </c>
      <c r="B563" s="15">
        <v>45627</v>
      </c>
      <c r="C563" t="s">
        <v>23</v>
      </c>
      <c r="D563" t="s">
        <v>24</v>
      </c>
      <c r="E563" t="s">
        <v>58</v>
      </c>
      <c r="F563" t="s">
        <v>56</v>
      </c>
      <c r="G563" t="s">
        <v>8</v>
      </c>
      <c r="H563" s="8">
        <v>160</v>
      </c>
      <c r="I563" s="9">
        <v>122776.35</v>
      </c>
      <c r="J563" s="9">
        <v>5552.2</v>
      </c>
      <c r="K563" s="9">
        <v>559.51</v>
      </c>
      <c r="L563" s="9">
        <v>116664.64</v>
      </c>
      <c r="M563" s="9">
        <v>113480.83</v>
      </c>
      <c r="N563" s="6" t="str">
        <f>_xlfn.XLOOKUP(tblSales[[#This Row],[ProductID]],tblProducts[ProductID],tblProducts[ProductName],"Not Found")</f>
        <v>GlucoRelief</v>
      </c>
      <c r="O563" s="8">
        <f>YEAR(tblSales[[#This Row],[Month]])</f>
        <v>2024</v>
      </c>
      <c r="P563" s="8">
        <f>MONTH(tblSales[[#This Row],[Month]])</f>
        <v>12</v>
      </c>
      <c r="Q563" s="6">
        <f>IFERROR(tblSales[[#This Row],[NetSalesTRY]]/tblSales[[#This Row],[Units]],0)</f>
        <v>729.154</v>
      </c>
      <c r="R563" s="17">
        <f>IFERROR(tblSales[[#This Row],[NetSalesTRY]]/tblSales[[#This Row],[TargetTRY]],0)</f>
        <v>1.0280559280364798</v>
      </c>
      <c r="S563" s="6">
        <f>tblSales[[#This Row],[NetSalesTRY]]-tblSales[[#This Row],[TargetTRY]]</f>
        <v>3183.8099999999977</v>
      </c>
      <c r="T563" s="6">
        <f>MAX(tblSales[[#This Row],[TargetTRY]]-tblSales[[#This Row],[NetSalesTRY]],0)</f>
        <v>0</v>
      </c>
    </row>
    <row r="564" spans="1:20">
      <c r="A564" t="s">
        <v>952</v>
      </c>
      <c r="B564" s="15">
        <v>45627</v>
      </c>
      <c r="C564" t="s">
        <v>23</v>
      </c>
      <c r="D564" t="s">
        <v>24</v>
      </c>
      <c r="E564" t="s">
        <v>58</v>
      </c>
      <c r="F564" t="s">
        <v>56</v>
      </c>
      <c r="G564" t="s">
        <v>11</v>
      </c>
      <c r="H564" s="8">
        <v>198</v>
      </c>
      <c r="I564" s="9">
        <v>121620.92</v>
      </c>
      <c r="J564" s="9">
        <v>7205.5</v>
      </c>
      <c r="K564" s="9">
        <v>1081.6199999999999</v>
      </c>
      <c r="L564" s="9">
        <v>113333.8</v>
      </c>
      <c r="M564" s="9">
        <v>110276.46</v>
      </c>
      <c r="N564" s="6" t="str">
        <f>_xlfn.XLOOKUP(tblSales[[#This Row],[ProductID]],tblProducts[ProductID],tblProducts[ProductName],"Not Found")</f>
        <v>RespiraX</v>
      </c>
      <c r="O564" s="8">
        <f>YEAR(tblSales[[#This Row],[Month]])</f>
        <v>2024</v>
      </c>
      <c r="P564" s="8">
        <f>MONTH(tblSales[[#This Row],[Month]])</f>
        <v>12</v>
      </c>
      <c r="Q564" s="6">
        <f>IFERROR(tblSales[[#This Row],[NetSalesTRY]]/tblSales[[#This Row],[Units]],0)</f>
        <v>572.39292929292935</v>
      </c>
      <c r="R564" s="17">
        <f>IFERROR(tblSales[[#This Row],[NetSalesTRY]]/tblSales[[#This Row],[TargetTRY]],0)</f>
        <v>1.0277243212195966</v>
      </c>
      <c r="S564" s="6">
        <f>tblSales[[#This Row],[NetSalesTRY]]-tblSales[[#This Row],[TargetTRY]]</f>
        <v>3057.3399999999965</v>
      </c>
      <c r="T564" s="6">
        <f>MAX(tblSales[[#This Row],[TargetTRY]]-tblSales[[#This Row],[NetSalesTRY]],0)</f>
        <v>0</v>
      </c>
    </row>
    <row r="565" spans="1:20">
      <c r="A565" t="s">
        <v>953</v>
      </c>
      <c r="B565" s="15">
        <v>45627</v>
      </c>
      <c r="C565" t="s">
        <v>23</v>
      </c>
      <c r="D565" t="s">
        <v>24</v>
      </c>
      <c r="E565" t="s">
        <v>58</v>
      </c>
      <c r="F565" t="s">
        <v>56</v>
      </c>
      <c r="G565" t="s">
        <v>14</v>
      </c>
      <c r="H565" s="8">
        <v>104</v>
      </c>
      <c r="I565" s="9">
        <v>114192.61</v>
      </c>
      <c r="J565" s="9">
        <v>7948.82</v>
      </c>
      <c r="K565" s="9">
        <v>625.99</v>
      </c>
      <c r="L565" s="9">
        <v>105617.8</v>
      </c>
      <c r="M565" s="9">
        <v>102970.24000000001</v>
      </c>
      <c r="N565" s="6" t="str">
        <f>_xlfn.XLOOKUP(tblSales[[#This Row],[ProductID]],tblProducts[ProductID],tblProducts[ProductName],"Not Found")</f>
        <v>NeuroCalm</v>
      </c>
      <c r="O565" s="8">
        <f>YEAR(tblSales[[#This Row],[Month]])</f>
        <v>2024</v>
      </c>
      <c r="P565" s="8">
        <f>MONTH(tblSales[[#This Row],[Month]])</f>
        <v>12</v>
      </c>
      <c r="Q565" s="6">
        <f>IFERROR(tblSales[[#This Row],[NetSalesTRY]]/tblSales[[#This Row],[Units]],0)</f>
        <v>1015.5557692307692</v>
      </c>
      <c r="R565" s="17">
        <f>IFERROR(tblSales[[#This Row],[NetSalesTRY]]/tblSales[[#This Row],[TargetTRY]],0)</f>
        <v>1.0257118950096649</v>
      </c>
      <c r="S565" s="6">
        <f>tblSales[[#This Row],[NetSalesTRY]]-tblSales[[#This Row],[TargetTRY]]</f>
        <v>2647.5599999999977</v>
      </c>
      <c r="T565" s="6">
        <f>MAX(tblSales[[#This Row],[TargetTRY]]-tblSales[[#This Row],[NetSalesTRY]],0)</f>
        <v>0</v>
      </c>
    </row>
    <row r="566" spans="1:20">
      <c r="A566" t="s">
        <v>954</v>
      </c>
      <c r="B566" s="15">
        <v>45627</v>
      </c>
      <c r="C566" t="s">
        <v>25</v>
      </c>
      <c r="D566" t="s">
        <v>26</v>
      </c>
      <c r="E566" t="s">
        <v>61</v>
      </c>
      <c r="F566" t="s">
        <v>59</v>
      </c>
      <c r="G566" t="s">
        <v>5</v>
      </c>
      <c r="H566" s="8">
        <v>105</v>
      </c>
      <c r="I566" s="9">
        <v>102894.2</v>
      </c>
      <c r="J566" s="9">
        <v>6776.27</v>
      </c>
      <c r="K566" s="9">
        <v>671.76</v>
      </c>
      <c r="L566" s="9">
        <v>95446.16</v>
      </c>
      <c r="M566" s="9">
        <v>93808.82</v>
      </c>
      <c r="N566" s="6" t="str">
        <f>_xlfn.XLOOKUP(tblSales[[#This Row],[ProductID]],tblProducts[ProductID],tblProducts[ProductName],"Not Found")</f>
        <v>Cardiovan</v>
      </c>
      <c r="O566" s="8">
        <f>YEAR(tblSales[[#This Row],[Month]])</f>
        <v>2024</v>
      </c>
      <c r="P566" s="8">
        <f>MONTH(tblSales[[#This Row],[Month]])</f>
        <v>12</v>
      </c>
      <c r="Q566" s="6">
        <f>IFERROR(tblSales[[#This Row],[NetSalesTRY]]/tblSales[[#This Row],[Units]],0)</f>
        <v>909.01104761904764</v>
      </c>
      <c r="R566" s="17">
        <f>IFERROR(tblSales[[#This Row],[NetSalesTRY]]/tblSales[[#This Row],[TargetTRY]],0)</f>
        <v>1.0174540091219568</v>
      </c>
      <c r="S566" s="6">
        <f>tblSales[[#This Row],[NetSalesTRY]]-tblSales[[#This Row],[TargetTRY]]</f>
        <v>1637.3399999999965</v>
      </c>
      <c r="T566" s="6">
        <f>MAX(tblSales[[#This Row],[TargetTRY]]-tblSales[[#This Row],[NetSalesTRY]],0)</f>
        <v>0</v>
      </c>
    </row>
    <row r="567" spans="1:20">
      <c r="A567" t="s">
        <v>955</v>
      </c>
      <c r="B567" s="15">
        <v>45627</v>
      </c>
      <c r="C567" t="s">
        <v>25</v>
      </c>
      <c r="D567" t="s">
        <v>26</v>
      </c>
      <c r="E567" t="s">
        <v>61</v>
      </c>
      <c r="F567" t="s">
        <v>59</v>
      </c>
      <c r="G567" t="s">
        <v>8</v>
      </c>
      <c r="H567" s="8">
        <v>124</v>
      </c>
      <c r="I567" s="9">
        <v>93242.59</v>
      </c>
      <c r="J567" s="9">
        <v>5183.1000000000004</v>
      </c>
      <c r="K567" s="9">
        <v>902.41</v>
      </c>
      <c r="L567" s="9">
        <v>87157.09</v>
      </c>
      <c r="M567" s="9">
        <v>89835.28</v>
      </c>
      <c r="N567" s="6" t="str">
        <f>_xlfn.XLOOKUP(tblSales[[#This Row],[ProductID]],tblProducts[ProductID],tblProducts[ProductName],"Not Found")</f>
        <v>GlucoRelief</v>
      </c>
      <c r="O567" s="8">
        <f>YEAR(tblSales[[#This Row],[Month]])</f>
        <v>2024</v>
      </c>
      <c r="P567" s="8">
        <f>MONTH(tblSales[[#This Row],[Month]])</f>
        <v>12</v>
      </c>
      <c r="Q567" s="6">
        <f>IFERROR(tblSales[[#This Row],[NetSalesTRY]]/tblSales[[#This Row],[Units]],0)</f>
        <v>702.87975806451607</v>
      </c>
      <c r="R567" s="17">
        <f>IFERROR(tblSales[[#This Row],[NetSalesTRY]]/tblSales[[#This Row],[TargetTRY]],0)</f>
        <v>0.97018777032809378</v>
      </c>
      <c r="S567" s="6">
        <f>tblSales[[#This Row],[NetSalesTRY]]-tblSales[[#This Row],[TargetTRY]]</f>
        <v>-2678.1900000000023</v>
      </c>
      <c r="T567" s="6">
        <f>MAX(tblSales[[#This Row],[TargetTRY]]-tblSales[[#This Row],[NetSalesTRY]],0)</f>
        <v>2678.1900000000023</v>
      </c>
    </row>
    <row r="568" spans="1:20">
      <c r="A568" t="s">
        <v>956</v>
      </c>
      <c r="B568" s="15">
        <v>45627</v>
      </c>
      <c r="C568" t="s">
        <v>25</v>
      </c>
      <c r="D568" t="s">
        <v>26</v>
      </c>
      <c r="E568" t="s">
        <v>61</v>
      </c>
      <c r="F568" t="s">
        <v>59</v>
      </c>
      <c r="G568" t="s">
        <v>11</v>
      </c>
      <c r="H568" s="8">
        <v>154</v>
      </c>
      <c r="I568" s="9">
        <v>96534.13</v>
      </c>
      <c r="J568" s="9">
        <v>3774.63</v>
      </c>
      <c r="K568" s="9">
        <v>1199.49</v>
      </c>
      <c r="L568" s="9">
        <v>91560</v>
      </c>
      <c r="M568" s="9">
        <v>87685.88</v>
      </c>
      <c r="N568" s="6" t="str">
        <f>_xlfn.XLOOKUP(tblSales[[#This Row],[ProductID]],tblProducts[ProductID],tblProducts[ProductName],"Not Found")</f>
        <v>RespiraX</v>
      </c>
      <c r="O568" s="8">
        <f>YEAR(tblSales[[#This Row],[Month]])</f>
        <v>2024</v>
      </c>
      <c r="P568" s="8">
        <f>MONTH(tblSales[[#This Row],[Month]])</f>
        <v>12</v>
      </c>
      <c r="Q568" s="6">
        <f>IFERROR(tblSales[[#This Row],[NetSalesTRY]]/tblSales[[#This Row],[Units]],0)</f>
        <v>594.5454545454545</v>
      </c>
      <c r="R568" s="17">
        <f>IFERROR(tblSales[[#This Row],[NetSalesTRY]]/tblSales[[#This Row],[TargetTRY]],0)</f>
        <v>1.0441817998519258</v>
      </c>
      <c r="S568" s="6">
        <f>tblSales[[#This Row],[NetSalesTRY]]-tblSales[[#This Row],[TargetTRY]]</f>
        <v>3874.1199999999953</v>
      </c>
      <c r="T568" s="6">
        <f>MAX(tblSales[[#This Row],[TargetTRY]]-tblSales[[#This Row],[NetSalesTRY]],0)</f>
        <v>0</v>
      </c>
    </row>
    <row r="569" spans="1:20">
      <c r="A569" t="s">
        <v>957</v>
      </c>
      <c r="B569" s="15">
        <v>45627</v>
      </c>
      <c r="C569" t="s">
        <v>25</v>
      </c>
      <c r="D569" t="s">
        <v>26</v>
      </c>
      <c r="E569" t="s">
        <v>61</v>
      </c>
      <c r="F569" t="s">
        <v>59</v>
      </c>
      <c r="G569" t="s">
        <v>14</v>
      </c>
      <c r="H569" s="8">
        <v>82</v>
      </c>
      <c r="I569" s="9">
        <v>89896.29</v>
      </c>
      <c r="J569" s="9">
        <v>4365.25</v>
      </c>
      <c r="K569" s="9">
        <v>1102.23</v>
      </c>
      <c r="L569" s="9">
        <v>84428.81</v>
      </c>
      <c r="M569" s="9">
        <v>81297.39</v>
      </c>
      <c r="N569" s="6" t="str">
        <f>_xlfn.XLOOKUP(tblSales[[#This Row],[ProductID]],tblProducts[ProductID],tblProducts[ProductName],"Not Found")</f>
        <v>NeuroCalm</v>
      </c>
      <c r="O569" s="8">
        <f>YEAR(tblSales[[#This Row],[Month]])</f>
        <v>2024</v>
      </c>
      <c r="P569" s="8">
        <f>MONTH(tblSales[[#This Row],[Month]])</f>
        <v>12</v>
      </c>
      <c r="Q569" s="6">
        <f>IFERROR(tblSales[[#This Row],[NetSalesTRY]]/tblSales[[#This Row],[Units]],0)</f>
        <v>1029.6196341463415</v>
      </c>
      <c r="R569" s="17">
        <f>IFERROR(tblSales[[#This Row],[NetSalesTRY]]/tblSales[[#This Row],[TargetTRY]],0)</f>
        <v>1.0385180877270475</v>
      </c>
      <c r="S569" s="6">
        <f>tblSales[[#This Row],[NetSalesTRY]]-tblSales[[#This Row],[TargetTRY]]</f>
        <v>3131.4199999999983</v>
      </c>
      <c r="T569" s="6">
        <f>MAX(tblSales[[#This Row],[TargetTRY]]-tblSales[[#This Row],[NetSalesTRY]],0)</f>
        <v>0</v>
      </c>
    </row>
    <row r="570" spans="1:20">
      <c r="A570" t="s">
        <v>958</v>
      </c>
      <c r="B570" s="15">
        <v>45627</v>
      </c>
      <c r="C570" t="s">
        <v>25</v>
      </c>
      <c r="D570" t="s">
        <v>26</v>
      </c>
      <c r="E570" t="s">
        <v>64</v>
      </c>
      <c r="F570" t="s">
        <v>62</v>
      </c>
      <c r="G570" t="s">
        <v>5</v>
      </c>
      <c r="H570" s="8">
        <v>102</v>
      </c>
      <c r="I570" s="9">
        <v>99746.25</v>
      </c>
      <c r="J570" s="9">
        <v>6634.08</v>
      </c>
      <c r="K570" s="9">
        <v>720.32</v>
      </c>
      <c r="L570" s="9">
        <v>92391.85</v>
      </c>
      <c r="M570" s="9">
        <v>93922.54</v>
      </c>
      <c r="N570" s="6" t="str">
        <f>_xlfn.XLOOKUP(tblSales[[#This Row],[ProductID]],tblProducts[ProductID],tblProducts[ProductName],"Not Found")</f>
        <v>Cardiovan</v>
      </c>
      <c r="O570" s="8">
        <f>YEAR(tblSales[[#This Row],[Month]])</f>
        <v>2024</v>
      </c>
      <c r="P570" s="8">
        <f>MONTH(tblSales[[#This Row],[Month]])</f>
        <v>12</v>
      </c>
      <c r="Q570" s="6">
        <f>IFERROR(tblSales[[#This Row],[NetSalesTRY]]/tblSales[[#This Row],[Units]],0)</f>
        <v>905.80245098039222</v>
      </c>
      <c r="R570" s="17">
        <f>IFERROR(tblSales[[#This Row],[NetSalesTRY]]/tblSales[[#This Row],[TargetTRY]],0)</f>
        <v>0.98370263410678638</v>
      </c>
      <c r="S570" s="6">
        <f>tblSales[[#This Row],[NetSalesTRY]]-tblSales[[#This Row],[TargetTRY]]</f>
        <v>-1530.6899999999878</v>
      </c>
      <c r="T570" s="6">
        <f>MAX(tblSales[[#This Row],[TargetTRY]]-tblSales[[#This Row],[NetSalesTRY]],0)</f>
        <v>1530.6899999999878</v>
      </c>
    </row>
    <row r="571" spans="1:20">
      <c r="A571" t="s">
        <v>959</v>
      </c>
      <c r="B571" s="15">
        <v>45627</v>
      </c>
      <c r="C571" t="s">
        <v>25</v>
      </c>
      <c r="D571" t="s">
        <v>26</v>
      </c>
      <c r="E571" t="s">
        <v>64</v>
      </c>
      <c r="F571" t="s">
        <v>62</v>
      </c>
      <c r="G571" t="s">
        <v>8</v>
      </c>
      <c r="H571" s="8">
        <v>131</v>
      </c>
      <c r="I571" s="9">
        <v>100694.11</v>
      </c>
      <c r="J571" s="9">
        <v>6303.73</v>
      </c>
      <c r="K571" s="9">
        <v>463</v>
      </c>
      <c r="L571" s="9">
        <v>93927.38</v>
      </c>
      <c r="M571" s="9">
        <v>88891.15</v>
      </c>
      <c r="N571" s="6" t="str">
        <f>_xlfn.XLOOKUP(tblSales[[#This Row],[ProductID]],tblProducts[ProductID],tblProducts[ProductName],"Not Found")</f>
        <v>GlucoRelief</v>
      </c>
      <c r="O571" s="8">
        <f>YEAR(tblSales[[#This Row],[Month]])</f>
        <v>2024</v>
      </c>
      <c r="P571" s="8">
        <f>MONTH(tblSales[[#This Row],[Month]])</f>
        <v>12</v>
      </c>
      <c r="Q571" s="6">
        <f>IFERROR(tblSales[[#This Row],[NetSalesTRY]]/tblSales[[#This Row],[Units]],0)</f>
        <v>717.00290076335887</v>
      </c>
      <c r="R571" s="17">
        <f>IFERROR(tblSales[[#This Row],[NetSalesTRY]]/tblSales[[#This Row],[TargetTRY]],0)</f>
        <v>1.0566561463092783</v>
      </c>
      <c r="S571" s="6">
        <f>tblSales[[#This Row],[NetSalesTRY]]-tblSales[[#This Row],[TargetTRY]]</f>
        <v>5036.2300000000105</v>
      </c>
      <c r="T571" s="6">
        <f>MAX(tblSales[[#This Row],[TargetTRY]]-tblSales[[#This Row],[NetSalesTRY]],0)</f>
        <v>0</v>
      </c>
    </row>
    <row r="572" spans="1:20">
      <c r="A572" t="s">
        <v>960</v>
      </c>
      <c r="B572" s="15">
        <v>45627</v>
      </c>
      <c r="C572" t="s">
        <v>25</v>
      </c>
      <c r="D572" t="s">
        <v>26</v>
      </c>
      <c r="E572" t="s">
        <v>64</v>
      </c>
      <c r="F572" t="s">
        <v>62</v>
      </c>
      <c r="G572" t="s">
        <v>11</v>
      </c>
      <c r="H572" s="8">
        <v>157</v>
      </c>
      <c r="I572" s="9">
        <v>97829.66</v>
      </c>
      <c r="J572" s="9">
        <v>3459.92</v>
      </c>
      <c r="K572" s="9">
        <v>901.58</v>
      </c>
      <c r="L572" s="9">
        <v>93468.160000000003</v>
      </c>
      <c r="M572" s="9">
        <v>88167.679999999993</v>
      </c>
      <c r="N572" s="6" t="str">
        <f>_xlfn.XLOOKUP(tblSales[[#This Row],[ProductID]],tblProducts[ProductID],tblProducts[ProductName],"Not Found")</f>
        <v>RespiraX</v>
      </c>
      <c r="O572" s="8">
        <f>YEAR(tblSales[[#This Row],[Month]])</f>
        <v>2024</v>
      </c>
      <c r="P572" s="8">
        <f>MONTH(tblSales[[#This Row],[Month]])</f>
        <v>12</v>
      </c>
      <c r="Q572" s="6">
        <f>IFERROR(tblSales[[#This Row],[NetSalesTRY]]/tblSales[[#This Row],[Units]],0)</f>
        <v>595.3385987261147</v>
      </c>
      <c r="R572" s="17">
        <f>IFERROR(tblSales[[#This Row],[NetSalesTRY]]/tblSales[[#This Row],[TargetTRY]],0)</f>
        <v>1.060118174823246</v>
      </c>
      <c r="S572" s="6">
        <f>tblSales[[#This Row],[NetSalesTRY]]-tblSales[[#This Row],[TargetTRY]]</f>
        <v>5300.4800000000105</v>
      </c>
      <c r="T572" s="6">
        <f>MAX(tblSales[[#This Row],[TargetTRY]]-tblSales[[#This Row],[NetSalesTRY]],0)</f>
        <v>0</v>
      </c>
    </row>
    <row r="573" spans="1:20">
      <c r="A573" t="s">
        <v>961</v>
      </c>
      <c r="B573" s="15">
        <v>45627</v>
      </c>
      <c r="C573" t="s">
        <v>25</v>
      </c>
      <c r="D573" t="s">
        <v>26</v>
      </c>
      <c r="E573" t="s">
        <v>64</v>
      </c>
      <c r="F573" t="s">
        <v>62</v>
      </c>
      <c r="G573" t="s">
        <v>14</v>
      </c>
      <c r="H573" s="8">
        <v>75</v>
      </c>
      <c r="I573" s="9">
        <v>81346.100000000006</v>
      </c>
      <c r="J573" s="9">
        <v>3049.25</v>
      </c>
      <c r="K573" s="9">
        <v>675.36</v>
      </c>
      <c r="L573" s="9">
        <v>77621.490000000005</v>
      </c>
      <c r="M573" s="9">
        <v>80796.2</v>
      </c>
      <c r="N573" s="6" t="str">
        <f>_xlfn.XLOOKUP(tblSales[[#This Row],[ProductID]],tblProducts[ProductID],tblProducts[ProductName],"Not Found")</f>
        <v>NeuroCalm</v>
      </c>
      <c r="O573" s="8">
        <f>YEAR(tblSales[[#This Row],[Month]])</f>
        <v>2024</v>
      </c>
      <c r="P573" s="8">
        <f>MONTH(tblSales[[#This Row],[Month]])</f>
        <v>12</v>
      </c>
      <c r="Q573" s="6">
        <f>IFERROR(tblSales[[#This Row],[NetSalesTRY]]/tblSales[[#This Row],[Units]],0)</f>
        <v>1034.9532000000002</v>
      </c>
      <c r="R573" s="17">
        <f>IFERROR(tblSales[[#This Row],[NetSalesTRY]]/tblSales[[#This Row],[TargetTRY]],0)</f>
        <v>0.96070718672412825</v>
      </c>
      <c r="S573" s="6">
        <f>tblSales[[#This Row],[NetSalesTRY]]-tblSales[[#This Row],[TargetTRY]]</f>
        <v>-3174.7099999999919</v>
      </c>
      <c r="T573" s="6">
        <f>MAX(tblSales[[#This Row],[TargetTRY]]-tblSales[[#This Row],[NetSalesTRY]],0)</f>
        <v>3174.7099999999919</v>
      </c>
    </row>
    <row r="574" spans="1:20">
      <c r="A574" t="s">
        <v>962</v>
      </c>
      <c r="B574" s="15">
        <v>45627</v>
      </c>
      <c r="C574" t="s">
        <v>25</v>
      </c>
      <c r="D574" t="s">
        <v>26</v>
      </c>
      <c r="E574" t="s">
        <v>67</v>
      </c>
      <c r="F574" t="s">
        <v>65</v>
      </c>
      <c r="G574" t="s">
        <v>5</v>
      </c>
      <c r="H574" s="8">
        <v>112</v>
      </c>
      <c r="I574" s="9">
        <v>110805.28</v>
      </c>
      <c r="J574" s="9">
        <v>4416.49</v>
      </c>
      <c r="K574" s="9">
        <v>614.32000000000005</v>
      </c>
      <c r="L574" s="9">
        <v>105774.46</v>
      </c>
      <c r="M574" s="9">
        <v>106401.41</v>
      </c>
      <c r="N574" s="6" t="str">
        <f>_xlfn.XLOOKUP(tblSales[[#This Row],[ProductID]],tblProducts[ProductID],tblProducts[ProductName],"Not Found")</f>
        <v>Cardiovan</v>
      </c>
      <c r="O574" s="8">
        <f>YEAR(tblSales[[#This Row],[Month]])</f>
        <v>2024</v>
      </c>
      <c r="P574" s="8">
        <f>MONTH(tblSales[[#This Row],[Month]])</f>
        <v>12</v>
      </c>
      <c r="Q574" s="6">
        <f>IFERROR(tblSales[[#This Row],[NetSalesTRY]]/tblSales[[#This Row],[Units]],0)</f>
        <v>944.41482142857149</v>
      </c>
      <c r="R574" s="17">
        <f>IFERROR(tblSales[[#This Row],[NetSalesTRY]]/tblSales[[#This Row],[TargetTRY]],0)</f>
        <v>0.99410769086612671</v>
      </c>
      <c r="S574" s="6">
        <f>tblSales[[#This Row],[NetSalesTRY]]-tblSales[[#This Row],[TargetTRY]]</f>
        <v>-626.94999999999709</v>
      </c>
      <c r="T574" s="6">
        <f>MAX(tblSales[[#This Row],[TargetTRY]]-tblSales[[#This Row],[NetSalesTRY]],0)</f>
        <v>626.94999999999709</v>
      </c>
    </row>
    <row r="575" spans="1:20">
      <c r="A575" t="s">
        <v>963</v>
      </c>
      <c r="B575" s="15">
        <v>45627</v>
      </c>
      <c r="C575" t="s">
        <v>25</v>
      </c>
      <c r="D575" t="s">
        <v>26</v>
      </c>
      <c r="E575" t="s">
        <v>67</v>
      </c>
      <c r="F575" t="s">
        <v>65</v>
      </c>
      <c r="G575" t="s">
        <v>8</v>
      </c>
      <c r="H575" s="8">
        <v>145</v>
      </c>
      <c r="I575" s="9">
        <v>108746.51</v>
      </c>
      <c r="J575" s="9">
        <v>4246.71</v>
      </c>
      <c r="K575" s="9">
        <v>672.62</v>
      </c>
      <c r="L575" s="9">
        <v>103827.18</v>
      </c>
      <c r="M575" s="9">
        <v>99867.37</v>
      </c>
      <c r="N575" s="6" t="str">
        <f>_xlfn.XLOOKUP(tblSales[[#This Row],[ProductID]],tblProducts[ProductID],tblProducts[ProductName],"Not Found")</f>
        <v>GlucoRelief</v>
      </c>
      <c r="O575" s="8">
        <f>YEAR(tblSales[[#This Row],[Month]])</f>
        <v>2024</v>
      </c>
      <c r="P575" s="8">
        <f>MONTH(tblSales[[#This Row],[Month]])</f>
        <v>12</v>
      </c>
      <c r="Q575" s="6">
        <f>IFERROR(tblSales[[#This Row],[NetSalesTRY]]/tblSales[[#This Row],[Units]],0)</f>
        <v>716.04951724137925</v>
      </c>
      <c r="R575" s="17">
        <f>IFERROR(tblSales[[#This Row],[NetSalesTRY]]/tblSales[[#This Row],[TargetTRY]],0)</f>
        <v>1.039650688708434</v>
      </c>
      <c r="S575" s="6">
        <f>tblSales[[#This Row],[NetSalesTRY]]-tblSales[[#This Row],[TargetTRY]]</f>
        <v>3959.8099999999977</v>
      </c>
      <c r="T575" s="6">
        <f>MAX(tblSales[[#This Row],[TargetTRY]]-tblSales[[#This Row],[NetSalesTRY]],0)</f>
        <v>0</v>
      </c>
    </row>
    <row r="576" spans="1:20">
      <c r="A576" t="s">
        <v>964</v>
      </c>
      <c r="B576" s="15">
        <v>45627</v>
      </c>
      <c r="C576" t="s">
        <v>25</v>
      </c>
      <c r="D576" t="s">
        <v>26</v>
      </c>
      <c r="E576" t="s">
        <v>67</v>
      </c>
      <c r="F576" t="s">
        <v>65</v>
      </c>
      <c r="G576" t="s">
        <v>11</v>
      </c>
      <c r="H576" s="8">
        <v>159</v>
      </c>
      <c r="I576" s="9">
        <v>97410.21</v>
      </c>
      <c r="J576" s="9">
        <v>6075.11</v>
      </c>
      <c r="K576" s="9">
        <v>1209.45</v>
      </c>
      <c r="L576" s="9">
        <v>90125.66</v>
      </c>
      <c r="M576" s="9">
        <v>98262.55</v>
      </c>
      <c r="N576" s="6" t="str">
        <f>_xlfn.XLOOKUP(tblSales[[#This Row],[ProductID]],tblProducts[ProductID],tblProducts[ProductName],"Not Found")</f>
        <v>RespiraX</v>
      </c>
      <c r="O576" s="8">
        <f>YEAR(tblSales[[#This Row],[Month]])</f>
        <v>2024</v>
      </c>
      <c r="P576" s="8">
        <f>MONTH(tblSales[[#This Row],[Month]])</f>
        <v>12</v>
      </c>
      <c r="Q576" s="6">
        <f>IFERROR(tblSales[[#This Row],[NetSalesTRY]]/tblSales[[#This Row],[Units]],0)</f>
        <v>566.82805031446549</v>
      </c>
      <c r="R576" s="17">
        <f>IFERROR(tblSales[[#This Row],[NetSalesTRY]]/tblSales[[#This Row],[TargetTRY]],0)</f>
        <v>0.91719235863510562</v>
      </c>
      <c r="S576" s="6">
        <f>tblSales[[#This Row],[NetSalesTRY]]-tblSales[[#This Row],[TargetTRY]]</f>
        <v>-8136.8899999999994</v>
      </c>
      <c r="T576" s="6">
        <f>MAX(tblSales[[#This Row],[TargetTRY]]-tblSales[[#This Row],[NetSalesTRY]],0)</f>
        <v>8136.8899999999994</v>
      </c>
    </row>
    <row r="577" spans="1:20">
      <c r="A577" t="s">
        <v>965</v>
      </c>
      <c r="B577" s="15">
        <v>45627</v>
      </c>
      <c r="C577" t="s">
        <v>25</v>
      </c>
      <c r="D577" t="s">
        <v>26</v>
      </c>
      <c r="E577" t="s">
        <v>67</v>
      </c>
      <c r="F577" t="s">
        <v>65</v>
      </c>
      <c r="G577" t="s">
        <v>14</v>
      </c>
      <c r="H577" s="8">
        <v>85</v>
      </c>
      <c r="I577" s="9">
        <v>92795.74</v>
      </c>
      <c r="J577" s="9">
        <v>4720.63</v>
      </c>
      <c r="K577" s="9">
        <v>736.92</v>
      </c>
      <c r="L577" s="9">
        <v>87338.2</v>
      </c>
      <c r="M577" s="9">
        <v>91263.91</v>
      </c>
      <c r="N577" s="6" t="str">
        <f>_xlfn.XLOOKUP(tblSales[[#This Row],[ProductID]],tblProducts[ProductID],tblProducts[ProductName],"Not Found")</f>
        <v>NeuroCalm</v>
      </c>
      <c r="O577" s="8">
        <f>YEAR(tblSales[[#This Row],[Month]])</f>
        <v>2024</v>
      </c>
      <c r="P577" s="8">
        <f>MONTH(tblSales[[#This Row],[Month]])</f>
        <v>12</v>
      </c>
      <c r="Q577" s="6">
        <f>IFERROR(tblSales[[#This Row],[NetSalesTRY]]/tblSales[[#This Row],[Units]],0)</f>
        <v>1027.5082352941176</v>
      </c>
      <c r="R577" s="17">
        <f>IFERROR(tblSales[[#This Row],[NetSalesTRY]]/tblSales[[#This Row],[TargetTRY]],0)</f>
        <v>0.95698507767199537</v>
      </c>
      <c r="S577" s="6">
        <f>tblSales[[#This Row],[NetSalesTRY]]-tblSales[[#This Row],[TargetTRY]]</f>
        <v>-3925.7100000000064</v>
      </c>
      <c r="T577" s="6">
        <f>MAX(tblSales[[#This Row],[TargetTRY]]-tblSales[[#This Row],[NetSalesTRY]],0)</f>
        <v>3925.7100000000064</v>
      </c>
    </row>
    <row r="578" spans="1:20">
      <c r="A578" t="s">
        <v>966</v>
      </c>
      <c r="B578" s="15">
        <v>45658</v>
      </c>
      <c r="C578" t="s">
        <v>19</v>
      </c>
      <c r="D578" t="s">
        <v>20</v>
      </c>
      <c r="E578" t="s">
        <v>34</v>
      </c>
      <c r="F578" t="s">
        <v>32</v>
      </c>
      <c r="G578" t="s">
        <v>5</v>
      </c>
      <c r="H578" s="8">
        <v>154</v>
      </c>
      <c r="I578" s="9">
        <v>149697.10999999999</v>
      </c>
      <c r="J578" s="9">
        <v>10679.72</v>
      </c>
      <c r="K578" s="9">
        <v>1607.61</v>
      </c>
      <c r="L578" s="9">
        <v>137409.78</v>
      </c>
      <c r="M578" s="9">
        <v>139239.38</v>
      </c>
      <c r="N578" s="6" t="str">
        <f>_xlfn.XLOOKUP(tblSales[[#This Row],[ProductID]],tblProducts[ProductID],tblProducts[ProductName],"Not Found")</f>
        <v>Cardiovan</v>
      </c>
      <c r="O578" s="8">
        <f>YEAR(tblSales[[#This Row],[Month]])</f>
        <v>2025</v>
      </c>
      <c r="P578" s="8">
        <f>MONTH(tblSales[[#This Row],[Month]])</f>
        <v>1</v>
      </c>
      <c r="Q578" s="6">
        <f>IFERROR(tblSales[[#This Row],[NetSalesTRY]]/tblSales[[#This Row],[Units]],0)</f>
        <v>892.27129870129875</v>
      </c>
      <c r="R578" s="17">
        <f>IFERROR(tblSales[[#This Row],[NetSalesTRY]]/tblSales[[#This Row],[TargetTRY]],0)</f>
        <v>0.98686003916420773</v>
      </c>
      <c r="S578" s="6">
        <f>tblSales[[#This Row],[NetSalesTRY]]-tblSales[[#This Row],[TargetTRY]]</f>
        <v>-1829.6000000000058</v>
      </c>
      <c r="T578" s="6">
        <f>MAX(tblSales[[#This Row],[TargetTRY]]-tblSales[[#This Row],[NetSalesTRY]],0)</f>
        <v>1829.6000000000058</v>
      </c>
    </row>
    <row r="579" spans="1:20">
      <c r="A579" t="s">
        <v>967</v>
      </c>
      <c r="B579" s="15">
        <v>45658</v>
      </c>
      <c r="C579" t="s">
        <v>19</v>
      </c>
      <c r="D579" t="s">
        <v>20</v>
      </c>
      <c r="E579" t="s">
        <v>34</v>
      </c>
      <c r="F579" t="s">
        <v>32</v>
      </c>
      <c r="G579" t="s">
        <v>8</v>
      </c>
      <c r="H579" s="8">
        <v>177</v>
      </c>
      <c r="I579" s="9">
        <v>136020.01999999999</v>
      </c>
      <c r="J579" s="9">
        <v>7222.4</v>
      </c>
      <c r="K579" s="9">
        <v>1147.04</v>
      </c>
      <c r="L579" s="9">
        <v>127650.58</v>
      </c>
      <c r="M579" s="9">
        <v>127922.36</v>
      </c>
      <c r="N579" s="6" t="str">
        <f>_xlfn.XLOOKUP(tblSales[[#This Row],[ProductID]],tblProducts[ProductID],tblProducts[ProductName],"Not Found")</f>
        <v>GlucoRelief</v>
      </c>
      <c r="O579" s="8">
        <f>YEAR(tblSales[[#This Row],[Month]])</f>
        <v>2025</v>
      </c>
      <c r="P579" s="8">
        <f>MONTH(tblSales[[#This Row],[Month]])</f>
        <v>1</v>
      </c>
      <c r="Q579" s="6">
        <f>IFERROR(tblSales[[#This Row],[NetSalesTRY]]/tblSales[[#This Row],[Units]],0)</f>
        <v>721.18971751412425</v>
      </c>
      <c r="R579" s="17">
        <f>IFERROR(tblSales[[#This Row],[NetSalesTRY]]/tblSales[[#This Row],[TargetTRY]],0)</f>
        <v>0.99787543006554913</v>
      </c>
      <c r="S579" s="6">
        <f>tblSales[[#This Row],[NetSalesTRY]]-tblSales[[#This Row],[TargetTRY]]</f>
        <v>-271.77999999999884</v>
      </c>
      <c r="T579" s="6">
        <f>MAX(tblSales[[#This Row],[TargetTRY]]-tblSales[[#This Row],[NetSalesTRY]],0)</f>
        <v>271.77999999999884</v>
      </c>
    </row>
    <row r="580" spans="1:20">
      <c r="A580" t="s">
        <v>968</v>
      </c>
      <c r="B580" s="15">
        <v>45658</v>
      </c>
      <c r="C580" t="s">
        <v>19</v>
      </c>
      <c r="D580" t="s">
        <v>20</v>
      </c>
      <c r="E580" t="s">
        <v>34</v>
      </c>
      <c r="F580" t="s">
        <v>32</v>
      </c>
      <c r="G580" t="s">
        <v>11</v>
      </c>
      <c r="H580" s="8">
        <v>197</v>
      </c>
      <c r="I580" s="9">
        <v>122559.23</v>
      </c>
      <c r="J580" s="9">
        <v>7004.83</v>
      </c>
      <c r="K580" s="9">
        <v>540.44000000000005</v>
      </c>
      <c r="L580" s="9">
        <v>115013.96</v>
      </c>
      <c r="M580" s="9">
        <v>118629.98</v>
      </c>
      <c r="N580" s="6" t="str">
        <f>_xlfn.XLOOKUP(tblSales[[#This Row],[ProductID]],tblProducts[ProductID],tblProducts[ProductName],"Not Found")</f>
        <v>RespiraX</v>
      </c>
      <c r="O580" s="8">
        <f>YEAR(tblSales[[#This Row],[Month]])</f>
        <v>2025</v>
      </c>
      <c r="P580" s="8">
        <f>MONTH(tblSales[[#This Row],[Month]])</f>
        <v>1</v>
      </c>
      <c r="Q580" s="6">
        <f>IFERROR(tblSales[[#This Row],[NetSalesTRY]]/tblSales[[#This Row],[Units]],0)</f>
        <v>583.82720812182743</v>
      </c>
      <c r="R580" s="17">
        <f>IFERROR(tblSales[[#This Row],[NetSalesTRY]]/tblSales[[#This Row],[TargetTRY]],0)</f>
        <v>0.96951849776928234</v>
      </c>
      <c r="S580" s="6">
        <f>tblSales[[#This Row],[NetSalesTRY]]-tblSales[[#This Row],[TargetTRY]]</f>
        <v>-3616.0199999999895</v>
      </c>
      <c r="T580" s="6">
        <f>MAX(tblSales[[#This Row],[TargetTRY]]-tblSales[[#This Row],[NetSalesTRY]],0)</f>
        <v>3616.0199999999895</v>
      </c>
    </row>
    <row r="581" spans="1:20">
      <c r="A581" t="s">
        <v>969</v>
      </c>
      <c r="B581" s="15">
        <v>45658</v>
      </c>
      <c r="C581" t="s">
        <v>19</v>
      </c>
      <c r="D581" t="s">
        <v>20</v>
      </c>
      <c r="E581" t="s">
        <v>34</v>
      </c>
      <c r="F581" t="s">
        <v>32</v>
      </c>
      <c r="G581" t="s">
        <v>14</v>
      </c>
      <c r="H581" s="8">
        <v>118</v>
      </c>
      <c r="I581" s="9">
        <v>130299.13</v>
      </c>
      <c r="J581" s="9">
        <v>7792.09</v>
      </c>
      <c r="K581" s="9">
        <v>1290.18</v>
      </c>
      <c r="L581" s="9">
        <v>121216.86</v>
      </c>
      <c r="M581" s="9">
        <v>115330.62</v>
      </c>
      <c r="N581" s="6" t="str">
        <f>_xlfn.XLOOKUP(tblSales[[#This Row],[ProductID]],tblProducts[ProductID],tblProducts[ProductName],"Not Found")</f>
        <v>NeuroCalm</v>
      </c>
      <c r="O581" s="8">
        <f>YEAR(tblSales[[#This Row],[Month]])</f>
        <v>2025</v>
      </c>
      <c r="P581" s="8">
        <f>MONTH(tblSales[[#This Row],[Month]])</f>
        <v>1</v>
      </c>
      <c r="Q581" s="6">
        <f>IFERROR(tblSales[[#This Row],[NetSalesTRY]]/tblSales[[#This Row],[Units]],0)</f>
        <v>1027.2615254237289</v>
      </c>
      <c r="R581" s="17">
        <f>IFERROR(tblSales[[#This Row],[NetSalesTRY]]/tblSales[[#This Row],[TargetTRY]],0)</f>
        <v>1.051037963725505</v>
      </c>
      <c r="S581" s="6">
        <f>tblSales[[#This Row],[NetSalesTRY]]-tblSales[[#This Row],[TargetTRY]]</f>
        <v>5886.2400000000052</v>
      </c>
      <c r="T581" s="6">
        <f>MAX(tblSales[[#This Row],[TargetTRY]]-tblSales[[#This Row],[NetSalesTRY]],0)</f>
        <v>0</v>
      </c>
    </row>
    <row r="582" spans="1:20">
      <c r="A582" t="s">
        <v>970</v>
      </c>
      <c r="B582" s="15">
        <v>45658</v>
      </c>
      <c r="C582" t="s">
        <v>19</v>
      </c>
      <c r="D582" t="s">
        <v>20</v>
      </c>
      <c r="E582" t="s">
        <v>37</v>
      </c>
      <c r="F582" t="s">
        <v>35</v>
      </c>
      <c r="G582" t="s">
        <v>5</v>
      </c>
      <c r="H582" s="8">
        <v>157</v>
      </c>
      <c r="I582" s="9">
        <v>155105.29</v>
      </c>
      <c r="J582" s="9">
        <v>10908.78</v>
      </c>
      <c r="K582" s="9">
        <v>715.21</v>
      </c>
      <c r="L582" s="9">
        <v>143481.29999999999</v>
      </c>
      <c r="M582" s="9">
        <v>139923.21</v>
      </c>
      <c r="N582" s="6" t="str">
        <f>_xlfn.XLOOKUP(tblSales[[#This Row],[ProductID]],tblProducts[ProductID],tblProducts[ProductName],"Not Found")</f>
        <v>Cardiovan</v>
      </c>
      <c r="O582" s="8">
        <f>YEAR(tblSales[[#This Row],[Month]])</f>
        <v>2025</v>
      </c>
      <c r="P582" s="8">
        <f>MONTH(tblSales[[#This Row],[Month]])</f>
        <v>1</v>
      </c>
      <c r="Q582" s="6">
        <f>IFERROR(tblSales[[#This Row],[NetSalesTRY]]/tblSales[[#This Row],[Units]],0)</f>
        <v>913.89363057324829</v>
      </c>
      <c r="R582" s="17">
        <f>IFERROR(tblSales[[#This Row],[NetSalesTRY]]/tblSales[[#This Row],[TargetTRY]],0)</f>
        <v>1.0254288763100847</v>
      </c>
      <c r="S582" s="6">
        <f>tblSales[[#This Row],[NetSalesTRY]]-tblSales[[#This Row],[TargetTRY]]</f>
        <v>3558.0899999999965</v>
      </c>
      <c r="T582" s="6">
        <f>MAX(tblSales[[#This Row],[TargetTRY]]-tblSales[[#This Row],[NetSalesTRY]],0)</f>
        <v>0</v>
      </c>
    </row>
    <row r="583" spans="1:20">
      <c r="A583" t="s">
        <v>971</v>
      </c>
      <c r="B583" s="15">
        <v>45658</v>
      </c>
      <c r="C583" t="s">
        <v>19</v>
      </c>
      <c r="D583" t="s">
        <v>20</v>
      </c>
      <c r="E583" t="s">
        <v>37</v>
      </c>
      <c r="F583" t="s">
        <v>35</v>
      </c>
      <c r="G583" t="s">
        <v>8</v>
      </c>
      <c r="H583" s="8">
        <v>177</v>
      </c>
      <c r="I583" s="9">
        <v>134571.76999999999</v>
      </c>
      <c r="J583" s="9">
        <v>7552.28</v>
      </c>
      <c r="K583" s="9">
        <v>1717.44</v>
      </c>
      <c r="L583" s="9">
        <v>125302.05</v>
      </c>
      <c r="M583" s="9">
        <v>129503.58</v>
      </c>
      <c r="N583" s="6" t="str">
        <f>_xlfn.XLOOKUP(tblSales[[#This Row],[ProductID]],tblProducts[ProductID],tblProducts[ProductName],"Not Found")</f>
        <v>GlucoRelief</v>
      </c>
      <c r="O583" s="8">
        <f>YEAR(tblSales[[#This Row],[Month]])</f>
        <v>2025</v>
      </c>
      <c r="P583" s="8">
        <f>MONTH(tblSales[[#This Row],[Month]])</f>
        <v>1</v>
      </c>
      <c r="Q583" s="6">
        <f>IFERROR(tblSales[[#This Row],[NetSalesTRY]]/tblSales[[#This Row],[Units]],0)</f>
        <v>707.92118644067796</v>
      </c>
      <c r="R583" s="17">
        <f>IFERROR(tblSales[[#This Row],[NetSalesTRY]]/tblSales[[#This Row],[TargetTRY]],0)</f>
        <v>0.96755664978528011</v>
      </c>
      <c r="S583" s="6">
        <f>tblSales[[#This Row],[NetSalesTRY]]-tblSales[[#This Row],[TargetTRY]]</f>
        <v>-4201.5299999999988</v>
      </c>
      <c r="T583" s="6">
        <f>MAX(tblSales[[#This Row],[TargetTRY]]-tblSales[[#This Row],[NetSalesTRY]],0)</f>
        <v>4201.5299999999988</v>
      </c>
    </row>
    <row r="584" spans="1:20">
      <c r="A584" t="s">
        <v>972</v>
      </c>
      <c r="B584" s="15">
        <v>45658</v>
      </c>
      <c r="C584" t="s">
        <v>19</v>
      </c>
      <c r="D584" t="s">
        <v>20</v>
      </c>
      <c r="E584" t="s">
        <v>37</v>
      </c>
      <c r="F584" t="s">
        <v>35</v>
      </c>
      <c r="G584" t="s">
        <v>11</v>
      </c>
      <c r="H584" s="8">
        <v>206</v>
      </c>
      <c r="I584" s="9">
        <v>128117.57</v>
      </c>
      <c r="J584" s="9">
        <v>5406.32</v>
      </c>
      <c r="K584" s="9">
        <v>1332.4</v>
      </c>
      <c r="L584" s="9">
        <v>121378.85</v>
      </c>
      <c r="M584" s="9">
        <v>121333.26</v>
      </c>
      <c r="N584" s="6" t="str">
        <f>_xlfn.XLOOKUP(tblSales[[#This Row],[ProductID]],tblProducts[ProductID],tblProducts[ProductName],"Not Found")</f>
        <v>RespiraX</v>
      </c>
      <c r="O584" s="8">
        <f>YEAR(tblSales[[#This Row],[Month]])</f>
        <v>2025</v>
      </c>
      <c r="P584" s="8">
        <f>MONTH(tblSales[[#This Row],[Month]])</f>
        <v>1</v>
      </c>
      <c r="Q584" s="6">
        <f>IFERROR(tblSales[[#This Row],[NetSalesTRY]]/tblSales[[#This Row],[Units]],0)</f>
        <v>589.21771844660202</v>
      </c>
      <c r="R584" s="17">
        <f>IFERROR(tblSales[[#This Row],[NetSalesTRY]]/tblSales[[#This Row],[TargetTRY]],0)</f>
        <v>1.0003757419853387</v>
      </c>
      <c r="S584" s="6">
        <f>tblSales[[#This Row],[NetSalesTRY]]-tblSales[[#This Row],[TargetTRY]]</f>
        <v>45.590000000011059</v>
      </c>
      <c r="T584" s="6">
        <f>MAX(tblSales[[#This Row],[TargetTRY]]-tblSales[[#This Row],[NetSalesTRY]],0)</f>
        <v>0</v>
      </c>
    </row>
    <row r="585" spans="1:20">
      <c r="A585" t="s">
        <v>973</v>
      </c>
      <c r="B585" s="15">
        <v>45658</v>
      </c>
      <c r="C585" t="s">
        <v>19</v>
      </c>
      <c r="D585" t="s">
        <v>20</v>
      </c>
      <c r="E585" t="s">
        <v>37</v>
      </c>
      <c r="F585" t="s">
        <v>35</v>
      </c>
      <c r="G585" t="s">
        <v>14</v>
      </c>
      <c r="H585" s="8">
        <v>119</v>
      </c>
      <c r="I585" s="9">
        <v>129485.32</v>
      </c>
      <c r="J585" s="9">
        <v>8354.6200000000008</v>
      </c>
      <c r="K585" s="9">
        <v>938.91</v>
      </c>
      <c r="L585" s="9">
        <v>120191.79</v>
      </c>
      <c r="M585" s="9">
        <v>116375.58</v>
      </c>
      <c r="N585" s="6" t="str">
        <f>_xlfn.XLOOKUP(tblSales[[#This Row],[ProductID]],tblProducts[ProductID],tblProducts[ProductName],"Not Found")</f>
        <v>NeuroCalm</v>
      </c>
      <c r="O585" s="8">
        <f>YEAR(tblSales[[#This Row],[Month]])</f>
        <v>2025</v>
      </c>
      <c r="P585" s="8">
        <f>MONTH(tblSales[[#This Row],[Month]])</f>
        <v>1</v>
      </c>
      <c r="Q585" s="6">
        <f>IFERROR(tblSales[[#This Row],[NetSalesTRY]]/tblSales[[#This Row],[Units]],0)</f>
        <v>1010.0150420168067</v>
      </c>
      <c r="R585" s="17">
        <f>IFERROR(tblSales[[#This Row],[NetSalesTRY]]/tblSales[[#This Row],[TargetTRY]],0)</f>
        <v>1.0327921888767384</v>
      </c>
      <c r="S585" s="6">
        <f>tblSales[[#This Row],[NetSalesTRY]]-tblSales[[#This Row],[TargetTRY]]</f>
        <v>3816.2099999999919</v>
      </c>
      <c r="T585" s="6">
        <f>MAX(tblSales[[#This Row],[TargetTRY]]-tblSales[[#This Row],[NetSalesTRY]],0)</f>
        <v>0</v>
      </c>
    </row>
    <row r="586" spans="1:20">
      <c r="A586" t="s">
        <v>974</v>
      </c>
      <c r="B586" s="15">
        <v>45658</v>
      </c>
      <c r="C586" t="s">
        <v>19</v>
      </c>
      <c r="D586" t="s">
        <v>20</v>
      </c>
      <c r="E586" t="s">
        <v>40</v>
      </c>
      <c r="F586" t="s">
        <v>38</v>
      </c>
      <c r="G586" t="s">
        <v>5</v>
      </c>
      <c r="H586" s="8">
        <v>169</v>
      </c>
      <c r="I586" s="9">
        <v>167583.82</v>
      </c>
      <c r="J586" s="9">
        <v>6778.45</v>
      </c>
      <c r="K586" s="9">
        <v>789.8</v>
      </c>
      <c r="L586" s="9">
        <v>160015.57</v>
      </c>
      <c r="M586" s="9">
        <v>157912.56</v>
      </c>
      <c r="N586" s="6" t="str">
        <f>_xlfn.XLOOKUP(tblSales[[#This Row],[ProductID]],tblProducts[ProductID],tblProducts[ProductName],"Not Found")</f>
        <v>Cardiovan</v>
      </c>
      <c r="O586" s="8">
        <f>YEAR(tblSales[[#This Row],[Month]])</f>
        <v>2025</v>
      </c>
      <c r="P586" s="8">
        <f>MONTH(tblSales[[#This Row],[Month]])</f>
        <v>1</v>
      </c>
      <c r="Q586" s="6">
        <f>IFERROR(tblSales[[#This Row],[NetSalesTRY]]/tblSales[[#This Row],[Units]],0)</f>
        <v>946.83769230769235</v>
      </c>
      <c r="R586" s="17">
        <f>IFERROR(tblSales[[#This Row],[NetSalesTRY]]/tblSales[[#This Row],[TargetTRY]],0)</f>
        <v>1.0133175600471553</v>
      </c>
      <c r="S586" s="6">
        <f>tblSales[[#This Row],[NetSalesTRY]]-tblSales[[#This Row],[TargetTRY]]</f>
        <v>2103.0100000000093</v>
      </c>
      <c r="T586" s="6">
        <f>MAX(tblSales[[#This Row],[TargetTRY]]-tblSales[[#This Row],[NetSalesTRY]],0)</f>
        <v>0</v>
      </c>
    </row>
    <row r="587" spans="1:20">
      <c r="A587" t="s">
        <v>975</v>
      </c>
      <c r="B587" s="15">
        <v>45658</v>
      </c>
      <c r="C587" t="s">
        <v>19</v>
      </c>
      <c r="D587" t="s">
        <v>20</v>
      </c>
      <c r="E587" t="s">
        <v>40</v>
      </c>
      <c r="F587" t="s">
        <v>38</v>
      </c>
      <c r="G587" t="s">
        <v>8</v>
      </c>
      <c r="H587" s="8">
        <v>202</v>
      </c>
      <c r="I587" s="9">
        <v>151515.29999999999</v>
      </c>
      <c r="J587" s="9">
        <v>7847.21</v>
      </c>
      <c r="K587" s="9">
        <v>1252.1300000000001</v>
      </c>
      <c r="L587" s="9">
        <v>142415.96</v>
      </c>
      <c r="M587" s="9">
        <v>142251.46</v>
      </c>
      <c r="N587" s="6" t="str">
        <f>_xlfn.XLOOKUP(tblSales[[#This Row],[ProductID]],tblProducts[ProductID],tblProducts[ProductName],"Not Found")</f>
        <v>GlucoRelief</v>
      </c>
      <c r="O587" s="8">
        <f>YEAR(tblSales[[#This Row],[Month]])</f>
        <v>2025</v>
      </c>
      <c r="P587" s="8">
        <f>MONTH(tblSales[[#This Row],[Month]])</f>
        <v>1</v>
      </c>
      <c r="Q587" s="6">
        <f>IFERROR(tblSales[[#This Row],[NetSalesTRY]]/tblSales[[#This Row],[Units]],0)</f>
        <v>705.02950495049504</v>
      </c>
      <c r="R587" s="17">
        <f>IFERROR(tblSales[[#This Row],[NetSalesTRY]]/tblSales[[#This Row],[TargetTRY]],0)</f>
        <v>1.0011564028938613</v>
      </c>
      <c r="S587" s="6">
        <f>tblSales[[#This Row],[NetSalesTRY]]-tblSales[[#This Row],[TargetTRY]]</f>
        <v>164.5</v>
      </c>
      <c r="T587" s="6">
        <f>MAX(tblSales[[#This Row],[TargetTRY]]-tblSales[[#This Row],[NetSalesTRY]],0)</f>
        <v>0</v>
      </c>
    </row>
    <row r="588" spans="1:20">
      <c r="A588" t="s">
        <v>976</v>
      </c>
      <c r="B588" s="15">
        <v>45658</v>
      </c>
      <c r="C588" t="s">
        <v>19</v>
      </c>
      <c r="D588" t="s">
        <v>20</v>
      </c>
      <c r="E588" t="s">
        <v>40</v>
      </c>
      <c r="F588" t="s">
        <v>38</v>
      </c>
      <c r="G588" t="s">
        <v>11</v>
      </c>
      <c r="H588" s="8">
        <v>227</v>
      </c>
      <c r="I588" s="9">
        <v>142128.63</v>
      </c>
      <c r="J588" s="9">
        <v>7405.65</v>
      </c>
      <c r="K588" s="9">
        <v>1684.25</v>
      </c>
      <c r="L588" s="9">
        <v>133038.73000000001</v>
      </c>
      <c r="M588" s="9">
        <v>133833.9</v>
      </c>
      <c r="N588" s="6" t="str">
        <f>_xlfn.XLOOKUP(tblSales[[#This Row],[ProductID]],tblProducts[ProductID],tblProducts[ProductName],"Not Found")</f>
        <v>RespiraX</v>
      </c>
      <c r="O588" s="8">
        <f>YEAR(tblSales[[#This Row],[Month]])</f>
        <v>2025</v>
      </c>
      <c r="P588" s="8">
        <f>MONTH(tblSales[[#This Row],[Month]])</f>
        <v>1</v>
      </c>
      <c r="Q588" s="6">
        <f>IFERROR(tblSales[[#This Row],[NetSalesTRY]]/tblSales[[#This Row],[Units]],0)</f>
        <v>586.07370044052868</v>
      </c>
      <c r="R588" s="17">
        <f>IFERROR(tblSales[[#This Row],[NetSalesTRY]]/tblSales[[#This Row],[TargetTRY]],0)</f>
        <v>0.99405853076089101</v>
      </c>
      <c r="S588" s="6">
        <f>tblSales[[#This Row],[NetSalesTRY]]-tblSales[[#This Row],[TargetTRY]]</f>
        <v>-795.1699999999837</v>
      </c>
      <c r="T588" s="6">
        <f>MAX(tblSales[[#This Row],[TargetTRY]]-tblSales[[#This Row],[NetSalesTRY]],0)</f>
        <v>795.1699999999837</v>
      </c>
    </row>
    <row r="589" spans="1:20">
      <c r="A589" t="s">
        <v>977</v>
      </c>
      <c r="B589" s="15">
        <v>45658</v>
      </c>
      <c r="C589" t="s">
        <v>19</v>
      </c>
      <c r="D589" t="s">
        <v>20</v>
      </c>
      <c r="E589" t="s">
        <v>40</v>
      </c>
      <c r="F589" t="s">
        <v>38</v>
      </c>
      <c r="G589" t="s">
        <v>14</v>
      </c>
      <c r="H589" s="8">
        <v>130</v>
      </c>
      <c r="I589" s="9">
        <v>141603.07999999999</v>
      </c>
      <c r="J589" s="9">
        <v>7687.99</v>
      </c>
      <c r="K589" s="9">
        <v>1372.9</v>
      </c>
      <c r="L589" s="9">
        <v>132542.19</v>
      </c>
      <c r="M589" s="9">
        <v>126992.92</v>
      </c>
      <c r="N589" s="6" t="str">
        <f>_xlfn.XLOOKUP(tblSales[[#This Row],[ProductID]],tblProducts[ProductID],tblProducts[ProductName],"Not Found")</f>
        <v>NeuroCalm</v>
      </c>
      <c r="O589" s="8">
        <f>YEAR(tblSales[[#This Row],[Month]])</f>
        <v>2025</v>
      </c>
      <c r="P589" s="8">
        <f>MONTH(tblSales[[#This Row],[Month]])</f>
        <v>1</v>
      </c>
      <c r="Q589" s="6">
        <f>IFERROR(tblSales[[#This Row],[NetSalesTRY]]/tblSales[[#This Row],[Units]],0)</f>
        <v>1019.5553076923077</v>
      </c>
      <c r="R589" s="17">
        <f>IFERROR(tblSales[[#This Row],[NetSalesTRY]]/tblSales[[#This Row],[TargetTRY]],0)</f>
        <v>1.0436974754183146</v>
      </c>
      <c r="S589" s="6">
        <f>tblSales[[#This Row],[NetSalesTRY]]-tblSales[[#This Row],[TargetTRY]]</f>
        <v>5549.2700000000041</v>
      </c>
      <c r="T589" s="6">
        <f>MAX(tblSales[[#This Row],[TargetTRY]]-tblSales[[#This Row],[NetSalesTRY]],0)</f>
        <v>0</v>
      </c>
    </row>
    <row r="590" spans="1:20">
      <c r="A590" t="s">
        <v>978</v>
      </c>
      <c r="B590" s="15">
        <v>45658</v>
      </c>
      <c r="C590" t="s">
        <v>21</v>
      </c>
      <c r="D590" t="s">
        <v>22</v>
      </c>
      <c r="E590" t="s">
        <v>43</v>
      </c>
      <c r="F590" t="s">
        <v>41</v>
      </c>
      <c r="G590" t="s">
        <v>5</v>
      </c>
      <c r="H590" s="8">
        <v>103</v>
      </c>
      <c r="I590" s="9">
        <v>101963.7</v>
      </c>
      <c r="J590" s="9">
        <v>5584.53</v>
      </c>
      <c r="K590" s="9">
        <v>824.2</v>
      </c>
      <c r="L590" s="9">
        <v>95554.96</v>
      </c>
      <c r="M590" s="9">
        <v>113002.95</v>
      </c>
      <c r="N590" s="6" t="str">
        <f>_xlfn.XLOOKUP(tblSales[[#This Row],[ProductID]],tblProducts[ProductID],tblProducts[ProductName],"Not Found")</f>
        <v>Cardiovan</v>
      </c>
      <c r="O590" s="8">
        <f>YEAR(tblSales[[#This Row],[Month]])</f>
        <v>2025</v>
      </c>
      <c r="P590" s="8">
        <f>MONTH(tblSales[[#This Row],[Month]])</f>
        <v>1</v>
      </c>
      <c r="Q590" s="6">
        <f>IFERROR(tblSales[[#This Row],[NetSalesTRY]]/tblSales[[#This Row],[Units]],0)</f>
        <v>927.71805825242723</v>
      </c>
      <c r="R590" s="17">
        <f>IFERROR(tblSales[[#This Row],[NetSalesTRY]]/tblSales[[#This Row],[TargetTRY]],0)</f>
        <v>0.84559703972329936</v>
      </c>
      <c r="S590" s="6">
        <f>tblSales[[#This Row],[NetSalesTRY]]-tblSales[[#This Row],[TargetTRY]]</f>
        <v>-17447.989999999991</v>
      </c>
      <c r="T590" s="6">
        <f>MAX(tblSales[[#This Row],[TargetTRY]]-tblSales[[#This Row],[NetSalesTRY]],0)</f>
        <v>17447.989999999991</v>
      </c>
    </row>
    <row r="591" spans="1:20">
      <c r="A591" t="s">
        <v>979</v>
      </c>
      <c r="B591" s="15">
        <v>45658</v>
      </c>
      <c r="C591" t="s">
        <v>21</v>
      </c>
      <c r="D591" t="s">
        <v>22</v>
      </c>
      <c r="E591" t="s">
        <v>43</v>
      </c>
      <c r="F591" t="s">
        <v>41</v>
      </c>
      <c r="G591" t="s">
        <v>8</v>
      </c>
      <c r="H591" s="8">
        <v>146</v>
      </c>
      <c r="I591" s="9">
        <v>112192.11</v>
      </c>
      <c r="J591" s="9">
        <v>7987.96</v>
      </c>
      <c r="K591" s="9">
        <v>857.12</v>
      </c>
      <c r="L591" s="9">
        <v>103347.02</v>
      </c>
      <c r="M591" s="9">
        <v>102692.34</v>
      </c>
      <c r="N591" s="6" t="str">
        <f>_xlfn.XLOOKUP(tblSales[[#This Row],[ProductID]],tblProducts[ProductID],tblProducts[ProductName],"Not Found")</f>
        <v>GlucoRelief</v>
      </c>
      <c r="O591" s="8">
        <f>YEAR(tblSales[[#This Row],[Month]])</f>
        <v>2025</v>
      </c>
      <c r="P591" s="8">
        <f>MONTH(tblSales[[#This Row],[Month]])</f>
        <v>1</v>
      </c>
      <c r="Q591" s="6">
        <f>IFERROR(tblSales[[#This Row],[NetSalesTRY]]/tblSales[[#This Row],[Units]],0)</f>
        <v>707.85630136986299</v>
      </c>
      <c r="R591" s="17">
        <f>IFERROR(tblSales[[#This Row],[NetSalesTRY]]/tblSales[[#This Row],[TargetTRY]],0)</f>
        <v>1.0063751590430212</v>
      </c>
      <c r="S591" s="6">
        <f>tblSales[[#This Row],[NetSalesTRY]]-tblSales[[#This Row],[TargetTRY]]</f>
        <v>654.68000000000757</v>
      </c>
      <c r="T591" s="6">
        <f>MAX(tblSales[[#This Row],[TargetTRY]]-tblSales[[#This Row],[NetSalesTRY]],0)</f>
        <v>0</v>
      </c>
    </row>
    <row r="592" spans="1:20">
      <c r="A592" t="s">
        <v>980</v>
      </c>
      <c r="B592" s="15">
        <v>45658</v>
      </c>
      <c r="C592" t="s">
        <v>21</v>
      </c>
      <c r="D592" t="s">
        <v>22</v>
      </c>
      <c r="E592" t="s">
        <v>43</v>
      </c>
      <c r="F592" t="s">
        <v>41</v>
      </c>
      <c r="G592" t="s">
        <v>11</v>
      </c>
      <c r="H592" s="8">
        <v>165</v>
      </c>
      <c r="I592" s="9">
        <v>101876.74</v>
      </c>
      <c r="J592" s="9">
        <v>5339.89</v>
      </c>
      <c r="K592" s="9">
        <v>956.98</v>
      </c>
      <c r="L592" s="9">
        <v>95579.87</v>
      </c>
      <c r="M592" s="9">
        <v>96811.55</v>
      </c>
      <c r="N592" s="6" t="str">
        <f>_xlfn.XLOOKUP(tblSales[[#This Row],[ProductID]],tblProducts[ProductID],tblProducts[ProductName],"Not Found")</f>
        <v>RespiraX</v>
      </c>
      <c r="O592" s="8">
        <f>YEAR(tblSales[[#This Row],[Month]])</f>
        <v>2025</v>
      </c>
      <c r="P592" s="8">
        <f>MONTH(tblSales[[#This Row],[Month]])</f>
        <v>1</v>
      </c>
      <c r="Q592" s="6">
        <f>IFERROR(tblSales[[#This Row],[NetSalesTRY]]/tblSales[[#This Row],[Units]],0)</f>
        <v>579.27193939393942</v>
      </c>
      <c r="R592" s="17">
        <f>IFERROR(tblSales[[#This Row],[NetSalesTRY]]/tblSales[[#This Row],[TargetTRY]],0)</f>
        <v>0.98727755107732484</v>
      </c>
      <c r="S592" s="6">
        <f>tblSales[[#This Row],[NetSalesTRY]]-tblSales[[#This Row],[TargetTRY]]</f>
        <v>-1231.6800000000076</v>
      </c>
      <c r="T592" s="6">
        <f>MAX(tblSales[[#This Row],[TargetTRY]]-tblSales[[#This Row],[NetSalesTRY]],0)</f>
        <v>1231.6800000000076</v>
      </c>
    </row>
    <row r="593" spans="1:20">
      <c r="A593" t="s">
        <v>981</v>
      </c>
      <c r="B593" s="15">
        <v>45658</v>
      </c>
      <c r="C593" t="s">
        <v>21</v>
      </c>
      <c r="D593" t="s">
        <v>22</v>
      </c>
      <c r="E593" t="s">
        <v>43</v>
      </c>
      <c r="F593" t="s">
        <v>41</v>
      </c>
      <c r="G593" t="s">
        <v>14</v>
      </c>
      <c r="H593" s="8">
        <v>92</v>
      </c>
      <c r="I593" s="9">
        <v>99736.46</v>
      </c>
      <c r="J593" s="9">
        <v>6976.61</v>
      </c>
      <c r="K593" s="9">
        <v>826.38</v>
      </c>
      <c r="L593" s="9">
        <v>91933.46</v>
      </c>
      <c r="M593" s="9">
        <v>92649.26</v>
      </c>
      <c r="N593" s="6" t="str">
        <f>_xlfn.XLOOKUP(tblSales[[#This Row],[ProductID]],tblProducts[ProductID],tblProducts[ProductName],"Not Found")</f>
        <v>NeuroCalm</v>
      </c>
      <c r="O593" s="8">
        <f>YEAR(tblSales[[#This Row],[Month]])</f>
        <v>2025</v>
      </c>
      <c r="P593" s="8">
        <f>MONTH(tblSales[[#This Row],[Month]])</f>
        <v>1</v>
      </c>
      <c r="Q593" s="6">
        <f>IFERROR(tblSales[[#This Row],[NetSalesTRY]]/tblSales[[#This Row],[Units]],0)</f>
        <v>999.27673913043486</v>
      </c>
      <c r="R593" s="17">
        <f>IFERROR(tblSales[[#This Row],[NetSalesTRY]]/tblSales[[#This Row],[TargetTRY]],0)</f>
        <v>0.99227408831975572</v>
      </c>
      <c r="S593" s="6">
        <f>tblSales[[#This Row],[NetSalesTRY]]-tblSales[[#This Row],[TargetTRY]]</f>
        <v>-715.79999999998836</v>
      </c>
      <c r="T593" s="6">
        <f>MAX(tblSales[[#This Row],[TargetTRY]]-tblSales[[#This Row],[NetSalesTRY]],0)</f>
        <v>715.79999999998836</v>
      </c>
    </row>
    <row r="594" spans="1:20">
      <c r="A594" t="s">
        <v>982</v>
      </c>
      <c r="B594" s="15">
        <v>45658</v>
      </c>
      <c r="C594" t="s">
        <v>21</v>
      </c>
      <c r="D594" t="s">
        <v>22</v>
      </c>
      <c r="E594" t="s">
        <v>46</v>
      </c>
      <c r="F594" t="s">
        <v>44</v>
      </c>
      <c r="G594" t="s">
        <v>5</v>
      </c>
      <c r="H594" s="8">
        <v>86</v>
      </c>
      <c r="I594" s="9">
        <v>83040.97</v>
      </c>
      <c r="J594" s="9">
        <v>3978.74</v>
      </c>
      <c r="K594" s="9">
        <v>586.29</v>
      </c>
      <c r="L594" s="9">
        <v>78475.929999999993</v>
      </c>
      <c r="M594" s="9">
        <v>100336.01</v>
      </c>
      <c r="N594" s="6" t="str">
        <f>_xlfn.XLOOKUP(tblSales[[#This Row],[ProductID]],tblProducts[ProductID],tblProducts[ProductName],"Not Found")</f>
        <v>Cardiovan</v>
      </c>
      <c r="O594" s="8">
        <f>YEAR(tblSales[[#This Row],[Month]])</f>
        <v>2025</v>
      </c>
      <c r="P594" s="8">
        <f>MONTH(tblSales[[#This Row],[Month]])</f>
        <v>1</v>
      </c>
      <c r="Q594" s="6">
        <f>IFERROR(tblSales[[#This Row],[NetSalesTRY]]/tblSales[[#This Row],[Units]],0)</f>
        <v>912.51081395348831</v>
      </c>
      <c r="R594" s="17">
        <f>IFERROR(tblSales[[#This Row],[NetSalesTRY]]/tblSales[[#This Row],[TargetTRY]],0)</f>
        <v>0.78213126075075134</v>
      </c>
      <c r="S594" s="6">
        <f>tblSales[[#This Row],[NetSalesTRY]]-tblSales[[#This Row],[TargetTRY]]</f>
        <v>-21860.080000000002</v>
      </c>
      <c r="T594" s="6">
        <f>MAX(tblSales[[#This Row],[TargetTRY]]-tblSales[[#This Row],[NetSalesTRY]],0)</f>
        <v>21860.080000000002</v>
      </c>
    </row>
    <row r="595" spans="1:20">
      <c r="A595" t="s">
        <v>983</v>
      </c>
      <c r="B595" s="15">
        <v>45658</v>
      </c>
      <c r="C595" t="s">
        <v>21</v>
      </c>
      <c r="D595" t="s">
        <v>22</v>
      </c>
      <c r="E595" t="s">
        <v>46</v>
      </c>
      <c r="F595" t="s">
        <v>44</v>
      </c>
      <c r="G595" t="s">
        <v>8</v>
      </c>
      <c r="H595" s="8">
        <v>131</v>
      </c>
      <c r="I595" s="9">
        <v>99516.35</v>
      </c>
      <c r="J595" s="9">
        <v>3652.96</v>
      </c>
      <c r="K595" s="9">
        <v>669.93</v>
      </c>
      <c r="L595" s="9">
        <v>95193.45</v>
      </c>
      <c r="M595" s="9">
        <v>90946.52</v>
      </c>
      <c r="N595" s="6" t="str">
        <f>_xlfn.XLOOKUP(tblSales[[#This Row],[ProductID]],tblProducts[ProductID],tblProducts[ProductName],"Not Found")</f>
        <v>GlucoRelief</v>
      </c>
      <c r="O595" s="8">
        <f>YEAR(tblSales[[#This Row],[Month]])</f>
        <v>2025</v>
      </c>
      <c r="P595" s="8">
        <f>MONTH(tblSales[[#This Row],[Month]])</f>
        <v>1</v>
      </c>
      <c r="Q595" s="6">
        <f>IFERROR(tblSales[[#This Row],[NetSalesTRY]]/tblSales[[#This Row],[Units]],0)</f>
        <v>726.66755725190842</v>
      </c>
      <c r="R595" s="17">
        <f>IFERROR(tblSales[[#This Row],[NetSalesTRY]]/tblSales[[#This Row],[TargetTRY]],0)</f>
        <v>1.0466970039095502</v>
      </c>
      <c r="S595" s="6">
        <f>tblSales[[#This Row],[NetSalesTRY]]-tblSales[[#This Row],[TargetTRY]]</f>
        <v>4246.929999999993</v>
      </c>
      <c r="T595" s="6">
        <f>MAX(tblSales[[#This Row],[TargetTRY]]-tblSales[[#This Row],[NetSalesTRY]],0)</f>
        <v>0</v>
      </c>
    </row>
    <row r="596" spans="1:20">
      <c r="A596" t="s">
        <v>984</v>
      </c>
      <c r="B596" s="15">
        <v>45658</v>
      </c>
      <c r="C596" t="s">
        <v>21</v>
      </c>
      <c r="D596" t="s">
        <v>22</v>
      </c>
      <c r="E596" t="s">
        <v>46</v>
      </c>
      <c r="F596" t="s">
        <v>44</v>
      </c>
      <c r="G596" t="s">
        <v>11</v>
      </c>
      <c r="H596" s="8">
        <v>143</v>
      </c>
      <c r="I596" s="9">
        <v>88924.26</v>
      </c>
      <c r="J596" s="9">
        <v>4656.9399999999996</v>
      </c>
      <c r="K596" s="9">
        <v>793.17</v>
      </c>
      <c r="L596" s="9">
        <v>83474.149999999994</v>
      </c>
      <c r="M596" s="9">
        <v>84862.85</v>
      </c>
      <c r="N596" s="6" t="str">
        <f>_xlfn.XLOOKUP(tblSales[[#This Row],[ProductID]],tblProducts[ProductID],tblProducts[ProductName],"Not Found")</f>
        <v>RespiraX</v>
      </c>
      <c r="O596" s="8">
        <f>YEAR(tblSales[[#This Row],[Month]])</f>
        <v>2025</v>
      </c>
      <c r="P596" s="8">
        <f>MONTH(tblSales[[#This Row],[Month]])</f>
        <v>1</v>
      </c>
      <c r="Q596" s="6">
        <f>IFERROR(tblSales[[#This Row],[NetSalesTRY]]/tblSales[[#This Row],[Units]],0)</f>
        <v>583.73531468531462</v>
      </c>
      <c r="R596" s="17">
        <f>IFERROR(tblSales[[#This Row],[NetSalesTRY]]/tblSales[[#This Row],[TargetTRY]],0)</f>
        <v>0.983635949063695</v>
      </c>
      <c r="S596" s="6">
        <f>tblSales[[#This Row],[NetSalesTRY]]-tblSales[[#This Row],[TargetTRY]]</f>
        <v>-1388.7000000000116</v>
      </c>
      <c r="T596" s="6">
        <f>MAX(tblSales[[#This Row],[TargetTRY]]-tblSales[[#This Row],[NetSalesTRY]],0)</f>
        <v>1388.7000000000116</v>
      </c>
    </row>
    <row r="597" spans="1:20">
      <c r="A597" t="s">
        <v>985</v>
      </c>
      <c r="B597" s="15">
        <v>45658</v>
      </c>
      <c r="C597" t="s">
        <v>21</v>
      </c>
      <c r="D597" t="s">
        <v>22</v>
      </c>
      <c r="E597" t="s">
        <v>46</v>
      </c>
      <c r="F597" t="s">
        <v>44</v>
      </c>
      <c r="G597" t="s">
        <v>14</v>
      </c>
      <c r="H597" s="8">
        <v>79</v>
      </c>
      <c r="I597" s="9">
        <v>87716.81</v>
      </c>
      <c r="J597" s="9">
        <v>4048.62</v>
      </c>
      <c r="K597" s="9">
        <v>913.5</v>
      </c>
      <c r="L597" s="9">
        <v>82754.69</v>
      </c>
      <c r="M597" s="9">
        <v>81606.63</v>
      </c>
      <c r="N597" s="6" t="str">
        <f>_xlfn.XLOOKUP(tblSales[[#This Row],[ProductID]],tblProducts[ProductID],tblProducts[ProductName],"Not Found")</f>
        <v>NeuroCalm</v>
      </c>
      <c r="O597" s="8">
        <f>YEAR(tblSales[[#This Row],[Month]])</f>
        <v>2025</v>
      </c>
      <c r="P597" s="8">
        <f>MONTH(tblSales[[#This Row],[Month]])</f>
        <v>1</v>
      </c>
      <c r="Q597" s="6">
        <f>IFERROR(tblSales[[#This Row],[NetSalesTRY]]/tblSales[[#This Row],[Units]],0)</f>
        <v>1047.5277215189874</v>
      </c>
      <c r="R597" s="17">
        <f>IFERROR(tblSales[[#This Row],[NetSalesTRY]]/tblSales[[#This Row],[TargetTRY]],0)</f>
        <v>1.0140682197022473</v>
      </c>
      <c r="S597" s="6">
        <f>tblSales[[#This Row],[NetSalesTRY]]-tblSales[[#This Row],[TargetTRY]]</f>
        <v>1148.0599999999977</v>
      </c>
      <c r="T597" s="6">
        <f>MAX(tblSales[[#This Row],[TargetTRY]]-tblSales[[#This Row],[NetSalesTRY]],0)</f>
        <v>0</v>
      </c>
    </row>
    <row r="598" spans="1:20">
      <c r="A598" t="s">
        <v>986</v>
      </c>
      <c r="B598" s="15">
        <v>45658</v>
      </c>
      <c r="C598" t="s">
        <v>21</v>
      </c>
      <c r="D598" t="s">
        <v>22</v>
      </c>
      <c r="E598" t="s">
        <v>49</v>
      </c>
      <c r="F598" t="s">
        <v>47</v>
      </c>
      <c r="G598" t="s">
        <v>5</v>
      </c>
      <c r="H598" s="8">
        <v>98</v>
      </c>
      <c r="I598" s="9">
        <v>95850.72</v>
      </c>
      <c r="J598" s="9">
        <v>3861.69</v>
      </c>
      <c r="K598" s="9">
        <v>1217.01</v>
      </c>
      <c r="L598" s="9">
        <v>90772.02</v>
      </c>
      <c r="M598" s="9">
        <v>112925.23</v>
      </c>
      <c r="N598" s="6" t="str">
        <f>_xlfn.XLOOKUP(tblSales[[#This Row],[ProductID]],tblProducts[ProductID],tblProducts[ProductName],"Not Found")</f>
        <v>Cardiovan</v>
      </c>
      <c r="O598" s="8">
        <f>YEAR(tblSales[[#This Row],[Month]])</f>
        <v>2025</v>
      </c>
      <c r="P598" s="8">
        <f>MONTH(tblSales[[#This Row],[Month]])</f>
        <v>1</v>
      </c>
      <c r="Q598" s="6">
        <f>IFERROR(tblSales[[#This Row],[NetSalesTRY]]/tblSales[[#This Row],[Units]],0)</f>
        <v>926.24510204081639</v>
      </c>
      <c r="R598" s="17">
        <f>IFERROR(tblSales[[#This Row],[NetSalesTRY]]/tblSales[[#This Row],[TargetTRY]],0)</f>
        <v>0.80382408784998716</v>
      </c>
      <c r="S598" s="6">
        <f>tblSales[[#This Row],[NetSalesTRY]]-tblSales[[#This Row],[TargetTRY]]</f>
        <v>-22153.209999999992</v>
      </c>
      <c r="T598" s="6">
        <f>MAX(tblSales[[#This Row],[TargetTRY]]-tblSales[[#This Row],[NetSalesTRY]],0)</f>
        <v>22153.209999999992</v>
      </c>
    </row>
    <row r="599" spans="1:20">
      <c r="A599" t="s">
        <v>987</v>
      </c>
      <c r="B599" s="15">
        <v>45658</v>
      </c>
      <c r="C599" t="s">
        <v>21</v>
      </c>
      <c r="D599" t="s">
        <v>22</v>
      </c>
      <c r="E599" t="s">
        <v>49</v>
      </c>
      <c r="F599" t="s">
        <v>47</v>
      </c>
      <c r="G599" t="s">
        <v>8</v>
      </c>
      <c r="H599" s="8">
        <v>137</v>
      </c>
      <c r="I599" s="9">
        <v>102961.02</v>
      </c>
      <c r="J599" s="9">
        <v>4243.1899999999996</v>
      </c>
      <c r="K599" s="9">
        <v>1084.07</v>
      </c>
      <c r="L599" s="9">
        <v>97633.76</v>
      </c>
      <c r="M599" s="9">
        <v>101782.27</v>
      </c>
      <c r="N599" s="6" t="str">
        <f>_xlfn.XLOOKUP(tblSales[[#This Row],[ProductID]],tblProducts[ProductID],tblProducts[ProductName],"Not Found")</f>
        <v>GlucoRelief</v>
      </c>
      <c r="O599" s="8">
        <f>YEAR(tblSales[[#This Row],[Month]])</f>
        <v>2025</v>
      </c>
      <c r="P599" s="8">
        <f>MONTH(tblSales[[#This Row],[Month]])</f>
        <v>1</v>
      </c>
      <c r="Q599" s="6">
        <f>IFERROR(tblSales[[#This Row],[NetSalesTRY]]/tblSales[[#This Row],[Units]],0)</f>
        <v>712.65518248175181</v>
      </c>
      <c r="R599" s="17">
        <f>IFERROR(tblSales[[#This Row],[NetSalesTRY]]/tblSales[[#This Row],[TargetTRY]],0)</f>
        <v>0.95924132955572705</v>
      </c>
      <c r="S599" s="6">
        <f>tblSales[[#This Row],[NetSalesTRY]]-tblSales[[#This Row],[TargetTRY]]</f>
        <v>-4148.5100000000093</v>
      </c>
      <c r="T599" s="6">
        <f>MAX(tblSales[[#This Row],[TargetTRY]]-tblSales[[#This Row],[NetSalesTRY]],0)</f>
        <v>4148.5100000000093</v>
      </c>
    </row>
    <row r="600" spans="1:20">
      <c r="A600" t="s">
        <v>988</v>
      </c>
      <c r="B600" s="15">
        <v>45658</v>
      </c>
      <c r="C600" t="s">
        <v>21</v>
      </c>
      <c r="D600" t="s">
        <v>22</v>
      </c>
      <c r="E600" t="s">
        <v>49</v>
      </c>
      <c r="F600" t="s">
        <v>47</v>
      </c>
      <c r="G600" t="s">
        <v>11</v>
      </c>
      <c r="H600" s="8">
        <v>164</v>
      </c>
      <c r="I600" s="9">
        <v>102821.52</v>
      </c>
      <c r="J600" s="9">
        <v>5696.48</v>
      </c>
      <c r="K600" s="9">
        <v>558.96</v>
      </c>
      <c r="L600" s="9">
        <v>96566.080000000002</v>
      </c>
      <c r="M600" s="9">
        <v>95096.48</v>
      </c>
      <c r="N600" s="6" t="str">
        <f>_xlfn.XLOOKUP(tblSales[[#This Row],[ProductID]],tblProducts[ProductID],tblProducts[ProductName],"Not Found")</f>
        <v>RespiraX</v>
      </c>
      <c r="O600" s="8">
        <f>YEAR(tblSales[[#This Row],[Month]])</f>
        <v>2025</v>
      </c>
      <c r="P600" s="8">
        <f>MONTH(tblSales[[#This Row],[Month]])</f>
        <v>1</v>
      </c>
      <c r="Q600" s="6">
        <f>IFERROR(tblSales[[#This Row],[NetSalesTRY]]/tblSales[[#This Row],[Units]],0)</f>
        <v>588.81756097560981</v>
      </c>
      <c r="R600" s="17">
        <f>IFERROR(tblSales[[#This Row],[NetSalesTRY]]/tblSales[[#This Row],[TargetTRY]],0)</f>
        <v>1.0154537791514471</v>
      </c>
      <c r="S600" s="6">
        <f>tblSales[[#This Row],[NetSalesTRY]]-tblSales[[#This Row],[TargetTRY]]</f>
        <v>1469.6000000000058</v>
      </c>
      <c r="T600" s="6">
        <f>MAX(tblSales[[#This Row],[TargetTRY]]-tblSales[[#This Row],[NetSalesTRY]],0)</f>
        <v>0</v>
      </c>
    </row>
    <row r="601" spans="1:20">
      <c r="A601" t="s">
        <v>989</v>
      </c>
      <c r="B601" s="15">
        <v>45658</v>
      </c>
      <c r="C601" t="s">
        <v>21</v>
      </c>
      <c r="D601" t="s">
        <v>22</v>
      </c>
      <c r="E601" t="s">
        <v>49</v>
      </c>
      <c r="F601" t="s">
        <v>47</v>
      </c>
      <c r="G601" t="s">
        <v>14</v>
      </c>
      <c r="H601" s="8">
        <v>91</v>
      </c>
      <c r="I601" s="9">
        <v>101545.53</v>
      </c>
      <c r="J601" s="9">
        <v>5796.61</v>
      </c>
      <c r="K601" s="9">
        <v>1304.8900000000001</v>
      </c>
      <c r="L601" s="9">
        <v>94444.03</v>
      </c>
      <c r="M601" s="9">
        <v>93574.13</v>
      </c>
      <c r="N601" s="6" t="str">
        <f>_xlfn.XLOOKUP(tblSales[[#This Row],[ProductID]],tblProducts[ProductID],tblProducts[ProductName],"Not Found")</f>
        <v>NeuroCalm</v>
      </c>
      <c r="O601" s="8">
        <f>YEAR(tblSales[[#This Row],[Month]])</f>
        <v>2025</v>
      </c>
      <c r="P601" s="8">
        <f>MONTH(tblSales[[#This Row],[Month]])</f>
        <v>1</v>
      </c>
      <c r="Q601" s="6">
        <f>IFERROR(tblSales[[#This Row],[NetSalesTRY]]/tblSales[[#This Row],[Units]],0)</f>
        <v>1037.8464835164834</v>
      </c>
      <c r="R601" s="17">
        <f>IFERROR(tblSales[[#This Row],[NetSalesTRY]]/tblSales[[#This Row],[TargetTRY]],0)</f>
        <v>1.0092963728329614</v>
      </c>
      <c r="S601" s="6">
        <f>tblSales[[#This Row],[NetSalesTRY]]-tblSales[[#This Row],[TargetTRY]]</f>
        <v>869.89999999999418</v>
      </c>
      <c r="T601" s="6">
        <f>MAX(tblSales[[#This Row],[TargetTRY]]-tblSales[[#This Row],[NetSalesTRY]],0)</f>
        <v>0</v>
      </c>
    </row>
    <row r="602" spans="1:20">
      <c r="A602" t="s">
        <v>990</v>
      </c>
      <c r="B602" s="15">
        <v>45658</v>
      </c>
      <c r="C602" t="s">
        <v>23</v>
      </c>
      <c r="D602" t="s">
        <v>24</v>
      </c>
      <c r="E602" t="s">
        <v>52</v>
      </c>
      <c r="F602" t="s">
        <v>50</v>
      </c>
      <c r="G602" t="s">
        <v>5</v>
      </c>
      <c r="H602" s="8">
        <v>115</v>
      </c>
      <c r="I602" s="9">
        <v>113895.5</v>
      </c>
      <c r="J602" s="9">
        <v>8031.8</v>
      </c>
      <c r="K602" s="9">
        <v>736.35</v>
      </c>
      <c r="L602" s="9">
        <v>105127.35</v>
      </c>
      <c r="M602" s="9">
        <v>114213.81</v>
      </c>
      <c r="N602" s="6" t="str">
        <f>_xlfn.XLOOKUP(tblSales[[#This Row],[ProductID]],tblProducts[ProductID],tblProducts[ProductName],"Not Found")</f>
        <v>Cardiovan</v>
      </c>
      <c r="O602" s="8">
        <f>YEAR(tblSales[[#This Row],[Month]])</f>
        <v>2025</v>
      </c>
      <c r="P602" s="8">
        <f>MONTH(tblSales[[#This Row],[Month]])</f>
        <v>1</v>
      </c>
      <c r="Q602" s="6">
        <f>IFERROR(tblSales[[#This Row],[NetSalesTRY]]/tblSales[[#This Row],[Units]],0)</f>
        <v>914.15086956521748</v>
      </c>
      <c r="R602" s="17">
        <f>IFERROR(tblSales[[#This Row],[NetSalesTRY]]/tblSales[[#This Row],[TargetTRY]],0)</f>
        <v>0.92044342098385479</v>
      </c>
      <c r="S602" s="6">
        <f>tblSales[[#This Row],[NetSalesTRY]]-tblSales[[#This Row],[TargetTRY]]</f>
        <v>-9086.4599999999919</v>
      </c>
      <c r="T602" s="6">
        <f>MAX(tblSales[[#This Row],[TargetTRY]]-tblSales[[#This Row],[NetSalesTRY]],0)</f>
        <v>9086.4599999999919</v>
      </c>
    </row>
    <row r="603" spans="1:20">
      <c r="A603" t="s">
        <v>991</v>
      </c>
      <c r="B603" s="15">
        <v>45658</v>
      </c>
      <c r="C603" t="s">
        <v>23</v>
      </c>
      <c r="D603" t="s">
        <v>24</v>
      </c>
      <c r="E603" t="s">
        <v>52</v>
      </c>
      <c r="F603" t="s">
        <v>50</v>
      </c>
      <c r="G603" t="s">
        <v>8</v>
      </c>
      <c r="H603" s="8">
        <v>146</v>
      </c>
      <c r="I603" s="9">
        <v>111247.07</v>
      </c>
      <c r="J603" s="9">
        <v>8258.7999999999993</v>
      </c>
      <c r="K603" s="9">
        <v>1002.17</v>
      </c>
      <c r="L603" s="9">
        <v>101986.1</v>
      </c>
      <c r="M603" s="9">
        <v>101549.9</v>
      </c>
      <c r="N603" s="6" t="str">
        <f>_xlfn.XLOOKUP(tblSales[[#This Row],[ProductID]],tblProducts[ProductID],tblProducts[ProductName],"Not Found")</f>
        <v>GlucoRelief</v>
      </c>
      <c r="O603" s="8">
        <f>YEAR(tblSales[[#This Row],[Month]])</f>
        <v>2025</v>
      </c>
      <c r="P603" s="8">
        <f>MONTH(tblSales[[#This Row],[Month]])</f>
        <v>1</v>
      </c>
      <c r="Q603" s="6">
        <f>IFERROR(tblSales[[#This Row],[NetSalesTRY]]/tblSales[[#This Row],[Units]],0)</f>
        <v>698.53493150684938</v>
      </c>
      <c r="R603" s="17">
        <f>IFERROR(tblSales[[#This Row],[NetSalesTRY]]/tblSales[[#This Row],[TargetTRY]],0)</f>
        <v>1.0042954252047516</v>
      </c>
      <c r="S603" s="6">
        <f>tblSales[[#This Row],[NetSalesTRY]]-tblSales[[#This Row],[TargetTRY]]</f>
        <v>436.20000000001164</v>
      </c>
      <c r="T603" s="6">
        <f>MAX(tblSales[[#This Row],[TargetTRY]]-tblSales[[#This Row],[NetSalesTRY]],0)</f>
        <v>0</v>
      </c>
    </row>
    <row r="604" spans="1:20">
      <c r="A604" t="s">
        <v>992</v>
      </c>
      <c r="B604" s="15">
        <v>45658</v>
      </c>
      <c r="C604" t="s">
        <v>23</v>
      </c>
      <c r="D604" t="s">
        <v>24</v>
      </c>
      <c r="E604" t="s">
        <v>52</v>
      </c>
      <c r="F604" t="s">
        <v>50</v>
      </c>
      <c r="G604" t="s">
        <v>11</v>
      </c>
      <c r="H604" s="8">
        <v>161</v>
      </c>
      <c r="I604" s="9">
        <v>99107.75</v>
      </c>
      <c r="J604" s="9">
        <v>5584.69</v>
      </c>
      <c r="K604" s="9">
        <v>1069.6300000000001</v>
      </c>
      <c r="L604" s="9">
        <v>92453.43</v>
      </c>
      <c r="M604" s="9">
        <v>96848.8</v>
      </c>
      <c r="N604" s="6" t="str">
        <f>_xlfn.XLOOKUP(tblSales[[#This Row],[ProductID]],tblProducts[ProductID],tblProducts[ProductName],"Not Found")</f>
        <v>RespiraX</v>
      </c>
      <c r="O604" s="8">
        <f>YEAR(tblSales[[#This Row],[Month]])</f>
        <v>2025</v>
      </c>
      <c r="P604" s="8">
        <f>MONTH(tblSales[[#This Row],[Month]])</f>
        <v>1</v>
      </c>
      <c r="Q604" s="6">
        <f>IFERROR(tblSales[[#This Row],[NetSalesTRY]]/tblSales[[#This Row],[Units]],0)</f>
        <v>574.24490683229806</v>
      </c>
      <c r="R604" s="17">
        <f>IFERROR(tblSales[[#This Row],[NetSalesTRY]]/tblSales[[#This Row],[TargetTRY]],0)</f>
        <v>0.95461616457818776</v>
      </c>
      <c r="S604" s="6">
        <f>tblSales[[#This Row],[NetSalesTRY]]-tblSales[[#This Row],[TargetTRY]]</f>
        <v>-4395.3700000000099</v>
      </c>
      <c r="T604" s="6">
        <f>MAX(tblSales[[#This Row],[TargetTRY]]-tblSales[[#This Row],[NetSalesTRY]],0)</f>
        <v>4395.3700000000099</v>
      </c>
    </row>
    <row r="605" spans="1:20">
      <c r="A605" t="s">
        <v>993</v>
      </c>
      <c r="B605" s="15">
        <v>45658</v>
      </c>
      <c r="C605" t="s">
        <v>23</v>
      </c>
      <c r="D605" t="s">
        <v>24</v>
      </c>
      <c r="E605" t="s">
        <v>52</v>
      </c>
      <c r="F605" t="s">
        <v>50</v>
      </c>
      <c r="G605" t="s">
        <v>14</v>
      </c>
      <c r="H605" s="8">
        <v>94</v>
      </c>
      <c r="I605" s="9">
        <v>102620.47</v>
      </c>
      <c r="J605" s="9">
        <v>4237.45</v>
      </c>
      <c r="K605" s="9">
        <v>1012.79</v>
      </c>
      <c r="L605" s="9">
        <v>97370.23</v>
      </c>
      <c r="M605" s="9">
        <v>94573.32</v>
      </c>
      <c r="N605" s="6" t="str">
        <f>_xlfn.XLOOKUP(tblSales[[#This Row],[ProductID]],tblProducts[ProductID],tblProducts[ProductName],"Not Found")</f>
        <v>NeuroCalm</v>
      </c>
      <c r="O605" s="8">
        <f>YEAR(tblSales[[#This Row],[Month]])</f>
        <v>2025</v>
      </c>
      <c r="P605" s="8">
        <f>MONTH(tblSales[[#This Row],[Month]])</f>
        <v>1</v>
      </c>
      <c r="Q605" s="6">
        <f>IFERROR(tblSales[[#This Row],[NetSalesTRY]]/tblSales[[#This Row],[Units]],0)</f>
        <v>1035.8535106382978</v>
      </c>
      <c r="R605" s="17">
        <f>IFERROR(tblSales[[#This Row],[NetSalesTRY]]/tblSales[[#This Row],[TargetTRY]],0)</f>
        <v>1.0295739855595636</v>
      </c>
      <c r="S605" s="6">
        <f>tblSales[[#This Row],[NetSalesTRY]]-tblSales[[#This Row],[TargetTRY]]</f>
        <v>2796.9099999999889</v>
      </c>
      <c r="T605" s="6">
        <f>MAX(tblSales[[#This Row],[TargetTRY]]-tblSales[[#This Row],[NetSalesTRY]],0)</f>
        <v>0</v>
      </c>
    </row>
    <row r="606" spans="1:20">
      <c r="A606" t="s">
        <v>994</v>
      </c>
      <c r="B606" s="15">
        <v>45658</v>
      </c>
      <c r="C606" t="s">
        <v>23</v>
      </c>
      <c r="D606" t="s">
        <v>24</v>
      </c>
      <c r="E606" t="s">
        <v>55</v>
      </c>
      <c r="F606" t="s">
        <v>53</v>
      </c>
      <c r="G606" t="s">
        <v>5</v>
      </c>
      <c r="H606" s="8">
        <v>125</v>
      </c>
      <c r="I606" s="9">
        <v>122890.82</v>
      </c>
      <c r="J606" s="9">
        <v>4637.82</v>
      </c>
      <c r="K606" s="9">
        <v>693.33</v>
      </c>
      <c r="L606" s="9">
        <v>117559.67</v>
      </c>
      <c r="M606" s="9">
        <v>113786.28</v>
      </c>
      <c r="N606" s="6" t="str">
        <f>_xlfn.XLOOKUP(tblSales[[#This Row],[ProductID]],tblProducts[ProductID],tblProducts[ProductName],"Not Found")</f>
        <v>Cardiovan</v>
      </c>
      <c r="O606" s="8">
        <f>YEAR(tblSales[[#This Row],[Month]])</f>
        <v>2025</v>
      </c>
      <c r="P606" s="8">
        <f>MONTH(tblSales[[#This Row],[Month]])</f>
        <v>1</v>
      </c>
      <c r="Q606" s="6">
        <f>IFERROR(tblSales[[#This Row],[NetSalesTRY]]/tblSales[[#This Row],[Units]],0)</f>
        <v>940.47735999999998</v>
      </c>
      <c r="R606" s="17">
        <f>IFERROR(tblSales[[#This Row],[NetSalesTRY]]/tblSales[[#This Row],[TargetTRY]],0)</f>
        <v>1.0331620824584475</v>
      </c>
      <c r="S606" s="6">
        <f>tblSales[[#This Row],[NetSalesTRY]]-tblSales[[#This Row],[TargetTRY]]</f>
        <v>3773.3899999999994</v>
      </c>
      <c r="T606" s="6">
        <f>MAX(tblSales[[#This Row],[TargetTRY]]-tblSales[[#This Row],[NetSalesTRY]],0)</f>
        <v>0</v>
      </c>
    </row>
    <row r="607" spans="1:20">
      <c r="A607" t="s">
        <v>995</v>
      </c>
      <c r="B607" s="15">
        <v>45658</v>
      </c>
      <c r="C607" t="s">
        <v>23</v>
      </c>
      <c r="D607" t="s">
        <v>24</v>
      </c>
      <c r="E607" t="s">
        <v>55</v>
      </c>
      <c r="F607" t="s">
        <v>53</v>
      </c>
      <c r="G607" t="s">
        <v>8</v>
      </c>
      <c r="H607" s="8">
        <v>141</v>
      </c>
      <c r="I607" s="9">
        <v>106327.7</v>
      </c>
      <c r="J607" s="9">
        <v>7452.07</v>
      </c>
      <c r="K607" s="9">
        <v>1252.51</v>
      </c>
      <c r="L607" s="9">
        <v>97623.12</v>
      </c>
      <c r="M607" s="9">
        <v>101920.37</v>
      </c>
      <c r="N607" s="6" t="str">
        <f>_xlfn.XLOOKUP(tblSales[[#This Row],[ProductID]],tblProducts[ProductID],tblProducts[ProductName],"Not Found")</f>
        <v>GlucoRelief</v>
      </c>
      <c r="O607" s="8">
        <f>YEAR(tblSales[[#This Row],[Month]])</f>
        <v>2025</v>
      </c>
      <c r="P607" s="8">
        <f>MONTH(tblSales[[#This Row],[Month]])</f>
        <v>1</v>
      </c>
      <c r="Q607" s="6">
        <f>IFERROR(tblSales[[#This Row],[NetSalesTRY]]/tblSales[[#This Row],[Units]],0)</f>
        <v>692.36255319148938</v>
      </c>
      <c r="R607" s="17">
        <f>IFERROR(tblSales[[#This Row],[NetSalesTRY]]/tblSales[[#This Row],[TargetTRY]],0)</f>
        <v>0.95783718210599123</v>
      </c>
      <c r="S607" s="6">
        <f>tblSales[[#This Row],[NetSalesTRY]]-tblSales[[#This Row],[TargetTRY]]</f>
        <v>-4297.25</v>
      </c>
      <c r="T607" s="6">
        <f>MAX(tblSales[[#This Row],[TargetTRY]]-tblSales[[#This Row],[NetSalesTRY]],0)</f>
        <v>4297.25</v>
      </c>
    </row>
    <row r="608" spans="1:20">
      <c r="A608" t="s">
        <v>996</v>
      </c>
      <c r="B608" s="15">
        <v>45658</v>
      </c>
      <c r="C608" t="s">
        <v>23</v>
      </c>
      <c r="D608" t="s">
        <v>24</v>
      </c>
      <c r="E608" t="s">
        <v>55</v>
      </c>
      <c r="F608" t="s">
        <v>53</v>
      </c>
      <c r="G608" t="s">
        <v>11</v>
      </c>
      <c r="H608" s="8">
        <v>158</v>
      </c>
      <c r="I608" s="9">
        <v>97091.09</v>
      </c>
      <c r="J608" s="9">
        <v>5627.84</v>
      </c>
      <c r="K608" s="9">
        <v>584.36</v>
      </c>
      <c r="L608" s="9">
        <v>90878.88</v>
      </c>
      <c r="M608" s="9">
        <v>98432.82</v>
      </c>
      <c r="N608" s="6" t="str">
        <f>_xlfn.XLOOKUP(tblSales[[#This Row],[ProductID]],tblProducts[ProductID],tblProducts[ProductName],"Not Found")</f>
        <v>RespiraX</v>
      </c>
      <c r="O608" s="8">
        <f>YEAR(tblSales[[#This Row],[Month]])</f>
        <v>2025</v>
      </c>
      <c r="P608" s="8">
        <f>MONTH(tblSales[[#This Row],[Month]])</f>
        <v>1</v>
      </c>
      <c r="Q608" s="6">
        <f>IFERROR(tblSales[[#This Row],[NetSalesTRY]]/tblSales[[#This Row],[Units]],0)</f>
        <v>575.18278481012658</v>
      </c>
      <c r="R608" s="17">
        <f>IFERROR(tblSales[[#This Row],[NetSalesTRY]]/tblSales[[#This Row],[TargetTRY]],0)</f>
        <v>0.92325791336670027</v>
      </c>
      <c r="S608" s="6">
        <f>tblSales[[#This Row],[NetSalesTRY]]-tblSales[[#This Row],[TargetTRY]]</f>
        <v>-7553.9400000000023</v>
      </c>
      <c r="T608" s="6">
        <f>MAX(tblSales[[#This Row],[TargetTRY]]-tblSales[[#This Row],[NetSalesTRY]],0)</f>
        <v>7553.9400000000023</v>
      </c>
    </row>
    <row r="609" spans="1:20">
      <c r="A609" t="s">
        <v>997</v>
      </c>
      <c r="B609" s="15">
        <v>45658</v>
      </c>
      <c r="C609" t="s">
        <v>23</v>
      </c>
      <c r="D609" t="s">
        <v>24</v>
      </c>
      <c r="E609" t="s">
        <v>55</v>
      </c>
      <c r="F609" t="s">
        <v>53</v>
      </c>
      <c r="G609" t="s">
        <v>14</v>
      </c>
      <c r="H609" s="8">
        <v>88</v>
      </c>
      <c r="I609" s="9">
        <v>95678.03</v>
      </c>
      <c r="J609" s="9">
        <v>4738.2</v>
      </c>
      <c r="K609" s="9">
        <v>708.68</v>
      </c>
      <c r="L609" s="9">
        <v>90231.15</v>
      </c>
      <c r="M609" s="9">
        <v>95025.03</v>
      </c>
      <c r="N609" s="6" t="str">
        <f>_xlfn.XLOOKUP(tblSales[[#This Row],[ProductID]],tblProducts[ProductID],tblProducts[ProductName],"Not Found")</f>
        <v>NeuroCalm</v>
      </c>
      <c r="O609" s="8">
        <f>YEAR(tblSales[[#This Row],[Month]])</f>
        <v>2025</v>
      </c>
      <c r="P609" s="8">
        <f>MONTH(tblSales[[#This Row],[Month]])</f>
        <v>1</v>
      </c>
      <c r="Q609" s="6">
        <f>IFERROR(tblSales[[#This Row],[NetSalesTRY]]/tblSales[[#This Row],[Units]],0)</f>
        <v>1025.3539772727272</v>
      </c>
      <c r="R609" s="17">
        <f>IFERROR(tblSales[[#This Row],[NetSalesTRY]]/tblSales[[#This Row],[TargetTRY]],0)</f>
        <v>0.94955139714241599</v>
      </c>
      <c r="S609" s="6">
        <f>tblSales[[#This Row],[NetSalesTRY]]-tblSales[[#This Row],[TargetTRY]]</f>
        <v>-4793.8800000000047</v>
      </c>
      <c r="T609" s="6">
        <f>MAX(tblSales[[#This Row],[TargetTRY]]-tblSales[[#This Row],[NetSalesTRY]],0)</f>
        <v>4793.8800000000047</v>
      </c>
    </row>
    <row r="610" spans="1:20">
      <c r="A610" t="s">
        <v>998</v>
      </c>
      <c r="B610" s="15">
        <v>45658</v>
      </c>
      <c r="C610" t="s">
        <v>23</v>
      </c>
      <c r="D610" t="s">
        <v>24</v>
      </c>
      <c r="E610" t="s">
        <v>58</v>
      </c>
      <c r="F610" t="s">
        <v>56</v>
      </c>
      <c r="G610" t="s">
        <v>5</v>
      </c>
      <c r="H610" s="8">
        <v>123</v>
      </c>
      <c r="I610" s="9">
        <v>120540.5</v>
      </c>
      <c r="J610" s="9">
        <v>7467.23</v>
      </c>
      <c r="K610" s="9">
        <v>1544.39</v>
      </c>
      <c r="L610" s="9">
        <v>111528.88</v>
      </c>
      <c r="M610" s="9">
        <v>117516.35</v>
      </c>
      <c r="N610" s="6" t="str">
        <f>_xlfn.XLOOKUP(tblSales[[#This Row],[ProductID]],tblProducts[ProductID],tblProducts[ProductName],"Not Found")</f>
        <v>Cardiovan</v>
      </c>
      <c r="O610" s="8">
        <f>YEAR(tblSales[[#This Row],[Month]])</f>
        <v>2025</v>
      </c>
      <c r="P610" s="8">
        <f>MONTH(tblSales[[#This Row],[Month]])</f>
        <v>1</v>
      </c>
      <c r="Q610" s="6">
        <f>IFERROR(tblSales[[#This Row],[NetSalesTRY]]/tblSales[[#This Row],[Units]],0)</f>
        <v>906.7388617886179</v>
      </c>
      <c r="R610" s="17">
        <f>IFERROR(tblSales[[#This Row],[NetSalesTRY]]/tblSales[[#This Row],[TargetTRY]],0)</f>
        <v>0.9490498981631067</v>
      </c>
      <c r="S610" s="6">
        <f>tblSales[[#This Row],[NetSalesTRY]]-tblSales[[#This Row],[TargetTRY]]</f>
        <v>-5987.4700000000012</v>
      </c>
      <c r="T610" s="6">
        <f>MAX(tblSales[[#This Row],[TargetTRY]]-tblSales[[#This Row],[NetSalesTRY]],0)</f>
        <v>5987.4700000000012</v>
      </c>
    </row>
    <row r="611" spans="1:20">
      <c r="A611" t="s">
        <v>999</v>
      </c>
      <c r="B611" s="15">
        <v>45658</v>
      </c>
      <c r="C611" t="s">
        <v>23</v>
      </c>
      <c r="D611" t="s">
        <v>24</v>
      </c>
      <c r="E611" t="s">
        <v>58</v>
      </c>
      <c r="F611" t="s">
        <v>56</v>
      </c>
      <c r="G611" t="s">
        <v>8</v>
      </c>
      <c r="H611" s="8">
        <v>152</v>
      </c>
      <c r="I611" s="9">
        <v>115388.7</v>
      </c>
      <c r="J611" s="9">
        <v>6187.58</v>
      </c>
      <c r="K611" s="9">
        <v>1335.94</v>
      </c>
      <c r="L611" s="9">
        <v>107865.18</v>
      </c>
      <c r="M611" s="9">
        <v>106361.21</v>
      </c>
      <c r="N611" s="6" t="str">
        <f>_xlfn.XLOOKUP(tblSales[[#This Row],[ProductID]],tblProducts[ProductID],tblProducts[ProductName],"Not Found")</f>
        <v>GlucoRelief</v>
      </c>
      <c r="O611" s="8">
        <f>YEAR(tblSales[[#This Row],[Month]])</f>
        <v>2025</v>
      </c>
      <c r="P611" s="8">
        <f>MONTH(tblSales[[#This Row],[Month]])</f>
        <v>1</v>
      </c>
      <c r="Q611" s="6">
        <f>IFERROR(tblSales[[#This Row],[NetSalesTRY]]/tblSales[[#This Row],[Units]],0)</f>
        <v>709.63934210526315</v>
      </c>
      <c r="R611" s="17">
        <f>IFERROR(tblSales[[#This Row],[NetSalesTRY]]/tblSales[[#This Row],[TargetTRY]],0)</f>
        <v>1.014140211454909</v>
      </c>
      <c r="S611" s="6">
        <f>tblSales[[#This Row],[NetSalesTRY]]-tblSales[[#This Row],[TargetTRY]]</f>
        <v>1503.9699999999866</v>
      </c>
      <c r="T611" s="6">
        <f>MAX(tblSales[[#This Row],[TargetTRY]]-tblSales[[#This Row],[NetSalesTRY]],0)</f>
        <v>0</v>
      </c>
    </row>
    <row r="612" spans="1:20">
      <c r="A612" t="s">
        <v>1000</v>
      </c>
      <c r="B612" s="15">
        <v>45658</v>
      </c>
      <c r="C612" t="s">
        <v>23</v>
      </c>
      <c r="D612" t="s">
        <v>24</v>
      </c>
      <c r="E612" t="s">
        <v>58</v>
      </c>
      <c r="F612" t="s">
        <v>56</v>
      </c>
      <c r="G612" t="s">
        <v>11</v>
      </c>
      <c r="H612" s="8">
        <v>175</v>
      </c>
      <c r="I612" s="9">
        <v>108332.62</v>
      </c>
      <c r="J612" s="9">
        <v>4863.1499999999996</v>
      </c>
      <c r="K612" s="9">
        <v>1103.0899999999999</v>
      </c>
      <c r="L612" s="9">
        <v>102366.38</v>
      </c>
      <c r="M612" s="9">
        <v>99081.11</v>
      </c>
      <c r="N612" s="6" t="str">
        <f>_xlfn.XLOOKUP(tblSales[[#This Row],[ProductID]],tblProducts[ProductID],tblProducts[ProductName],"Not Found")</f>
        <v>RespiraX</v>
      </c>
      <c r="O612" s="8">
        <f>YEAR(tblSales[[#This Row],[Month]])</f>
        <v>2025</v>
      </c>
      <c r="P612" s="8">
        <f>MONTH(tblSales[[#This Row],[Month]])</f>
        <v>1</v>
      </c>
      <c r="Q612" s="6">
        <f>IFERROR(tblSales[[#This Row],[NetSalesTRY]]/tblSales[[#This Row],[Units]],0)</f>
        <v>584.95074285714293</v>
      </c>
      <c r="R612" s="17">
        <f>IFERROR(tblSales[[#This Row],[NetSalesTRY]]/tblSales[[#This Row],[TargetTRY]],0)</f>
        <v>1.0331573798476823</v>
      </c>
      <c r="S612" s="6">
        <f>tblSales[[#This Row],[NetSalesTRY]]-tblSales[[#This Row],[TargetTRY]]</f>
        <v>3285.2700000000041</v>
      </c>
      <c r="T612" s="6">
        <f>MAX(tblSales[[#This Row],[TargetTRY]]-tblSales[[#This Row],[NetSalesTRY]],0)</f>
        <v>0</v>
      </c>
    </row>
    <row r="613" spans="1:20">
      <c r="A613" t="s">
        <v>1001</v>
      </c>
      <c r="B613" s="15">
        <v>45658</v>
      </c>
      <c r="C613" t="s">
        <v>23</v>
      </c>
      <c r="D613" t="s">
        <v>24</v>
      </c>
      <c r="E613" t="s">
        <v>58</v>
      </c>
      <c r="F613" t="s">
        <v>56</v>
      </c>
      <c r="G613" t="s">
        <v>14</v>
      </c>
      <c r="H613" s="8">
        <v>95</v>
      </c>
      <c r="I613" s="9">
        <v>103433.21</v>
      </c>
      <c r="J613" s="9">
        <v>5051.05</v>
      </c>
      <c r="K613" s="9">
        <v>1407.62</v>
      </c>
      <c r="L613" s="9">
        <v>96974.53</v>
      </c>
      <c r="M613" s="9">
        <v>97524.03</v>
      </c>
      <c r="N613" s="6" t="str">
        <f>_xlfn.XLOOKUP(tblSales[[#This Row],[ProductID]],tblProducts[ProductID],tblProducts[ProductName],"Not Found")</f>
        <v>NeuroCalm</v>
      </c>
      <c r="O613" s="8">
        <f>YEAR(tblSales[[#This Row],[Month]])</f>
        <v>2025</v>
      </c>
      <c r="P613" s="8">
        <f>MONTH(tblSales[[#This Row],[Month]])</f>
        <v>1</v>
      </c>
      <c r="Q613" s="6">
        <f>IFERROR(tblSales[[#This Row],[NetSalesTRY]]/tblSales[[#This Row],[Units]],0)</f>
        <v>1020.7845263157894</v>
      </c>
      <c r="R613" s="17">
        <f>IFERROR(tblSales[[#This Row],[NetSalesTRY]]/tblSales[[#This Row],[TargetTRY]],0)</f>
        <v>0.99436549125379659</v>
      </c>
      <c r="S613" s="6">
        <f>tblSales[[#This Row],[NetSalesTRY]]-tblSales[[#This Row],[TargetTRY]]</f>
        <v>-549.5</v>
      </c>
      <c r="T613" s="6">
        <f>MAX(tblSales[[#This Row],[TargetTRY]]-tblSales[[#This Row],[NetSalesTRY]],0)</f>
        <v>549.5</v>
      </c>
    </row>
    <row r="614" spans="1:20">
      <c r="A614" t="s">
        <v>1002</v>
      </c>
      <c r="B614" s="15">
        <v>45658</v>
      </c>
      <c r="C614" t="s">
        <v>25</v>
      </c>
      <c r="D614" t="s">
        <v>26</v>
      </c>
      <c r="E614" t="s">
        <v>61</v>
      </c>
      <c r="F614" t="s">
        <v>59</v>
      </c>
      <c r="G614" t="s">
        <v>5</v>
      </c>
      <c r="H614" s="8">
        <v>99</v>
      </c>
      <c r="I614" s="9">
        <v>96527.49</v>
      </c>
      <c r="J614" s="9">
        <v>5806.43</v>
      </c>
      <c r="K614" s="9">
        <v>1050.8</v>
      </c>
      <c r="L614" s="9">
        <v>89670.26</v>
      </c>
      <c r="M614" s="9">
        <v>92694.3</v>
      </c>
      <c r="N614" s="6" t="str">
        <f>_xlfn.XLOOKUP(tblSales[[#This Row],[ProductID]],tblProducts[ProductID],tblProducts[ProductName],"Not Found")</f>
        <v>Cardiovan</v>
      </c>
      <c r="O614" s="8">
        <f>YEAR(tblSales[[#This Row],[Month]])</f>
        <v>2025</v>
      </c>
      <c r="P614" s="8">
        <f>MONTH(tblSales[[#This Row],[Month]])</f>
        <v>1</v>
      </c>
      <c r="Q614" s="6">
        <f>IFERROR(tblSales[[#This Row],[NetSalesTRY]]/tblSales[[#This Row],[Units]],0)</f>
        <v>905.76020202020197</v>
      </c>
      <c r="R614" s="17">
        <f>IFERROR(tblSales[[#This Row],[NetSalesTRY]]/tblSales[[#This Row],[TargetTRY]],0)</f>
        <v>0.96737620328326546</v>
      </c>
      <c r="S614" s="6">
        <f>tblSales[[#This Row],[NetSalesTRY]]-tblSales[[#This Row],[TargetTRY]]</f>
        <v>-3024.0400000000081</v>
      </c>
      <c r="T614" s="6">
        <f>MAX(tblSales[[#This Row],[TargetTRY]]-tblSales[[#This Row],[NetSalesTRY]],0)</f>
        <v>3024.0400000000081</v>
      </c>
    </row>
    <row r="615" spans="1:20">
      <c r="A615" t="s">
        <v>1003</v>
      </c>
      <c r="B615" s="15">
        <v>45658</v>
      </c>
      <c r="C615" t="s">
        <v>25</v>
      </c>
      <c r="D615" t="s">
        <v>26</v>
      </c>
      <c r="E615" t="s">
        <v>61</v>
      </c>
      <c r="F615" t="s">
        <v>59</v>
      </c>
      <c r="G615" t="s">
        <v>8</v>
      </c>
      <c r="H615" s="8">
        <v>118</v>
      </c>
      <c r="I615" s="9">
        <v>89758.63</v>
      </c>
      <c r="J615" s="9">
        <v>4137.78</v>
      </c>
      <c r="K615" s="9">
        <v>1114.8499999999999</v>
      </c>
      <c r="L615" s="9">
        <v>84506</v>
      </c>
      <c r="M615" s="9">
        <v>83845</v>
      </c>
      <c r="N615" s="6" t="str">
        <f>_xlfn.XLOOKUP(tblSales[[#This Row],[ProductID]],tblProducts[ProductID],tblProducts[ProductName],"Not Found")</f>
        <v>GlucoRelief</v>
      </c>
      <c r="O615" s="8">
        <f>YEAR(tblSales[[#This Row],[Month]])</f>
        <v>2025</v>
      </c>
      <c r="P615" s="8">
        <f>MONTH(tblSales[[#This Row],[Month]])</f>
        <v>1</v>
      </c>
      <c r="Q615" s="6">
        <f>IFERROR(tblSales[[#This Row],[NetSalesTRY]]/tblSales[[#This Row],[Units]],0)</f>
        <v>716.15254237288138</v>
      </c>
      <c r="R615" s="17">
        <f>IFERROR(tblSales[[#This Row],[NetSalesTRY]]/tblSales[[#This Row],[TargetTRY]],0)</f>
        <v>1.0078835947283677</v>
      </c>
      <c r="S615" s="6">
        <f>tblSales[[#This Row],[NetSalesTRY]]-tblSales[[#This Row],[TargetTRY]]</f>
        <v>661</v>
      </c>
      <c r="T615" s="6">
        <f>MAX(tblSales[[#This Row],[TargetTRY]]-tblSales[[#This Row],[NetSalesTRY]],0)</f>
        <v>0</v>
      </c>
    </row>
    <row r="616" spans="1:20">
      <c r="A616" t="s">
        <v>1004</v>
      </c>
      <c r="B616" s="15">
        <v>45658</v>
      </c>
      <c r="C616" t="s">
        <v>25</v>
      </c>
      <c r="D616" t="s">
        <v>26</v>
      </c>
      <c r="E616" t="s">
        <v>61</v>
      </c>
      <c r="F616" t="s">
        <v>59</v>
      </c>
      <c r="G616" t="s">
        <v>11</v>
      </c>
      <c r="H616" s="8">
        <v>135</v>
      </c>
      <c r="I616" s="9">
        <v>84844.66</v>
      </c>
      <c r="J616" s="9">
        <v>4296.1000000000004</v>
      </c>
      <c r="K616" s="9">
        <v>367.76</v>
      </c>
      <c r="L616" s="9">
        <v>80180.800000000003</v>
      </c>
      <c r="M616" s="9">
        <v>77180.429999999993</v>
      </c>
      <c r="N616" s="6" t="str">
        <f>_xlfn.XLOOKUP(tblSales[[#This Row],[ProductID]],tblProducts[ProductID],tblProducts[ProductName],"Not Found")</f>
        <v>RespiraX</v>
      </c>
      <c r="O616" s="8">
        <f>YEAR(tblSales[[#This Row],[Month]])</f>
        <v>2025</v>
      </c>
      <c r="P616" s="8">
        <f>MONTH(tblSales[[#This Row],[Month]])</f>
        <v>1</v>
      </c>
      <c r="Q616" s="6">
        <f>IFERROR(tblSales[[#This Row],[NetSalesTRY]]/tblSales[[#This Row],[Units]],0)</f>
        <v>593.93185185185189</v>
      </c>
      <c r="R616" s="17">
        <f>IFERROR(tblSales[[#This Row],[NetSalesTRY]]/tblSales[[#This Row],[TargetTRY]],0)</f>
        <v>1.0388747510217293</v>
      </c>
      <c r="S616" s="6">
        <f>tblSales[[#This Row],[NetSalesTRY]]-tblSales[[#This Row],[TargetTRY]]</f>
        <v>3000.3700000000099</v>
      </c>
      <c r="T616" s="6">
        <f>MAX(tblSales[[#This Row],[TargetTRY]]-tblSales[[#This Row],[NetSalesTRY]],0)</f>
        <v>0</v>
      </c>
    </row>
    <row r="617" spans="1:20">
      <c r="A617" t="s">
        <v>1005</v>
      </c>
      <c r="B617" s="15">
        <v>45658</v>
      </c>
      <c r="C617" t="s">
        <v>25</v>
      </c>
      <c r="D617" t="s">
        <v>26</v>
      </c>
      <c r="E617" t="s">
        <v>61</v>
      </c>
      <c r="F617" t="s">
        <v>59</v>
      </c>
      <c r="G617" t="s">
        <v>14</v>
      </c>
      <c r="H617" s="8">
        <v>69</v>
      </c>
      <c r="I617" s="9">
        <v>75565.64</v>
      </c>
      <c r="J617" s="9">
        <v>4525.38</v>
      </c>
      <c r="K617" s="9">
        <v>358.89</v>
      </c>
      <c r="L617" s="9">
        <v>70681.37</v>
      </c>
      <c r="M617" s="9">
        <v>74828.100000000006</v>
      </c>
      <c r="N617" s="6" t="str">
        <f>_xlfn.XLOOKUP(tblSales[[#This Row],[ProductID]],tblProducts[ProductID],tblProducts[ProductName],"Not Found")</f>
        <v>NeuroCalm</v>
      </c>
      <c r="O617" s="8">
        <f>YEAR(tblSales[[#This Row],[Month]])</f>
        <v>2025</v>
      </c>
      <c r="P617" s="8">
        <f>MONTH(tblSales[[#This Row],[Month]])</f>
        <v>1</v>
      </c>
      <c r="Q617" s="6">
        <f>IFERROR(tblSales[[#This Row],[NetSalesTRY]]/tblSales[[#This Row],[Units]],0)</f>
        <v>1024.3676811594203</v>
      </c>
      <c r="R617" s="17">
        <f>IFERROR(tblSales[[#This Row],[NetSalesTRY]]/tblSales[[#This Row],[TargetTRY]],0)</f>
        <v>0.94458325147905653</v>
      </c>
      <c r="S617" s="6">
        <f>tblSales[[#This Row],[NetSalesTRY]]-tblSales[[#This Row],[TargetTRY]]</f>
        <v>-4146.7300000000105</v>
      </c>
      <c r="T617" s="6">
        <f>MAX(tblSales[[#This Row],[TargetTRY]]-tblSales[[#This Row],[NetSalesTRY]],0)</f>
        <v>4146.7300000000105</v>
      </c>
    </row>
    <row r="618" spans="1:20">
      <c r="A618" t="s">
        <v>1006</v>
      </c>
      <c r="B618" s="15">
        <v>45658</v>
      </c>
      <c r="C618" t="s">
        <v>25</v>
      </c>
      <c r="D618" t="s">
        <v>26</v>
      </c>
      <c r="E618" t="s">
        <v>64</v>
      </c>
      <c r="F618" t="s">
        <v>62</v>
      </c>
      <c r="G618" t="s">
        <v>5</v>
      </c>
      <c r="H618" s="8">
        <v>92</v>
      </c>
      <c r="I618" s="9">
        <v>90720.960000000006</v>
      </c>
      <c r="J618" s="9">
        <v>6450.43</v>
      </c>
      <c r="K618" s="9">
        <v>538.55999999999995</v>
      </c>
      <c r="L618" s="9">
        <v>83731.97</v>
      </c>
      <c r="M618" s="9">
        <v>91132.74</v>
      </c>
      <c r="N618" s="6" t="str">
        <f>_xlfn.XLOOKUP(tblSales[[#This Row],[ProductID]],tblProducts[ProductID],tblProducts[ProductName],"Not Found")</f>
        <v>Cardiovan</v>
      </c>
      <c r="O618" s="8">
        <f>YEAR(tblSales[[#This Row],[Month]])</f>
        <v>2025</v>
      </c>
      <c r="P618" s="8">
        <f>MONTH(tblSales[[#This Row],[Month]])</f>
        <v>1</v>
      </c>
      <c r="Q618" s="6">
        <f>IFERROR(tblSales[[#This Row],[NetSalesTRY]]/tblSales[[#This Row],[Units]],0)</f>
        <v>910.13010869565221</v>
      </c>
      <c r="R618" s="17">
        <f>IFERROR(tblSales[[#This Row],[NetSalesTRY]]/tblSales[[#This Row],[TargetTRY]],0)</f>
        <v>0.91879131473496789</v>
      </c>
      <c r="S618" s="6">
        <f>tblSales[[#This Row],[NetSalesTRY]]-tblSales[[#This Row],[TargetTRY]]</f>
        <v>-7400.7700000000041</v>
      </c>
      <c r="T618" s="6">
        <f>MAX(tblSales[[#This Row],[TargetTRY]]-tblSales[[#This Row],[NetSalesTRY]],0)</f>
        <v>7400.7700000000041</v>
      </c>
    </row>
    <row r="619" spans="1:20">
      <c r="A619" t="s">
        <v>1007</v>
      </c>
      <c r="B619" s="15">
        <v>45658</v>
      </c>
      <c r="C619" t="s">
        <v>25</v>
      </c>
      <c r="D619" t="s">
        <v>26</v>
      </c>
      <c r="E619" t="s">
        <v>64</v>
      </c>
      <c r="F619" t="s">
        <v>62</v>
      </c>
      <c r="G619" t="s">
        <v>8</v>
      </c>
      <c r="H619" s="8">
        <v>117</v>
      </c>
      <c r="I619" s="9">
        <v>89379.75</v>
      </c>
      <c r="J619" s="9">
        <v>6507.62</v>
      </c>
      <c r="K619" s="9">
        <v>1091.0999999999999</v>
      </c>
      <c r="L619" s="9">
        <v>81781.03</v>
      </c>
      <c r="M619" s="9">
        <v>83646.740000000005</v>
      </c>
      <c r="N619" s="6" t="str">
        <f>_xlfn.XLOOKUP(tblSales[[#This Row],[ProductID]],tblProducts[ProductID],tblProducts[ProductName],"Not Found")</f>
        <v>GlucoRelief</v>
      </c>
      <c r="O619" s="8">
        <f>YEAR(tblSales[[#This Row],[Month]])</f>
        <v>2025</v>
      </c>
      <c r="P619" s="8">
        <f>MONTH(tblSales[[#This Row],[Month]])</f>
        <v>1</v>
      </c>
      <c r="Q619" s="6">
        <f>IFERROR(tblSales[[#This Row],[NetSalesTRY]]/tblSales[[#This Row],[Units]],0)</f>
        <v>698.98316239316239</v>
      </c>
      <c r="R619" s="17">
        <f>IFERROR(tblSales[[#This Row],[NetSalesTRY]]/tblSales[[#This Row],[TargetTRY]],0)</f>
        <v>0.97769536505547006</v>
      </c>
      <c r="S619" s="6">
        <f>tblSales[[#This Row],[NetSalesTRY]]-tblSales[[#This Row],[TargetTRY]]</f>
        <v>-1865.7100000000064</v>
      </c>
      <c r="T619" s="6">
        <f>MAX(tblSales[[#This Row],[TargetTRY]]-tblSales[[#This Row],[NetSalesTRY]],0)</f>
        <v>1865.7100000000064</v>
      </c>
    </row>
    <row r="620" spans="1:20">
      <c r="A620" t="s">
        <v>1008</v>
      </c>
      <c r="B620" s="15">
        <v>45658</v>
      </c>
      <c r="C620" t="s">
        <v>25</v>
      </c>
      <c r="D620" t="s">
        <v>26</v>
      </c>
      <c r="E620" t="s">
        <v>64</v>
      </c>
      <c r="F620" t="s">
        <v>62</v>
      </c>
      <c r="G620" t="s">
        <v>11</v>
      </c>
      <c r="H620" s="8">
        <v>127</v>
      </c>
      <c r="I620" s="9">
        <v>79861.63</v>
      </c>
      <c r="J620" s="9">
        <v>5688.05</v>
      </c>
      <c r="K620" s="9">
        <v>925.44</v>
      </c>
      <c r="L620" s="9">
        <v>73248.14</v>
      </c>
      <c r="M620" s="9">
        <v>78048.149999999994</v>
      </c>
      <c r="N620" s="6" t="str">
        <f>_xlfn.XLOOKUP(tblSales[[#This Row],[ProductID]],tblProducts[ProductID],tblProducts[ProductName],"Not Found")</f>
        <v>RespiraX</v>
      </c>
      <c r="O620" s="8">
        <f>YEAR(tblSales[[#This Row],[Month]])</f>
        <v>2025</v>
      </c>
      <c r="P620" s="8">
        <f>MONTH(tblSales[[#This Row],[Month]])</f>
        <v>1</v>
      </c>
      <c r="Q620" s="6">
        <f>IFERROR(tblSales[[#This Row],[NetSalesTRY]]/tblSales[[#This Row],[Units]],0)</f>
        <v>576.7570078740157</v>
      </c>
      <c r="R620" s="17">
        <f>IFERROR(tblSales[[#This Row],[NetSalesTRY]]/tblSales[[#This Row],[TargetTRY]],0)</f>
        <v>0.93849937506526426</v>
      </c>
      <c r="S620" s="6">
        <f>tblSales[[#This Row],[NetSalesTRY]]-tblSales[[#This Row],[TargetTRY]]</f>
        <v>-4800.0099999999948</v>
      </c>
      <c r="T620" s="6">
        <f>MAX(tblSales[[#This Row],[TargetTRY]]-tblSales[[#This Row],[NetSalesTRY]],0)</f>
        <v>4800.0099999999948</v>
      </c>
    </row>
    <row r="621" spans="1:20">
      <c r="A621" t="s">
        <v>1009</v>
      </c>
      <c r="B621" s="15">
        <v>45658</v>
      </c>
      <c r="C621" t="s">
        <v>25</v>
      </c>
      <c r="D621" t="s">
        <v>26</v>
      </c>
      <c r="E621" t="s">
        <v>64</v>
      </c>
      <c r="F621" t="s">
        <v>62</v>
      </c>
      <c r="G621" t="s">
        <v>14</v>
      </c>
      <c r="H621" s="8">
        <v>71</v>
      </c>
      <c r="I621" s="9">
        <v>76936.62</v>
      </c>
      <c r="J621" s="9">
        <v>5697.63</v>
      </c>
      <c r="K621" s="9">
        <v>789.85</v>
      </c>
      <c r="L621" s="9">
        <v>70449.14</v>
      </c>
      <c r="M621" s="9">
        <v>74517.210000000006</v>
      </c>
      <c r="N621" s="6" t="str">
        <f>_xlfn.XLOOKUP(tblSales[[#This Row],[ProductID]],tblProducts[ProductID],tblProducts[ProductName],"Not Found")</f>
        <v>NeuroCalm</v>
      </c>
      <c r="O621" s="8">
        <f>YEAR(tblSales[[#This Row],[Month]])</f>
        <v>2025</v>
      </c>
      <c r="P621" s="8">
        <f>MONTH(tblSales[[#This Row],[Month]])</f>
        <v>1</v>
      </c>
      <c r="Q621" s="6">
        <f>IFERROR(tblSales[[#This Row],[NetSalesTRY]]/tblSales[[#This Row],[Units]],0)</f>
        <v>992.24140845070417</v>
      </c>
      <c r="R621" s="17">
        <f>IFERROR(tblSales[[#This Row],[NetSalesTRY]]/tblSales[[#This Row],[TargetTRY]],0)</f>
        <v>0.9454076447574995</v>
      </c>
      <c r="S621" s="6">
        <f>tblSales[[#This Row],[NetSalesTRY]]-tblSales[[#This Row],[TargetTRY]]</f>
        <v>-4068.070000000007</v>
      </c>
      <c r="T621" s="6">
        <f>MAX(tblSales[[#This Row],[TargetTRY]]-tblSales[[#This Row],[NetSalesTRY]],0)</f>
        <v>4068.070000000007</v>
      </c>
    </row>
    <row r="622" spans="1:20">
      <c r="A622" t="s">
        <v>1010</v>
      </c>
      <c r="B622" s="15">
        <v>45658</v>
      </c>
      <c r="C622" t="s">
        <v>25</v>
      </c>
      <c r="D622" t="s">
        <v>26</v>
      </c>
      <c r="E622" t="s">
        <v>67</v>
      </c>
      <c r="F622" t="s">
        <v>65</v>
      </c>
      <c r="G622" t="s">
        <v>5</v>
      </c>
      <c r="H622" s="8">
        <v>108</v>
      </c>
      <c r="I622" s="9">
        <v>104345.62</v>
      </c>
      <c r="J622" s="9">
        <v>6712.77</v>
      </c>
      <c r="K622" s="9">
        <v>515.66</v>
      </c>
      <c r="L622" s="9">
        <v>97117.18</v>
      </c>
      <c r="M622" s="9">
        <v>104950.96</v>
      </c>
      <c r="N622" s="6" t="str">
        <f>_xlfn.XLOOKUP(tblSales[[#This Row],[ProductID]],tblProducts[ProductID],tblProducts[ProductName],"Not Found")</f>
        <v>Cardiovan</v>
      </c>
      <c r="O622" s="8">
        <f>YEAR(tblSales[[#This Row],[Month]])</f>
        <v>2025</v>
      </c>
      <c r="P622" s="8">
        <f>MONTH(tblSales[[#This Row],[Month]])</f>
        <v>1</v>
      </c>
      <c r="Q622" s="6">
        <f>IFERROR(tblSales[[#This Row],[NetSalesTRY]]/tblSales[[#This Row],[Units]],0)</f>
        <v>899.23314814814808</v>
      </c>
      <c r="R622" s="17">
        <f>IFERROR(tblSales[[#This Row],[NetSalesTRY]]/tblSales[[#This Row],[TargetTRY]],0)</f>
        <v>0.92535770992471134</v>
      </c>
      <c r="S622" s="6">
        <f>tblSales[[#This Row],[NetSalesTRY]]-tblSales[[#This Row],[TargetTRY]]</f>
        <v>-7833.7800000000134</v>
      </c>
      <c r="T622" s="6">
        <f>MAX(tblSales[[#This Row],[TargetTRY]]-tblSales[[#This Row],[NetSalesTRY]],0)</f>
        <v>7833.7800000000134</v>
      </c>
    </row>
    <row r="623" spans="1:20">
      <c r="A623" t="s">
        <v>1011</v>
      </c>
      <c r="B623" s="15">
        <v>45658</v>
      </c>
      <c r="C623" t="s">
        <v>25</v>
      </c>
      <c r="D623" t="s">
        <v>26</v>
      </c>
      <c r="E623" t="s">
        <v>67</v>
      </c>
      <c r="F623" t="s">
        <v>65</v>
      </c>
      <c r="G623" t="s">
        <v>8</v>
      </c>
      <c r="H623" s="8">
        <v>127</v>
      </c>
      <c r="I623" s="9">
        <v>96392.31</v>
      </c>
      <c r="J623" s="9">
        <v>5906.3</v>
      </c>
      <c r="K623" s="9">
        <v>908.89</v>
      </c>
      <c r="L623" s="9">
        <v>89577.12</v>
      </c>
      <c r="M623" s="9">
        <v>93264.08</v>
      </c>
      <c r="N623" s="6" t="str">
        <f>_xlfn.XLOOKUP(tblSales[[#This Row],[ProductID]],tblProducts[ProductID],tblProducts[ProductName],"Not Found")</f>
        <v>GlucoRelief</v>
      </c>
      <c r="O623" s="8">
        <f>YEAR(tblSales[[#This Row],[Month]])</f>
        <v>2025</v>
      </c>
      <c r="P623" s="8">
        <f>MONTH(tblSales[[#This Row],[Month]])</f>
        <v>1</v>
      </c>
      <c r="Q623" s="6">
        <f>IFERROR(tblSales[[#This Row],[NetSalesTRY]]/tblSales[[#This Row],[Units]],0)</f>
        <v>705.33165354330708</v>
      </c>
      <c r="R623" s="17">
        <f>IFERROR(tblSales[[#This Row],[NetSalesTRY]]/tblSales[[#This Row],[TargetTRY]],0)</f>
        <v>0.96046752404569902</v>
      </c>
      <c r="S623" s="6">
        <f>tblSales[[#This Row],[NetSalesTRY]]-tblSales[[#This Row],[TargetTRY]]</f>
        <v>-3686.9600000000064</v>
      </c>
      <c r="T623" s="6">
        <f>MAX(tblSales[[#This Row],[TargetTRY]]-tblSales[[#This Row],[NetSalesTRY]],0)</f>
        <v>3686.9600000000064</v>
      </c>
    </row>
    <row r="624" spans="1:20">
      <c r="A624" t="s">
        <v>1012</v>
      </c>
      <c r="B624" s="15">
        <v>45658</v>
      </c>
      <c r="C624" t="s">
        <v>25</v>
      </c>
      <c r="D624" t="s">
        <v>26</v>
      </c>
      <c r="E624" t="s">
        <v>67</v>
      </c>
      <c r="F624" t="s">
        <v>65</v>
      </c>
      <c r="G624" t="s">
        <v>11</v>
      </c>
      <c r="H624" s="8">
        <v>149</v>
      </c>
      <c r="I624" s="9">
        <v>92255.78</v>
      </c>
      <c r="J624" s="9">
        <v>4268.78</v>
      </c>
      <c r="K624" s="9">
        <v>563.45000000000005</v>
      </c>
      <c r="L624" s="9">
        <v>87423.55</v>
      </c>
      <c r="M624" s="9">
        <v>88546.81</v>
      </c>
      <c r="N624" s="6" t="str">
        <f>_xlfn.XLOOKUP(tblSales[[#This Row],[ProductID]],tblProducts[ProductID],tblProducts[ProductName],"Not Found")</f>
        <v>RespiraX</v>
      </c>
      <c r="O624" s="8">
        <f>YEAR(tblSales[[#This Row],[Month]])</f>
        <v>2025</v>
      </c>
      <c r="P624" s="8">
        <f>MONTH(tblSales[[#This Row],[Month]])</f>
        <v>1</v>
      </c>
      <c r="Q624" s="6">
        <f>IFERROR(tblSales[[#This Row],[NetSalesTRY]]/tblSales[[#This Row],[Units]],0)</f>
        <v>586.73523489932893</v>
      </c>
      <c r="R624" s="17">
        <f>IFERROR(tblSales[[#This Row],[NetSalesTRY]]/tblSales[[#This Row],[TargetTRY]],0)</f>
        <v>0.98731450630463147</v>
      </c>
      <c r="S624" s="6">
        <f>tblSales[[#This Row],[NetSalesTRY]]-tblSales[[#This Row],[TargetTRY]]</f>
        <v>-1123.2599999999948</v>
      </c>
      <c r="T624" s="6">
        <f>MAX(tblSales[[#This Row],[TargetTRY]]-tblSales[[#This Row],[NetSalesTRY]],0)</f>
        <v>1123.2599999999948</v>
      </c>
    </row>
    <row r="625" spans="1:20">
      <c r="A625" t="s">
        <v>1013</v>
      </c>
      <c r="B625" s="15">
        <v>45658</v>
      </c>
      <c r="C625" t="s">
        <v>25</v>
      </c>
      <c r="D625" t="s">
        <v>26</v>
      </c>
      <c r="E625" t="s">
        <v>67</v>
      </c>
      <c r="F625" t="s">
        <v>65</v>
      </c>
      <c r="G625" t="s">
        <v>14</v>
      </c>
      <c r="H625" s="8">
        <v>84</v>
      </c>
      <c r="I625" s="9">
        <v>91925.37</v>
      </c>
      <c r="J625" s="9">
        <v>4203.62</v>
      </c>
      <c r="K625" s="9">
        <v>1179.93</v>
      </c>
      <c r="L625" s="9">
        <v>86541.83</v>
      </c>
      <c r="M625" s="9">
        <v>84878.82</v>
      </c>
      <c r="N625" s="6" t="str">
        <f>_xlfn.XLOOKUP(tblSales[[#This Row],[ProductID]],tblProducts[ProductID],tblProducts[ProductName],"Not Found")</f>
        <v>NeuroCalm</v>
      </c>
      <c r="O625" s="8">
        <f>YEAR(tblSales[[#This Row],[Month]])</f>
        <v>2025</v>
      </c>
      <c r="P625" s="8">
        <f>MONTH(tblSales[[#This Row],[Month]])</f>
        <v>1</v>
      </c>
      <c r="Q625" s="6">
        <f>IFERROR(tblSales[[#This Row],[NetSalesTRY]]/tblSales[[#This Row],[Units]],0)</f>
        <v>1030.2598809523811</v>
      </c>
      <c r="R625" s="17">
        <f>IFERROR(tblSales[[#This Row],[NetSalesTRY]]/tblSales[[#This Row],[TargetTRY]],0)</f>
        <v>1.0195927558842122</v>
      </c>
      <c r="S625" s="6">
        <f>tblSales[[#This Row],[NetSalesTRY]]-tblSales[[#This Row],[TargetTRY]]</f>
        <v>1663.0099999999948</v>
      </c>
      <c r="T625" s="6">
        <f>MAX(tblSales[[#This Row],[TargetTRY]]-tblSales[[#This Row],[NetSalesTRY]],0)</f>
        <v>0</v>
      </c>
    </row>
    <row r="626" spans="1:20">
      <c r="A626" t="s">
        <v>1014</v>
      </c>
      <c r="B626" s="15">
        <v>45689</v>
      </c>
      <c r="C626" t="s">
        <v>19</v>
      </c>
      <c r="D626" t="s">
        <v>20</v>
      </c>
      <c r="E626" t="s">
        <v>34</v>
      </c>
      <c r="F626" t="s">
        <v>32</v>
      </c>
      <c r="G626" t="s">
        <v>5</v>
      </c>
      <c r="H626" s="8">
        <v>152</v>
      </c>
      <c r="I626" s="9">
        <v>148902.87</v>
      </c>
      <c r="J626" s="9">
        <v>7527.88</v>
      </c>
      <c r="K626" s="9">
        <v>1578.53</v>
      </c>
      <c r="L626" s="9">
        <v>139796.46</v>
      </c>
      <c r="M626" s="9">
        <v>143577.56</v>
      </c>
      <c r="N626" s="6" t="str">
        <f>_xlfn.XLOOKUP(tblSales[[#This Row],[ProductID]],tblProducts[ProductID],tblProducts[ProductName],"Not Found")</f>
        <v>Cardiovan</v>
      </c>
      <c r="O626" s="8">
        <f>YEAR(tblSales[[#This Row],[Month]])</f>
        <v>2025</v>
      </c>
      <c r="P626" s="8">
        <f>MONTH(tblSales[[#This Row],[Month]])</f>
        <v>2</v>
      </c>
      <c r="Q626" s="6">
        <f>IFERROR(tblSales[[#This Row],[NetSalesTRY]]/tblSales[[#This Row],[Units]],0)</f>
        <v>919.71355263157886</v>
      </c>
      <c r="R626" s="17">
        <f>IFERROR(tblSales[[#This Row],[NetSalesTRY]]/tblSales[[#This Row],[TargetTRY]],0)</f>
        <v>0.97366510476985402</v>
      </c>
      <c r="S626" s="6">
        <f>tblSales[[#This Row],[NetSalesTRY]]-tblSales[[#This Row],[TargetTRY]]</f>
        <v>-3781.1000000000058</v>
      </c>
      <c r="T626" s="6">
        <f>MAX(tblSales[[#This Row],[TargetTRY]]-tblSales[[#This Row],[NetSalesTRY]],0)</f>
        <v>3781.1000000000058</v>
      </c>
    </row>
    <row r="627" spans="1:20">
      <c r="A627" t="s">
        <v>1015</v>
      </c>
      <c r="B627" s="15">
        <v>45689</v>
      </c>
      <c r="C627" t="s">
        <v>19</v>
      </c>
      <c r="D627" t="s">
        <v>20</v>
      </c>
      <c r="E627" t="s">
        <v>34</v>
      </c>
      <c r="F627" t="s">
        <v>32</v>
      </c>
      <c r="G627" t="s">
        <v>8</v>
      </c>
      <c r="H627" s="8">
        <v>176</v>
      </c>
      <c r="I627" s="9">
        <v>133755.89000000001</v>
      </c>
      <c r="J627" s="9">
        <v>5837.76</v>
      </c>
      <c r="K627" s="9">
        <v>1860.77</v>
      </c>
      <c r="L627" s="9">
        <v>126057.36</v>
      </c>
      <c r="M627" s="9">
        <v>129586.85</v>
      </c>
      <c r="N627" s="6" t="str">
        <f>_xlfn.XLOOKUP(tblSales[[#This Row],[ProductID]],tblProducts[ProductID],tblProducts[ProductName],"Not Found")</f>
        <v>GlucoRelief</v>
      </c>
      <c r="O627" s="8">
        <f>YEAR(tblSales[[#This Row],[Month]])</f>
        <v>2025</v>
      </c>
      <c r="P627" s="8">
        <f>MONTH(tblSales[[#This Row],[Month]])</f>
        <v>2</v>
      </c>
      <c r="Q627" s="6">
        <f>IFERROR(tblSales[[#This Row],[NetSalesTRY]]/tblSales[[#This Row],[Units]],0)</f>
        <v>716.23500000000001</v>
      </c>
      <c r="R627" s="17">
        <f>IFERROR(tblSales[[#This Row],[NetSalesTRY]]/tblSales[[#This Row],[TargetTRY]],0)</f>
        <v>0.97276351728589738</v>
      </c>
      <c r="S627" s="6">
        <f>tblSales[[#This Row],[NetSalesTRY]]-tblSales[[#This Row],[TargetTRY]]</f>
        <v>-3529.4900000000052</v>
      </c>
      <c r="T627" s="6">
        <f>MAX(tblSales[[#This Row],[TargetTRY]]-tblSales[[#This Row],[NetSalesTRY]],0)</f>
        <v>3529.4900000000052</v>
      </c>
    </row>
    <row r="628" spans="1:20">
      <c r="A628" t="s">
        <v>1016</v>
      </c>
      <c r="B628" s="15">
        <v>45689</v>
      </c>
      <c r="C628" t="s">
        <v>19</v>
      </c>
      <c r="D628" t="s">
        <v>20</v>
      </c>
      <c r="E628" t="s">
        <v>34</v>
      </c>
      <c r="F628" t="s">
        <v>32</v>
      </c>
      <c r="G628" t="s">
        <v>11</v>
      </c>
      <c r="H628" s="8">
        <v>215</v>
      </c>
      <c r="I628" s="9">
        <v>134476.91</v>
      </c>
      <c r="J628" s="9">
        <v>7239.39</v>
      </c>
      <c r="K628" s="9">
        <v>1507.77</v>
      </c>
      <c r="L628" s="9">
        <v>125729.75</v>
      </c>
      <c r="M628" s="9">
        <v>122082.13</v>
      </c>
      <c r="N628" s="6" t="str">
        <f>_xlfn.XLOOKUP(tblSales[[#This Row],[ProductID]],tblProducts[ProductID],tblProducts[ProductName],"Not Found")</f>
        <v>RespiraX</v>
      </c>
      <c r="O628" s="8">
        <f>YEAR(tblSales[[#This Row],[Month]])</f>
        <v>2025</v>
      </c>
      <c r="P628" s="8">
        <f>MONTH(tblSales[[#This Row],[Month]])</f>
        <v>2</v>
      </c>
      <c r="Q628" s="6">
        <f>IFERROR(tblSales[[#This Row],[NetSalesTRY]]/tblSales[[#This Row],[Units]],0)</f>
        <v>584.78953488372088</v>
      </c>
      <c r="R628" s="17">
        <f>IFERROR(tblSales[[#This Row],[NetSalesTRY]]/tblSales[[#This Row],[TargetTRY]],0)</f>
        <v>1.029878410542149</v>
      </c>
      <c r="S628" s="6">
        <f>tblSales[[#This Row],[NetSalesTRY]]-tblSales[[#This Row],[TargetTRY]]</f>
        <v>3647.6199999999953</v>
      </c>
      <c r="T628" s="6">
        <f>MAX(tblSales[[#This Row],[TargetTRY]]-tblSales[[#This Row],[NetSalesTRY]],0)</f>
        <v>0</v>
      </c>
    </row>
    <row r="629" spans="1:20">
      <c r="A629" t="s">
        <v>1017</v>
      </c>
      <c r="B629" s="15">
        <v>45689</v>
      </c>
      <c r="C629" t="s">
        <v>19</v>
      </c>
      <c r="D629" t="s">
        <v>20</v>
      </c>
      <c r="E629" t="s">
        <v>34</v>
      </c>
      <c r="F629" t="s">
        <v>32</v>
      </c>
      <c r="G629" t="s">
        <v>14</v>
      </c>
      <c r="H629" s="8">
        <v>118</v>
      </c>
      <c r="I629" s="9">
        <v>128452.43</v>
      </c>
      <c r="J629" s="9">
        <v>6476.89</v>
      </c>
      <c r="K629" s="9">
        <v>726.85</v>
      </c>
      <c r="L629" s="9">
        <v>121248.7</v>
      </c>
      <c r="M629" s="9">
        <v>117643.41</v>
      </c>
      <c r="N629" s="6" t="str">
        <f>_xlfn.XLOOKUP(tblSales[[#This Row],[ProductID]],tblProducts[ProductID],tblProducts[ProductName],"Not Found")</f>
        <v>NeuroCalm</v>
      </c>
      <c r="O629" s="8">
        <f>YEAR(tblSales[[#This Row],[Month]])</f>
        <v>2025</v>
      </c>
      <c r="P629" s="8">
        <f>MONTH(tblSales[[#This Row],[Month]])</f>
        <v>2</v>
      </c>
      <c r="Q629" s="6">
        <f>IFERROR(tblSales[[#This Row],[NetSalesTRY]]/tblSales[[#This Row],[Units]],0)</f>
        <v>1027.5313559322033</v>
      </c>
      <c r="R629" s="17">
        <f>IFERROR(tblSales[[#This Row],[NetSalesTRY]]/tblSales[[#This Row],[TargetTRY]],0)</f>
        <v>1.0306459154830687</v>
      </c>
      <c r="S629" s="6">
        <f>tblSales[[#This Row],[NetSalesTRY]]-tblSales[[#This Row],[TargetTRY]]</f>
        <v>3605.2899999999936</v>
      </c>
      <c r="T629" s="6">
        <f>MAX(tblSales[[#This Row],[TargetTRY]]-tblSales[[#This Row],[NetSalesTRY]],0)</f>
        <v>0</v>
      </c>
    </row>
    <row r="630" spans="1:20">
      <c r="A630" t="s">
        <v>1018</v>
      </c>
      <c r="B630" s="15">
        <v>45689</v>
      </c>
      <c r="C630" t="s">
        <v>19</v>
      </c>
      <c r="D630" t="s">
        <v>20</v>
      </c>
      <c r="E630" t="s">
        <v>37</v>
      </c>
      <c r="F630" t="s">
        <v>35</v>
      </c>
      <c r="G630" t="s">
        <v>5</v>
      </c>
      <c r="H630" s="8">
        <v>148</v>
      </c>
      <c r="I630" s="9">
        <v>143170.19</v>
      </c>
      <c r="J630" s="9">
        <v>8576.51</v>
      </c>
      <c r="K630" s="9">
        <v>1030.25</v>
      </c>
      <c r="L630" s="9">
        <v>133563.43</v>
      </c>
      <c r="M630" s="9">
        <v>147012.91</v>
      </c>
      <c r="N630" s="6" t="str">
        <f>_xlfn.XLOOKUP(tblSales[[#This Row],[ProductID]],tblProducts[ProductID],tblProducts[ProductName],"Not Found")</f>
        <v>Cardiovan</v>
      </c>
      <c r="O630" s="8">
        <f>YEAR(tblSales[[#This Row],[Month]])</f>
        <v>2025</v>
      </c>
      <c r="P630" s="8">
        <f>MONTH(tblSales[[#This Row],[Month]])</f>
        <v>2</v>
      </c>
      <c r="Q630" s="6">
        <f>IFERROR(tblSales[[#This Row],[NetSalesTRY]]/tblSales[[#This Row],[Units]],0)</f>
        <v>902.45560810810809</v>
      </c>
      <c r="R630" s="17">
        <f>IFERROR(tblSales[[#This Row],[NetSalesTRY]]/tblSales[[#This Row],[TargetTRY]],0)</f>
        <v>0.90851497327683661</v>
      </c>
      <c r="S630" s="6">
        <f>tblSales[[#This Row],[NetSalesTRY]]-tblSales[[#This Row],[TargetTRY]]</f>
        <v>-13449.48000000001</v>
      </c>
      <c r="T630" s="6">
        <f>MAX(tblSales[[#This Row],[TargetTRY]]-tblSales[[#This Row],[NetSalesTRY]],0)</f>
        <v>13449.48000000001</v>
      </c>
    </row>
    <row r="631" spans="1:20">
      <c r="A631" t="s">
        <v>1019</v>
      </c>
      <c r="B631" s="15">
        <v>45689</v>
      </c>
      <c r="C631" t="s">
        <v>19</v>
      </c>
      <c r="D631" t="s">
        <v>20</v>
      </c>
      <c r="E631" t="s">
        <v>37</v>
      </c>
      <c r="F631" t="s">
        <v>35</v>
      </c>
      <c r="G631" t="s">
        <v>8</v>
      </c>
      <c r="H631" s="8">
        <v>185</v>
      </c>
      <c r="I631" s="9">
        <v>140292.84</v>
      </c>
      <c r="J631" s="9">
        <v>8530.8700000000008</v>
      </c>
      <c r="K631" s="9">
        <v>1605.38</v>
      </c>
      <c r="L631" s="9">
        <v>130156.6</v>
      </c>
      <c r="M631" s="9">
        <v>129875.43</v>
      </c>
      <c r="N631" s="6" t="str">
        <f>_xlfn.XLOOKUP(tblSales[[#This Row],[ProductID]],tblProducts[ProductID],tblProducts[ProductName],"Not Found")</f>
        <v>GlucoRelief</v>
      </c>
      <c r="O631" s="8">
        <f>YEAR(tblSales[[#This Row],[Month]])</f>
        <v>2025</v>
      </c>
      <c r="P631" s="8">
        <f>MONTH(tblSales[[#This Row],[Month]])</f>
        <v>2</v>
      </c>
      <c r="Q631" s="6">
        <f>IFERROR(tblSales[[#This Row],[NetSalesTRY]]/tblSales[[#This Row],[Units]],0)</f>
        <v>703.54918918918918</v>
      </c>
      <c r="R631" s="17">
        <f>IFERROR(tblSales[[#This Row],[NetSalesTRY]]/tblSales[[#This Row],[TargetTRY]],0)</f>
        <v>1.0021649206474235</v>
      </c>
      <c r="S631" s="6">
        <f>tblSales[[#This Row],[NetSalesTRY]]-tblSales[[#This Row],[TargetTRY]]</f>
        <v>281.17000000001281</v>
      </c>
      <c r="T631" s="6">
        <f>MAX(tblSales[[#This Row],[TargetTRY]]-tblSales[[#This Row],[NetSalesTRY]],0)</f>
        <v>0</v>
      </c>
    </row>
    <row r="632" spans="1:20">
      <c r="A632" t="s">
        <v>1020</v>
      </c>
      <c r="B632" s="15">
        <v>45689</v>
      </c>
      <c r="C632" t="s">
        <v>19</v>
      </c>
      <c r="D632" t="s">
        <v>20</v>
      </c>
      <c r="E632" t="s">
        <v>37</v>
      </c>
      <c r="F632" t="s">
        <v>35</v>
      </c>
      <c r="G632" t="s">
        <v>11</v>
      </c>
      <c r="H632" s="8">
        <v>207</v>
      </c>
      <c r="I632" s="9">
        <v>127083.62</v>
      </c>
      <c r="J632" s="9">
        <v>5520.93</v>
      </c>
      <c r="K632" s="9">
        <v>1170.96</v>
      </c>
      <c r="L632" s="9">
        <v>120391.73</v>
      </c>
      <c r="M632" s="9">
        <v>123106.65</v>
      </c>
      <c r="N632" s="6" t="str">
        <f>_xlfn.XLOOKUP(tblSales[[#This Row],[ProductID]],tblProducts[ProductID],tblProducts[ProductName],"Not Found")</f>
        <v>RespiraX</v>
      </c>
      <c r="O632" s="8">
        <f>YEAR(tblSales[[#This Row],[Month]])</f>
        <v>2025</v>
      </c>
      <c r="P632" s="8">
        <f>MONTH(tblSales[[#This Row],[Month]])</f>
        <v>2</v>
      </c>
      <c r="Q632" s="6">
        <f>IFERROR(tblSales[[#This Row],[NetSalesTRY]]/tblSales[[#This Row],[Units]],0)</f>
        <v>581.60256038647344</v>
      </c>
      <c r="R632" s="17">
        <f>IFERROR(tblSales[[#This Row],[NetSalesTRY]]/tblSales[[#This Row],[TargetTRY]],0)</f>
        <v>0.977946601584886</v>
      </c>
      <c r="S632" s="6">
        <f>tblSales[[#This Row],[NetSalesTRY]]-tblSales[[#This Row],[TargetTRY]]</f>
        <v>-2714.9199999999983</v>
      </c>
      <c r="T632" s="6">
        <f>MAX(tblSales[[#This Row],[TargetTRY]]-tblSales[[#This Row],[NetSalesTRY]],0)</f>
        <v>2714.9199999999983</v>
      </c>
    </row>
    <row r="633" spans="1:20">
      <c r="A633" t="s">
        <v>1021</v>
      </c>
      <c r="B633" s="15">
        <v>45689</v>
      </c>
      <c r="C633" t="s">
        <v>19</v>
      </c>
      <c r="D633" t="s">
        <v>20</v>
      </c>
      <c r="E633" t="s">
        <v>37</v>
      </c>
      <c r="F633" t="s">
        <v>35</v>
      </c>
      <c r="G633" t="s">
        <v>14</v>
      </c>
      <c r="H633" s="8">
        <v>115</v>
      </c>
      <c r="I633" s="9">
        <v>127206.6</v>
      </c>
      <c r="J633" s="9">
        <v>7064.02</v>
      </c>
      <c r="K633" s="9">
        <v>1720.66</v>
      </c>
      <c r="L633" s="9">
        <v>118421.92</v>
      </c>
      <c r="M633" s="9">
        <v>119680.13</v>
      </c>
      <c r="N633" s="6" t="str">
        <f>_xlfn.XLOOKUP(tblSales[[#This Row],[ProductID]],tblProducts[ProductID],tblProducts[ProductName],"Not Found")</f>
        <v>NeuroCalm</v>
      </c>
      <c r="O633" s="8">
        <f>YEAR(tblSales[[#This Row],[Month]])</f>
        <v>2025</v>
      </c>
      <c r="P633" s="8">
        <f>MONTH(tblSales[[#This Row],[Month]])</f>
        <v>2</v>
      </c>
      <c r="Q633" s="6">
        <f>IFERROR(tblSales[[#This Row],[NetSalesTRY]]/tblSales[[#This Row],[Units]],0)</f>
        <v>1029.7558260869564</v>
      </c>
      <c r="R633" s="17">
        <f>IFERROR(tblSales[[#This Row],[NetSalesTRY]]/tblSales[[#This Row],[TargetTRY]],0)</f>
        <v>0.98948689310414351</v>
      </c>
      <c r="S633" s="6">
        <f>tblSales[[#This Row],[NetSalesTRY]]-tblSales[[#This Row],[TargetTRY]]</f>
        <v>-1258.2100000000064</v>
      </c>
      <c r="T633" s="6">
        <f>MAX(tblSales[[#This Row],[TargetTRY]]-tblSales[[#This Row],[NetSalesTRY]],0)</f>
        <v>1258.2100000000064</v>
      </c>
    </row>
    <row r="634" spans="1:20">
      <c r="A634" t="s">
        <v>1022</v>
      </c>
      <c r="B634" s="15">
        <v>45689</v>
      </c>
      <c r="C634" t="s">
        <v>19</v>
      </c>
      <c r="D634" t="s">
        <v>20</v>
      </c>
      <c r="E634" t="s">
        <v>40</v>
      </c>
      <c r="F634" t="s">
        <v>38</v>
      </c>
      <c r="G634" t="s">
        <v>5</v>
      </c>
      <c r="H634" s="8">
        <v>160</v>
      </c>
      <c r="I634" s="9">
        <v>156747.13</v>
      </c>
      <c r="J634" s="9">
        <v>10275.969999999999</v>
      </c>
      <c r="K634" s="9">
        <v>1426.66</v>
      </c>
      <c r="L634" s="9">
        <v>145044.51</v>
      </c>
      <c r="M634" s="9">
        <v>160918.39000000001</v>
      </c>
      <c r="N634" s="6" t="str">
        <f>_xlfn.XLOOKUP(tblSales[[#This Row],[ProductID]],tblProducts[ProductID],tblProducts[ProductName],"Not Found")</f>
        <v>Cardiovan</v>
      </c>
      <c r="O634" s="8">
        <f>YEAR(tblSales[[#This Row],[Month]])</f>
        <v>2025</v>
      </c>
      <c r="P634" s="8">
        <f>MONTH(tblSales[[#This Row],[Month]])</f>
        <v>2</v>
      </c>
      <c r="Q634" s="6">
        <f>IFERROR(tblSales[[#This Row],[NetSalesTRY]]/tblSales[[#This Row],[Units]],0)</f>
        <v>906.52818750000006</v>
      </c>
      <c r="R634" s="17">
        <f>IFERROR(tblSales[[#This Row],[NetSalesTRY]]/tblSales[[#This Row],[TargetTRY]],0)</f>
        <v>0.90135446918155215</v>
      </c>
      <c r="S634" s="6">
        <f>tblSales[[#This Row],[NetSalesTRY]]-tblSales[[#This Row],[TargetTRY]]</f>
        <v>-15873.880000000005</v>
      </c>
      <c r="T634" s="6">
        <f>MAX(tblSales[[#This Row],[TargetTRY]]-tblSales[[#This Row],[NetSalesTRY]],0)</f>
        <v>15873.880000000005</v>
      </c>
    </row>
    <row r="635" spans="1:20">
      <c r="A635" t="s">
        <v>1023</v>
      </c>
      <c r="B635" s="15">
        <v>45689</v>
      </c>
      <c r="C635" t="s">
        <v>19</v>
      </c>
      <c r="D635" t="s">
        <v>20</v>
      </c>
      <c r="E635" t="s">
        <v>40</v>
      </c>
      <c r="F635" t="s">
        <v>38</v>
      </c>
      <c r="G635" t="s">
        <v>8</v>
      </c>
      <c r="H635" s="8">
        <v>207</v>
      </c>
      <c r="I635" s="9">
        <v>156130.85999999999</v>
      </c>
      <c r="J635" s="9">
        <v>7087.73</v>
      </c>
      <c r="K635" s="9">
        <v>1659.24</v>
      </c>
      <c r="L635" s="9">
        <v>147383.9</v>
      </c>
      <c r="M635" s="9">
        <v>145874.59</v>
      </c>
      <c r="N635" s="6" t="str">
        <f>_xlfn.XLOOKUP(tblSales[[#This Row],[ProductID]],tblProducts[ProductID],tblProducts[ProductName],"Not Found")</f>
        <v>GlucoRelief</v>
      </c>
      <c r="O635" s="8">
        <f>YEAR(tblSales[[#This Row],[Month]])</f>
        <v>2025</v>
      </c>
      <c r="P635" s="8">
        <f>MONTH(tblSales[[#This Row],[Month]])</f>
        <v>2</v>
      </c>
      <c r="Q635" s="6">
        <f>IFERROR(tblSales[[#This Row],[NetSalesTRY]]/tblSales[[#This Row],[Units]],0)</f>
        <v>711.99951690821251</v>
      </c>
      <c r="R635" s="17">
        <f>IFERROR(tblSales[[#This Row],[NetSalesTRY]]/tblSales[[#This Row],[TargetTRY]],0)</f>
        <v>1.010346627195319</v>
      </c>
      <c r="S635" s="6">
        <f>tblSales[[#This Row],[NetSalesTRY]]-tblSales[[#This Row],[TargetTRY]]</f>
        <v>1509.3099999999977</v>
      </c>
      <c r="T635" s="6">
        <f>MAX(tblSales[[#This Row],[TargetTRY]]-tblSales[[#This Row],[NetSalesTRY]],0)</f>
        <v>0</v>
      </c>
    </row>
    <row r="636" spans="1:20">
      <c r="A636" t="s">
        <v>1024</v>
      </c>
      <c r="B636" s="15">
        <v>45689</v>
      </c>
      <c r="C636" t="s">
        <v>19</v>
      </c>
      <c r="D636" t="s">
        <v>20</v>
      </c>
      <c r="E636" t="s">
        <v>40</v>
      </c>
      <c r="F636" t="s">
        <v>38</v>
      </c>
      <c r="G636" t="s">
        <v>11</v>
      </c>
      <c r="H636" s="8">
        <v>238</v>
      </c>
      <c r="I636" s="9">
        <v>147982.10999999999</v>
      </c>
      <c r="J636" s="9">
        <v>9793.8799999999992</v>
      </c>
      <c r="K636" s="9">
        <v>1970.6</v>
      </c>
      <c r="L636" s="9">
        <v>136217.62</v>
      </c>
      <c r="M636" s="9">
        <v>134516.6</v>
      </c>
      <c r="N636" s="6" t="str">
        <f>_xlfn.XLOOKUP(tblSales[[#This Row],[ProductID]],tblProducts[ProductID],tblProducts[ProductName],"Not Found")</f>
        <v>RespiraX</v>
      </c>
      <c r="O636" s="8">
        <f>YEAR(tblSales[[#This Row],[Month]])</f>
        <v>2025</v>
      </c>
      <c r="P636" s="8">
        <f>MONTH(tblSales[[#This Row],[Month]])</f>
        <v>2</v>
      </c>
      <c r="Q636" s="6">
        <f>IFERROR(tblSales[[#This Row],[NetSalesTRY]]/tblSales[[#This Row],[Units]],0)</f>
        <v>572.34294117647062</v>
      </c>
      <c r="R636" s="17">
        <f>IFERROR(tblSales[[#This Row],[NetSalesTRY]]/tblSales[[#This Row],[TargetTRY]],0)</f>
        <v>1.0126454281479014</v>
      </c>
      <c r="S636" s="6">
        <f>tblSales[[#This Row],[NetSalesTRY]]-tblSales[[#This Row],[TargetTRY]]</f>
        <v>1701.0199999999895</v>
      </c>
      <c r="T636" s="6">
        <f>MAX(tblSales[[#This Row],[TargetTRY]]-tblSales[[#This Row],[NetSalesTRY]],0)</f>
        <v>0</v>
      </c>
    </row>
    <row r="637" spans="1:20">
      <c r="A637" t="s">
        <v>1025</v>
      </c>
      <c r="B637" s="15">
        <v>45689</v>
      </c>
      <c r="C637" t="s">
        <v>19</v>
      </c>
      <c r="D637" t="s">
        <v>20</v>
      </c>
      <c r="E637" t="s">
        <v>40</v>
      </c>
      <c r="F637" t="s">
        <v>38</v>
      </c>
      <c r="G637" t="s">
        <v>14</v>
      </c>
      <c r="H637" s="8">
        <v>120</v>
      </c>
      <c r="I637" s="9">
        <v>131112.85999999999</v>
      </c>
      <c r="J637" s="9">
        <v>7119.32</v>
      </c>
      <c r="K637" s="9">
        <v>1770.5</v>
      </c>
      <c r="L637" s="9">
        <v>122223.05</v>
      </c>
      <c r="M637" s="9">
        <v>131127.92000000001</v>
      </c>
      <c r="N637" s="6" t="str">
        <f>_xlfn.XLOOKUP(tblSales[[#This Row],[ProductID]],tblProducts[ProductID],tblProducts[ProductName],"Not Found")</f>
        <v>NeuroCalm</v>
      </c>
      <c r="O637" s="8">
        <f>YEAR(tblSales[[#This Row],[Month]])</f>
        <v>2025</v>
      </c>
      <c r="P637" s="8">
        <f>MONTH(tblSales[[#This Row],[Month]])</f>
        <v>2</v>
      </c>
      <c r="Q637" s="6">
        <f>IFERROR(tblSales[[#This Row],[NetSalesTRY]]/tblSales[[#This Row],[Units]],0)</f>
        <v>1018.5254166666667</v>
      </c>
      <c r="R637" s="17">
        <f>IFERROR(tblSales[[#This Row],[NetSalesTRY]]/tblSales[[#This Row],[TargetTRY]],0)</f>
        <v>0.93209020626575934</v>
      </c>
      <c r="S637" s="6">
        <f>tblSales[[#This Row],[NetSalesTRY]]-tblSales[[#This Row],[TargetTRY]]</f>
        <v>-8904.8700000000099</v>
      </c>
      <c r="T637" s="6">
        <f>MAX(tblSales[[#This Row],[TargetTRY]]-tblSales[[#This Row],[NetSalesTRY]],0)</f>
        <v>8904.8700000000099</v>
      </c>
    </row>
    <row r="638" spans="1:20">
      <c r="A638" t="s">
        <v>1026</v>
      </c>
      <c r="B638" s="15">
        <v>45689</v>
      </c>
      <c r="C638" t="s">
        <v>21</v>
      </c>
      <c r="D638" t="s">
        <v>22</v>
      </c>
      <c r="E638" t="s">
        <v>43</v>
      </c>
      <c r="F638" t="s">
        <v>41</v>
      </c>
      <c r="G638" t="s">
        <v>5</v>
      </c>
      <c r="H638" s="8">
        <v>107</v>
      </c>
      <c r="I638" s="9">
        <v>103964.01</v>
      </c>
      <c r="J638" s="9">
        <v>4768.71</v>
      </c>
      <c r="K638" s="9">
        <v>1052.46</v>
      </c>
      <c r="L638" s="9">
        <v>98142.84</v>
      </c>
      <c r="M638" s="9">
        <v>117960.49</v>
      </c>
      <c r="N638" s="6" t="str">
        <f>_xlfn.XLOOKUP(tblSales[[#This Row],[ProductID]],tblProducts[ProductID],tblProducts[ProductName],"Not Found")</f>
        <v>Cardiovan</v>
      </c>
      <c r="O638" s="8">
        <f>YEAR(tblSales[[#This Row],[Month]])</f>
        <v>2025</v>
      </c>
      <c r="P638" s="8">
        <f>MONTH(tblSales[[#This Row],[Month]])</f>
        <v>2</v>
      </c>
      <c r="Q638" s="6">
        <f>IFERROR(tblSales[[#This Row],[NetSalesTRY]]/tblSales[[#This Row],[Units]],0)</f>
        <v>917.22280373831768</v>
      </c>
      <c r="R638" s="17">
        <f>IFERROR(tblSales[[#This Row],[NetSalesTRY]]/tblSales[[#This Row],[TargetTRY]],0)</f>
        <v>0.83199756121731938</v>
      </c>
      <c r="S638" s="6">
        <f>tblSales[[#This Row],[NetSalesTRY]]-tblSales[[#This Row],[TargetTRY]]</f>
        <v>-19817.650000000009</v>
      </c>
      <c r="T638" s="6">
        <f>MAX(tblSales[[#This Row],[TargetTRY]]-tblSales[[#This Row],[NetSalesTRY]],0)</f>
        <v>19817.650000000009</v>
      </c>
    </row>
    <row r="639" spans="1:20">
      <c r="A639" t="s">
        <v>1027</v>
      </c>
      <c r="B639" s="15">
        <v>45689</v>
      </c>
      <c r="C639" t="s">
        <v>21</v>
      </c>
      <c r="D639" t="s">
        <v>22</v>
      </c>
      <c r="E639" t="s">
        <v>43</v>
      </c>
      <c r="F639" t="s">
        <v>41</v>
      </c>
      <c r="G639" t="s">
        <v>8</v>
      </c>
      <c r="H639" s="8">
        <v>142</v>
      </c>
      <c r="I639" s="9">
        <v>107429.35</v>
      </c>
      <c r="J639" s="9">
        <v>7920.15</v>
      </c>
      <c r="K639" s="9">
        <v>1087.67</v>
      </c>
      <c r="L639" s="9">
        <v>98421.53</v>
      </c>
      <c r="M639" s="9">
        <v>105433.31</v>
      </c>
      <c r="N639" s="6" t="str">
        <f>_xlfn.XLOOKUP(tblSales[[#This Row],[ProductID]],tblProducts[ProductID],tblProducts[ProductName],"Not Found")</f>
        <v>GlucoRelief</v>
      </c>
      <c r="O639" s="8">
        <f>YEAR(tblSales[[#This Row],[Month]])</f>
        <v>2025</v>
      </c>
      <c r="P639" s="8">
        <f>MONTH(tblSales[[#This Row],[Month]])</f>
        <v>2</v>
      </c>
      <c r="Q639" s="6">
        <f>IFERROR(tblSales[[#This Row],[NetSalesTRY]]/tblSales[[#This Row],[Units]],0)</f>
        <v>693.10936619718314</v>
      </c>
      <c r="R639" s="17">
        <f>IFERROR(tblSales[[#This Row],[NetSalesTRY]]/tblSales[[#This Row],[TargetTRY]],0)</f>
        <v>0.93349559071985888</v>
      </c>
      <c r="S639" s="6">
        <f>tblSales[[#This Row],[NetSalesTRY]]-tblSales[[#This Row],[TargetTRY]]</f>
        <v>-7011.7799999999988</v>
      </c>
      <c r="T639" s="6">
        <f>MAX(tblSales[[#This Row],[TargetTRY]]-tblSales[[#This Row],[NetSalesTRY]],0)</f>
        <v>7011.7799999999988</v>
      </c>
    </row>
    <row r="640" spans="1:20">
      <c r="A640" t="s">
        <v>1028</v>
      </c>
      <c r="B640" s="15">
        <v>45689</v>
      </c>
      <c r="C640" t="s">
        <v>21</v>
      </c>
      <c r="D640" t="s">
        <v>22</v>
      </c>
      <c r="E640" t="s">
        <v>43</v>
      </c>
      <c r="F640" t="s">
        <v>41</v>
      </c>
      <c r="G640" t="s">
        <v>11</v>
      </c>
      <c r="H640" s="8">
        <v>171</v>
      </c>
      <c r="I640" s="9">
        <v>106556.36</v>
      </c>
      <c r="J640" s="9">
        <v>7734.45</v>
      </c>
      <c r="K640" s="9">
        <v>1040.32</v>
      </c>
      <c r="L640" s="9">
        <v>97781.6</v>
      </c>
      <c r="M640" s="9">
        <v>97915.19</v>
      </c>
      <c r="N640" s="6" t="str">
        <f>_xlfn.XLOOKUP(tblSales[[#This Row],[ProductID]],tblProducts[ProductID],tblProducts[ProductName],"Not Found")</f>
        <v>RespiraX</v>
      </c>
      <c r="O640" s="8">
        <f>YEAR(tblSales[[#This Row],[Month]])</f>
        <v>2025</v>
      </c>
      <c r="P640" s="8">
        <f>MONTH(tblSales[[#This Row],[Month]])</f>
        <v>2</v>
      </c>
      <c r="Q640" s="6">
        <f>IFERROR(tblSales[[#This Row],[NetSalesTRY]]/tblSales[[#This Row],[Units]],0)</f>
        <v>571.82222222222231</v>
      </c>
      <c r="R640" s="17">
        <f>IFERROR(tblSales[[#This Row],[NetSalesTRY]]/tblSales[[#This Row],[TargetTRY]],0)</f>
        <v>0.99863565602027637</v>
      </c>
      <c r="S640" s="6">
        <f>tblSales[[#This Row],[NetSalesTRY]]-tblSales[[#This Row],[TargetTRY]]</f>
        <v>-133.58999999999651</v>
      </c>
      <c r="T640" s="6">
        <f>MAX(tblSales[[#This Row],[TargetTRY]]-tblSales[[#This Row],[NetSalesTRY]],0)</f>
        <v>133.58999999999651</v>
      </c>
    </row>
    <row r="641" spans="1:20">
      <c r="A641" t="s">
        <v>1029</v>
      </c>
      <c r="B641" s="15">
        <v>45689</v>
      </c>
      <c r="C641" t="s">
        <v>21</v>
      </c>
      <c r="D641" t="s">
        <v>22</v>
      </c>
      <c r="E641" t="s">
        <v>43</v>
      </c>
      <c r="F641" t="s">
        <v>41</v>
      </c>
      <c r="G641" t="s">
        <v>14</v>
      </c>
      <c r="H641" s="8">
        <v>88</v>
      </c>
      <c r="I641" s="9">
        <v>96471.69</v>
      </c>
      <c r="J641" s="9">
        <v>6221.79</v>
      </c>
      <c r="K641" s="9">
        <v>1331.36</v>
      </c>
      <c r="L641" s="9">
        <v>88918.54</v>
      </c>
      <c r="M641" s="9">
        <v>96222.37</v>
      </c>
      <c r="N641" s="6" t="str">
        <f>_xlfn.XLOOKUP(tblSales[[#This Row],[ProductID]],tblProducts[ProductID],tblProducts[ProductName],"Not Found")</f>
        <v>NeuroCalm</v>
      </c>
      <c r="O641" s="8">
        <f>YEAR(tblSales[[#This Row],[Month]])</f>
        <v>2025</v>
      </c>
      <c r="P641" s="8">
        <f>MONTH(tblSales[[#This Row],[Month]])</f>
        <v>2</v>
      </c>
      <c r="Q641" s="6">
        <f>IFERROR(tblSales[[#This Row],[NetSalesTRY]]/tblSales[[#This Row],[Units]],0)</f>
        <v>1010.4379545454544</v>
      </c>
      <c r="R641" s="17">
        <f>IFERROR(tblSales[[#This Row],[NetSalesTRY]]/tblSales[[#This Row],[TargetTRY]],0)</f>
        <v>0.9240942620723227</v>
      </c>
      <c r="S641" s="6">
        <f>tblSales[[#This Row],[NetSalesTRY]]-tblSales[[#This Row],[TargetTRY]]</f>
        <v>-7303.8300000000017</v>
      </c>
      <c r="T641" s="6">
        <f>MAX(tblSales[[#This Row],[TargetTRY]]-tblSales[[#This Row],[NetSalesTRY]],0)</f>
        <v>7303.8300000000017</v>
      </c>
    </row>
    <row r="642" spans="1:20">
      <c r="A642" t="s">
        <v>1030</v>
      </c>
      <c r="B642" s="15">
        <v>45689</v>
      </c>
      <c r="C642" t="s">
        <v>21</v>
      </c>
      <c r="D642" t="s">
        <v>22</v>
      </c>
      <c r="E642" t="s">
        <v>46</v>
      </c>
      <c r="F642" t="s">
        <v>44</v>
      </c>
      <c r="G642" t="s">
        <v>5</v>
      </c>
      <c r="H642" s="8">
        <v>86</v>
      </c>
      <c r="I642" s="9">
        <v>84138.52</v>
      </c>
      <c r="J642" s="9">
        <v>6073.19</v>
      </c>
      <c r="K642" s="9">
        <v>369.38</v>
      </c>
      <c r="L642" s="9">
        <v>77695.95</v>
      </c>
      <c r="M642" s="9">
        <v>102716.39</v>
      </c>
      <c r="N642" s="6" t="str">
        <f>_xlfn.XLOOKUP(tblSales[[#This Row],[ProductID]],tblProducts[ProductID],tblProducts[ProductName],"Not Found")</f>
        <v>Cardiovan</v>
      </c>
      <c r="O642" s="8">
        <f>YEAR(tblSales[[#This Row],[Month]])</f>
        <v>2025</v>
      </c>
      <c r="P642" s="8">
        <f>MONTH(tblSales[[#This Row],[Month]])</f>
        <v>2</v>
      </c>
      <c r="Q642" s="6">
        <f>IFERROR(tblSales[[#This Row],[NetSalesTRY]]/tblSales[[#This Row],[Units]],0)</f>
        <v>903.44127906976746</v>
      </c>
      <c r="R642" s="17">
        <f>IFERROR(tblSales[[#This Row],[NetSalesTRY]]/tblSales[[#This Row],[TargetTRY]],0)</f>
        <v>0.75641238949304967</v>
      </c>
      <c r="S642" s="6">
        <f>tblSales[[#This Row],[NetSalesTRY]]-tblSales[[#This Row],[TargetTRY]]</f>
        <v>-25020.440000000002</v>
      </c>
      <c r="T642" s="6">
        <f>MAX(tblSales[[#This Row],[TargetTRY]]-tblSales[[#This Row],[NetSalesTRY]],0)</f>
        <v>25020.440000000002</v>
      </c>
    </row>
    <row r="643" spans="1:20">
      <c r="A643" t="s">
        <v>1031</v>
      </c>
      <c r="B643" s="15">
        <v>45689</v>
      </c>
      <c r="C643" t="s">
        <v>21</v>
      </c>
      <c r="D643" t="s">
        <v>22</v>
      </c>
      <c r="E643" t="s">
        <v>46</v>
      </c>
      <c r="F643" t="s">
        <v>44</v>
      </c>
      <c r="G643" t="s">
        <v>8</v>
      </c>
      <c r="H643" s="8">
        <v>127</v>
      </c>
      <c r="I643" s="9">
        <v>97508.73</v>
      </c>
      <c r="J643" s="9">
        <v>4112.09</v>
      </c>
      <c r="K643" s="9">
        <v>575.80999999999995</v>
      </c>
      <c r="L643" s="9">
        <v>92820.83</v>
      </c>
      <c r="M643" s="9">
        <v>93152.05</v>
      </c>
      <c r="N643" s="6" t="str">
        <f>_xlfn.XLOOKUP(tblSales[[#This Row],[ProductID]],tblProducts[ProductID],tblProducts[ProductName],"Not Found")</f>
        <v>GlucoRelief</v>
      </c>
      <c r="O643" s="8">
        <f>YEAR(tblSales[[#This Row],[Month]])</f>
        <v>2025</v>
      </c>
      <c r="P643" s="8">
        <f>MONTH(tblSales[[#This Row],[Month]])</f>
        <v>2</v>
      </c>
      <c r="Q643" s="6">
        <f>IFERROR(tblSales[[#This Row],[NetSalesTRY]]/tblSales[[#This Row],[Units]],0)</f>
        <v>730.87267716535439</v>
      </c>
      <c r="R643" s="17">
        <f>IFERROR(tblSales[[#This Row],[NetSalesTRY]]/tblSales[[#This Row],[TargetTRY]],0)</f>
        <v>0.9964443079889278</v>
      </c>
      <c r="S643" s="6">
        <f>tblSales[[#This Row],[NetSalesTRY]]-tblSales[[#This Row],[TargetTRY]]</f>
        <v>-331.22000000000116</v>
      </c>
      <c r="T643" s="6">
        <f>MAX(tblSales[[#This Row],[TargetTRY]]-tblSales[[#This Row],[NetSalesTRY]],0)</f>
        <v>331.22000000000116</v>
      </c>
    </row>
    <row r="644" spans="1:20">
      <c r="A644" t="s">
        <v>1032</v>
      </c>
      <c r="B644" s="15">
        <v>45689</v>
      </c>
      <c r="C644" t="s">
        <v>21</v>
      </c>
      <c r="D644" t="s">
        <v>22</v>
      </c>
      <c r="E644" t="s">
        <v>46</v>
      </c>
      <c r="F644" t="s">
        <v>44</v>
      </c>
      <c r="G644" t="s">
        <v>11</v>
      </c>
      <c r="H644" s="8">
        <v>138</v>
      </c>
      <c r="I644" s="9">
        <v>84726.26</v>
      </c>
      <c r="J644" s="9">
        <v>6315.36</v>
      </c>
      <c r="K644" s="9">
        <v>658.67</v>
      </c>
      <c r="L644" s="9">
        <v>77752.240000000005</v>
      </c>
      <c r="M644" s="9">
        <v>87199.66</v>
      </c>
      <c r="N644" s="6" t="str">
        <f>_xlfn.XLOOKUP(tblSales[[#This Row],[ProductID]],tblProducts[ProductID],tblProducts[ProductName],"Not Found")</f>
        <v>RespiraX</v>
      </c>
      <c r="O644" s="8">
        <f>YEAR(tblSales[[#This Row],[Month]])</f>
        <v>2025</v>
      </c>
      <c r="P644" s="8">
        <f>MONTH(tblSales[[#This Row],[Month]])</f>
        <v>2</v>
      </c>
      <c r="Q644" s="6">
        <f>IFERROR(tblSales[[#This Row],[NetSalesTRY]]/tblSales[[#This Row],[Units]],0)</f>
        <v>563.42202898550727</v>
      </c>
      <c r="R644" s="17">
        <f>IFERROR(tblSales[[#This Row],[NetSalesTRY]]/tblSales[[#This Row],[TargetTRY]],0)</f>
        <v>0.89165760508699232</v>
      </c>
      <c r="S644" s="6">
        <f>tblSales[[#This Row],[NetSalesTRY]]-tblSales[[#This Row],[TargetTRY]]</f>
        <v>-9447.4199999999983</v>
      </c>
      <c r="T644" s="6">
        <f>MAX(tblSales[[#This Row],[TargetTRY]]-tblSales[[#This Row],[NetSalesTRY]],0)</f>
        <v>9447.4199999999983</v>
      </c>
    </row>
    <row r="645" spans="1:20">
      <c r="A645" t="s">
        <v>1033</v>
      </c>
      <c r="B645" s="15">
        <v>45689</v>
      </c>
      <c r="C645" t="s">
        <v>21</v>
      </c>
      <c r="D645" t="s">
        <v>22</v>
      </c>
      <c r="E645" t="s">
        <v>46</v>
      </c>
      <c r="F645" t="s">
        <v>44</v>
      </c>
      <c r="G645" t="s">
        <v>14</v>
      </c>
      <c r="H645" s="8">
        <v>81</v>
      </c>
      <c r="I645" s="9">
        <v>88250.9</v>
      </c>
      <c r="J645" s="9">
        <v>5597.1</v>
      </c>
      <c r="K645" s="9">
        <v>709.86</v>
      </c>
      <c r="L645" s="9">
        <v>81943.94</v>
      </c>
      <c r="M645" s="9">
        <v>85019.16</v>
      </c>
      <c r="N645" s="6" t="str">
        <f>_xlfn.XLOOKUP(tblSales[[#This Row],[ProductID]],tblProducts[ProductID],tblProducts[ProductName],"Not Found")</f>
        <v>NeuroCalm</v>
      </c>
      <c r="O645" s="8">
        <f>YEAR(tblSales[[#This Row],[Month]])</f>
        <v>2025</v>
      </c>
      <c r="P645" s="8">
        <f>MONTH(tblSales[[#This Row],[Month]])</f>
        <v>2</v>
      </c>
      <c r="Q645" s="6">
        <f>IFERROR(tblSales[[#This Row],[NetSalesTRY]]/tblSales[[#This Row],[Units]],0)</f>
        <v>1011.6535802469136</v>
      </c>
      <c r="R645" s="17">
        <f>IFERROR(tblSales[[#This Row],[NetSalesTRY]]/tblSales[[#This Row],[TargetTRY]],0)</f>
        <v>0.96382909452410492</v>
      </c>
      <c r="S645" s="6">
        <f>tblSales[[#This Row],[NetSalesTRY]]-tblSales[[#This Row],[TargetTRY]]</f>
        <v>-3075.2200000000012</v>
      </c>
      <c r="T645" s="6">
        <f>MAX(tblSales[[#This Row],[TargetTRY]]-tblSales[[#This Row],[NetSalesTRY]],0)</f>
        <v>3075.2200000000012</v>
      </c>
    </row>
    <row r="646" spans="1:20">
      <c r="A646" t="s">
        <v>1034</v>
      </c>
      <c r="B646" s="15">
        <v>45689</v>
      </c>
      <c r="C646" t="s">
        <v>21</v>
      </c>
      <c r="D646" t="s">
        <v>22</v>
      </c>
      <c r="E646" t="s">
        <v>49</v>
      </c>
      <c r="F646" t="s">
        <v>47</v>
      </c>
      <c r="G646" t="s">
        <v>5</v>
      </c>
      <c r="H646" s="8">
        <v>106</v>
      </c>
      <c r="I646" s="9">
        <v>102597.17</v>
      </c>
      <c r="J646" s="9">
        <v>5528.86</v>
      </c>
      <c r="K646" s="9">
        <v>895.76</v>
      </c>
      <c r="L646" s="9">
        <v>96172.55</v>
      </c>
      <c r="M646" s="9">
        <v>116105.67</v>
      </c>
      <c r="N646" s="6" t="str">
        <f>_xlfn.XLOOKUP(tblSales[[#This Row],[ProductID]],tblProducts[ProductID],tblProducts[ProductName],"Not Found")</f>
        <v>Cardiovan</v>
      </c>
      <c r="O646" s="8">
        <f>YEAR(tblSales[[#This Row],[Month]])</f>
        <v>2025</v>
      </c>
      <c r="P646" s="8">
        <f>MONTH(tblSales[[#This Row],[Month]])</f>
        <v>2</v>
      </c>
      <c r="Q646" s="6">
        <f>IFERROR(tblSales[[#This Row],[NetSalesTRY]]/tblSales[[#This Row],[Units]],0)</f>
        <v>907.2882075471698</v>
      </c>
      <c r="R646" s="17">
        <f>IFERROR(tblSales[[#This Row],[NetSalesTRY]]/tblSales[[#This Row],[TargetTRY]],0)</f>
        <v>0.82831915099409015</v>
      </c>
      <c r="S646" s="6">
        <f>tblSales[[#This Row],[NetSalesTRY]]-tblSales[[#This Row],[TargetTRY]]</f>
        <v>-19933.119999999995</v>
      </c>
      <c r="T646" s="6">
        <f>MAX(tblSales[[#This Row],[TargetTRY]]-tblSales[[#This Row],[NetSalesTRY]],0)</f>
        <v>19933.119999999995</v>
      </c>
    </row>
    <row r="647" spans="1:20">
      <c r="A647" t="s">
        <v>1035</v>
      </c>
      <c r="B647" s="15">
        <v>45689</v>
      </c>
      <c r="C647" t="s">
        <v>21</v>
      </c>
      <c r="D647" t="s">
        <v>22</v>
      </c>
      <c r="E647" t="s">
        <v>49</v>
      </c>
      <c r="F647" t="s">
        <v>47</v>
      </c>
      <c r="G647" t="s">
        <v>8</v>
      </c>
      <c r="H647" s="8">
        <v>143</v>
      </c>
      <c r="I647" s="9">
        <v>109054.72</v>
      </c>
      <c r="J647" s="9">
        <v>8153.86</v>
      </c>
      <c r="K647" s="9">
        <v>706.26</v>
      </c>
      <c r="L647" s="9">
        <v>100194.6</v>
      </c>
      <c r="M647" s="9">
        <v>104348.91</v>
      </c>
      <c r="N647" s="6" t="str">
        <f>_xlfn.XLOOKUP(tblSales[[#This Row],[ProductID]],tblProducts[ProductID],tblProducts[ProductName],"Not Found")</f>
        <v>GlucoRelief</v>
      </c>
      <c r="O647" s="8">
        <f>YEAR(tblSales[[#This Row],[Month]])</f>
        <v>2025</v>
      </c>
      <c r="P647" s="8">
        <f>MONTH(tblSales[[#This Row],[Month]])</f>
        <v>2</v>
      </c>
      <c r="Q647" s="6">
        <f>IFERROR(tblSales[[#This Row],[NetSalesTRY]]/tblSales[[#This Row],[Units]],0)</f>
        <v>700.6615384615385</v>
      </c>
      <c r="R647" s="17">
        <f>IFERROR(tblSales[[#This Row],[NetSalesTRY]]/tblSales[[#This Row],[TargetTRY]],0)</f>
        <v>0.96018827604428258</v>
      </c>
      <c r="S647" s="6">
        <f>tblSales[[#This Row],[NetSalesTRY]]-tblSales[[#This Row],[TargetTRY]]</f>
        <v>-4154.3099999999977</v>
      </c>
      <c r="T647" s="6">
        <f>MAX(tblSales[[#This Row],[TargetTRY]]-tblSales[[#This Row],[NetSalesTRY]],0)</f>
        <v>4154.3099999999977</v>
      </c>
    </row>
    <row r="648" spans="1:20">
      <c r="A648" t="s">
        <v>1036</v>
      </c>
      <c r="B648" s="15">
        <v>45689</v>
      </c>
      <c r="C648" t="s">
        <v>21</v>
      </c>
      <c r="D648" t="s">
        <v>22</v>
      </c>
      <c r="E648" t="s">
        <v>49</v>
      </c>
      <c r="F648" t="s">
        <v>47</v>
      </c>
      <c r="G648" t="s">
        <v>11</v>
      </c>
      <c r="H648" s="8">
        <v>153</v>
      </c>
      <c r="I648" s="9">
        <v>94260.800000000003</v>
      </c>
      <c r="J648" s="9">
        <v>4239.41</v>
      </c>
      <c r="K648" s="9">
        <v>492.58</v>
      </c>
      <c r="L648" s="9">
        <v>89528.81</v>
      </c>
      <c r="M648" s="9">
        <v>97322.27</v>
      </c>
      <c r="N648" s="6" t="str">
        <f>_xlfn.XLOOKUP(tblSales[[#This Row],[ProductID]],tblProducts[ProductID],tblProducts[ProductName],"Not Found")</f>
        <v>RespiraX</v>
      </c>
      <c r="O648" s="8">
        <f>YEAR(tblSales[[#This Row],[Month]])</f>
        <v>2025</v>
      </c>
      <c r="P648" s="8">
        <f>MONTH(tblSales[[#This Row],[Month]])</f>
        <v>2</v>
      </c>
      <c r="Q648" s="6">
        <f>IFERROR(tblSales[[#This Row],[NetSalesTRY]]/tblSales[[#This Row],[Units]],0)</f>
        <v>585.15562091503261</v>
      </c>
      <c r="R648" s="17">
        <f>IFERROR(tblSales[[#This Row],[NetSalesTRY]]/tblSales[[#This Row],[TargetTRY]],0)</f>
        <v>0.91992110336102928</v>
      </c>
      <c r="S648" s="6">
        <f>tblSales[[#This Row],[NetSalesTRY]]-tblSales[[#This Row],[TargetTRY]]</f>
        <v>-7793.4600000000064</v>
      </c>
      <c r="T648" s="6">
        <f>MAX(tblSales[[#This Row],[TargetTRY]]-tblSales[[#This Row],[NetSalesTRY]],0)</f>
        <v>7793.4600000000064</v>
      </c>
    </row>
    <row r="649" spans="1:20">
      <c r="A649" t="s">
        <v>1037</v>
      </c>
      <c r="B649" s="15">
        <v>45689</v>
      </c>
      <c r="C649" t="s">
        <v>21</v>
      </c>
      <c r="D649" t="s">
        <v>22</v>
      </c>
      <c r="E649" t="s">
        <v>49</v>
      </c>
      <c r="F649" t="s">
        <v>47</v>
      </c>
      <c r="G649" t="s">
        <v>14</v>
      </c>
      <c r="H649" s="8">
        <v>91</v>
      </c>
      <c r="I649" s="9">
        <v>100641.25</v>
      </c>
      <c r="J649" s="9">
        <v>4557.2299999999996</v>
      </c>
      <c r="K649" s="9">
        <v>898.16</v>
      </c>
      <c r="L649" s="9">
        <v>95185.86</v>
      </c>
      <c r="M649" s="9">
        <v>93922.65</v>
      </c>
      <c r="N649" s="6" t="str">
        <f>_xlfn.XLOOKUP(tblSales[[#This Row],[ProductID]],tblProducts[ProductID],tblProducts[ProductName],"Not Found")</f>
        <v>NeuroCalm</v>
      </c>
      <c r="O649" s="8">
        <f>YEAR(tblSales[[#This Row],[Month]])</f>
        <v>2025</v>
      </c>
      <c r="P649" s="8">
        <f>MONTH(tblSales[[#This Row],[Month]])</f>
        <v>2</v>
      </c>
      <c r="Q649" s="6">
        <f>IFERROR(tblSales[[#This Row],[NetSalesTRY]]/tblSales[[#This Row],[Units]],0)</f>
        <v>1045.9984615384615</v>
      </c>
      <c r="R649" s="17">
        <f>IFERROR(tblSales[[#This Row],[NetSalesTRY]]/tblSales[[#This Row],[TargetTRY]],0)</f>
        <v>1.0134494714533715</v>
      </c>
      <c r="S649" s="6">
        <f>tblSales[[#This Row],[NetSalesTRY]]-tblSales[[#This Row],[TargetTRY]]</f>
        <v>1263.2100000000064</v>
      </c>
      <c r="T649" s="6">
        <f>MAX(tblSales[[#This Row],[TargetTRY]]-tblSales[[#This Row],[NetSalesTRY]],0)</f>
        <v>0</v>
      </c>
    </row>
    <row r="650" spans="1:20">
      <c r="A650" t="s">
        <v>1038</v>
      </c>
      <c r="B650" s="15">
        <v>45689</v>
      </c>
      <c r="C650" t="s">
        <v>23</v>
      </c>
      <c r="D650" t="s">
        <v>24</v>
      </c>
      <c r="E650" t="s">
        <v>52</v>
      </c>
      <c r="F650" t="s">
        <v>50</v>
      </c>
      <c r="G650" t="s">
        <v>5</v>
      </c>
      <c r="H650" s="8">
        <v>118</v>
      </c>
      <c r="I650" s="9">
        <v>117071.77</v>
      </c>
      <c r="J650" s="9">
        <v>7955.51</v>
      </c>
      <c r="K650" s="9">
        <v>1604.68</v>
      </c>
      <c r="L650" s="9">
        <v>107511.58</v>
      </c>
      <c r="M650" s="9">
        <v>114037.38</v>
      </c>
      <c r="N650" s="6" t="str">
        <f>_xlfn.XLOOKUP(tblSales[[#This Row],[ProductID]],tblProducts[ProductID],tblProducts[ProductName],"Not Found")</f>
        <v>Cardiovan</v>
      </c>
      <c r="O650" s="8">
        <f>YEAR(tblSales[[#This Row],[Month]])</f>
        <v>2025</v>
      </c>
      <c r="P650" s="8">
        <f>MONTH(tblSales[[#This Row],[Month]])</f>
        <v>2</v>
      </c>
      <c r="Q650" s="6">
        <f>IFERROR(tblSales[[#This Row],[NetSalesTRY]]/tblSales[[#This Row],[Units]],0)</f>
        <v>911.11508474576272</v>
      </c>
      <c r="R650" s="17">
        <f>IFERROR(tblSales[[#This Row],[NetSalesTRY]]/tblSales[[#This Row],[TargetTRY]],0)</f>
        <v>0.94277490415861886</v>
      </c>
      <c r="S650" s="6">
        <f>tblSales[[#This Row],[NetSalesTRY]]-tblSales[[#This Row],[TargetTRY]]</f>
        <v>-6525.8000000000029</v>
      </c>
      <c r="T650" s="6">
        <f>MAX(tblSales[[#This Row],[TargetTRY]]-tblSales[[#This Row],[NetSalesTRY]],0)</f>
        <v>6525.8000000000029</v>
      </c>
    </row>
    <row r="651" spans="1:20">
      <c r="A651" t="s">
        <v>1039</v>
      </c>
      <c r="B651" s="15">
        <v>45689</v>
      </c>
      <c r="C651" t="s">
        <v>23</v>
      </c>
      <c r="D651" t="s">
        <v>24</v>
      </c>
      <c r="E651" t="s">
        <v>52</v>
      </c>
      <c r="F651" t="s">
        <v>50</v>
      </c>
      <c r="G651" t="s">
        <v>8</v>
      </c>
      <c r="H651" s="8">
        <v>152</v>
      </c>
      <c r="I651" s="9">
        <v>117109.64</v>
      </c>
      <c r="J651" s="9">
        <v>7074.02</v>
      </c>
      <c r="K651" s="9">
        <v>926.35</v>
      </c>
      <c r="L651" s="9">
        <v>109109.27</v>
      </c>
      <c r="M651" s="9">
        <v>103827.29</v>
      </c>
      <c r="N651" s="6" t="str">
        <f>_xlfn.XLOOKUP(tblSales[[#This Row],[ProductID]],tblProducts[ProductID],tblProducts[ProductName],"Not Found")</f>
        <v>GlucoRelief</v>
      </c>
      <c r="O651" s="8">
        <f>YEAR(tblSales[[#This Row],[Month]])</f>
        <v>2025</v>
      </c>
      <c r="P651" s="8">
        <f>MONTH(tblSales[[#This Row],[Month]])</f>
        <v>2</v>
      </c>
      <c r="Q651" s="6">
        <f>IFERROR(tblSales[[#This Row],[NetSalesTRY]]/tblSales[[#This Row],[Units]],0)</f>
        <v>717.82414473684219</v>
      </c>
      <c r="R651" s="17">
        <f>IFERROR(tblSales[[#This Row],[NetSalesTRY]]/tblSales[[#This Row],[TargetTRY]],0)</f>
        <v>1.0508727522407646</v>
      </c>
      <c r="S651" s="6">
        <f>tblSales[[#This Row],[NetSalesTRY]]-tblSales[[#This Row],[TargetTRY]]</f>
        <v>5281.9800000000105</v>
      </c>
      <c r="T651" s="6">
        <f>MAX(tblSales[[#This Row],[TargetTRY]]-tblSales[[#This Row],[NetSalesTRY]],0)</f>
        <v>0</v>
      </c>
    </row>
    <row r="652" spans="1:20">
      <c r="A652" t="s">
        <v>1040</v>
      </c>
      <c r="B652" s="15">
        <v>45689</v>
      </c>
      <c r="C652" t="s">
        <v>23</v>
      </c>
      <c r="D652" t="s">
        <v>24</v>
      </c>
      <c r="E652" t="s">
        <v>52</v>
      </c>
      <c r="F652" t="s">
        <v>50</v>
      </c>
      <c r="G652" t="s">
        <v>11</v>
      </c>
      <c r="H652" s="8">
        <v>162</v>
      </c>
      <c r="I652" s="9">
        <v>99336.97</v>
      </c>
      <c r="J652" s="9">
        <v>3510.3</v>
      </c>
      <c r="K652" s="9">
        <v>883.61</v>
      </c>
      <c r="L652" s="9">
        <v>94943.07</v>
      </c>
      <c r="M652" s="9">
        <v>97465.93</v>
      </c>
      <c r="N652" s="6" t="str">
        <f>_xlfn.XLOOKUP(tblSales[[#This Row],[ProductID]],tblProducts[ProductID],tblProducts[ProductName],"Not Found")</f>
        <v>RespiraX</v>
      </c>
      <c r="O652" s="8">
        <f>YEAR(tblSales[[#This Row],[Month]])</f>
        <v>2025</v>
      </c>
      <c r="P652" s="8">
        <f>MONTH(tblSales[[#This Row],[Month]])</f>
        <v>2</v>
      </c>
      <c r="Q652" s="6">
        <f>IFERROR(tblSales[[#This Row],[NetSalesTRY]]/tblSales[[#This Row],[Units]],0)</f>
        <v>586.06833333333338</v>
      </c>
      <c r="R652" s="17">
        <f>IFERROR(tblSales[[#This Row],[NetSalesTRY]]/tblSales[[#This Row],[TargetTRY]],0)</f>
        <v>0.9741154678357864</v>
      </c>
      <c r="S652" s="6">
        <f>tblSales[[#This Row],[NetSalesTRY]]-tblSales[[#This Row],[TargetTRY]]</f>
        <v>-2522.859999999986</v>
      </c>
      <c r="T652" s="6">
        <f>MAX(tblSales[[#This Row],[TargetTRY]]-tblSales[[#This Row],[NetSalesTRY]],0)</f>
        <v>2522.859999999986</v>
      </c>
    </row>
    <row r="653" spans="1:20">
      <c r="A653" t="s">
        <v>1041</v>
      </c>
      <c r="B653" s="15">
        <v>45689</v>
      </c>
      <c r="C653" t="s">
        <v>23</v>
      </c>
      <c r="D653" t="s">
        <v>24</v>
      </c>
      <c r="E653" t="s">
        <v>52</v>
      </c>
      <c r="F653" t="s">
        <v>50</v>
      </c>
      <c r="G653" t="s">
        <v>14</v>
      </c>
      <c r="H653" s="8">
        <v>87</v>
      </c>
      <c r="I653" s="9">
        <v>96986.32</v>
      </c>
      <c r="J653" s="9">
        <v>5447.6</v>
      </c>
      <c r="K653" s="9">
        <v>1214.3900000000001</v>
      </c>
      <c r="L653" s="9">
        <v>90324.33</v>
      </c>
      <c r="M653" s="9">
        <v>94787.68</v>
      </c>
      <c r="N653" s="6" t="str">
        <f>_xlfn.XLOOKUP(tblSales[[#This Row],[ProductID]],tblProducts[ProductID],tblProducts[ProductName],"Not Found")</f>
        <v>NeuroCalm</v>
      </c>
      <c r="O653" s="8">
        <f>YEAR(tblSales[[#This Row],[Month]])</f>
        <v>2025</v>
      </c>
      <c r="P653" s="8">
        <f>MONTH(tblSales[[#This Row],[Month]])</f>
        <v>2</v>
      </c>
      <c r="Q653" s="6">
        <f>IFERROR(tblSales[[#This Row],[NetSalesTRY]]/tblSales[[#This Row],[Units]],0)</f>
        <v>1038.2106896551725</v>
      </c>
      <c r="R653" s="17">
        <f>IFERROR(tblSales[[#This Row],[NetSalesTRY]]/tblSales[[#This Row],[TargetTRY]],0)</f>
        <v>0.95291212950881388</v>
      </c>
      <c r="S653" s="6">
        <f>tblSales[[#This Row],[NetSalesTRY]]-tblSales[[#This Row],[TargetTRY]]</f>
        <v>-4463.3499999999913</v>
      </c>
      <c r="T653" s="6">
        <f>MAX(tblSales[[#This Row],[TargetTRY]]-tblSales[[#This Row],[NetSalesTRY]],0)</f>
        <v>4463.3499999999913</v>
      </c>
    </row>
    <row r="654" spans="1:20">
      <c r="A654" t="s">
        <v>1042</v>
      </c>
      <c r="B654" s="15">
        <v>45689</v>
      </c>
      <c r="C654" t="s">
        <v>23</v>
      </c>
      <c r="D654" t="s">
        <v>24</v>
      </c>
      <c r="E654" t="s">
        <v>55</v>
      </c>
      <c r="F654" t="s">
        <v>53</v>
      </c>
      <c r="G654" t="s">
        <v>5</v>
      </c>
      <c r="H654" s="8">
        <v>127</v>
      </c>
      <c r="I654" s="9">
        <v>124926.19</v>
      </c>
      <c r="J654" s="9">
        <v>4825.2</v>
      </c>
      <c r="K654" s="9">
        <v>656.31</v>
      </c>
      <c r="L654" s="9">
        <v>119444.67</v>
      </c>
      <c r="M654" s="9">
        <v>115181.22</v>
      </c>
      <c r="N654" s="6" t="str">
        <f>_xlfn.XLOOKUP(tblSales[[#This Row],[ProductID]],tblProducts[ProductID],tblProducts[ProductName],"Not Found")</f>
        <v>Cardiovan</v>
      </c>
      <c r="O654" s="8">
        <f>YEAR(tblSales[[#This Row],[Month]])</f>
        <v>2025</v>
      </c>
      <c r="P654" s="8">
        <f>MONTH(tblSales[[#This Row],[Month]])</f>
        <v>2</v>
      </c>
      <c r="Q654" s="6">
        <f>IFERROR(tblSales[[#This Row],[NetSalesTRY]]/tblSales[[#This Row],[Units]],0)</f>
        <v>940.50921259842517</v>
      </c>
      <c r="R654" s="17">
        <f>IFERROR(tblSales[[#This Row],[NetSalesTRY]]/tblSales[[#This Row],[TargetTRY]],0)</f>
        <v>1.0370151488237405</v>
      </c>
      <c r="S654" s="6">
        <f>tblSales[[#This Row],[NetSalesTRY]]-tblSales[[#This Row],[TargetTRY]]</f>
        <v>4263.4499999999971</v>
      </c>
      <c r="T654" s="6">
        <f>MAX(tblSales[[#This Row],[TargetTRY]]-tblSales[[#This Row],[NetSalesTRY]],0)</f>
        <v>0</v>
      </c>
    </row>
    <row r="655" spans="1:20">
      <c r="A655" t="s">
        <v>1043</v>
      </c>
      <c r="B655" s="15">
        <v>45689</v>
      </c>
      <c r="C655" t="s">
        <v>23</v>
      </c>
      <c r="D655" t="s">
        <v>24</v>
      </c>
      <c r="E655" t="s">
        <v>55</v>
      </c>
      <c r="F655" t="s">
        <v>53</v>
      </c>
      <c r="G655" t="s">
        <v>8</v>
      </c>
      <c r="H655" s="8">
        <v>157</v>
      </c>
      <c r="I655" s="9">
        <v>119547.05</v>
      </c>
      <c r="J655" s="9">
        <v>5203.9399999999996</v>
      </c>
      <c r="K655" s="9">
        <v>1012.39</v>
      </c>
      <c r="L655" s="9">
        <v>113330.72</v>
      </c>
      <c r="M655" s="9">
        <v>107092.37</v>
      </c>
      <c r="N655" s="6" t="str">
        <f>_xlfn.XLOOKUP(tblSales[[#This Row],[ProductID]],tblProducts[ProductID],tblProducts[ProductName],"Not Found")</f>
        <v>GlucoRelief</v>
      </c>
      <c r="O655" s="8">
        <f>YEAR(tblSales[[#This Row],[Month]])</f>
        <v>2025</v>
      </c>
      <c r="P655" s="8">
        <f>MONTH(tblSales[[#This Row],[Month]])</f>
        <v>2</v>
      </c>
      <c r="Q655" s="6">
        <f>IFERROR(tblSales[[#This Row],[NetSalesTRY]]/tblSales[[#This Row],[Units]],0)</f>
        <v>721.85171974522291</v>
      </c>
      <c r="R655" s="17">
        <f>IFERROR(tblSales[[#This Row],[NetSalesTRY]]/tblSales[[#This Row],[TargetTRY]],0)</f>
        <v>1.0582520491422498</v>
      </c>
      <c r="S655" s="6">
        <f>tblSales[[#This Row],[NetSalesTRY]]-tblSales[[#This Row],[TargetTRY]]</f>
        <v>6238.3500000000058</v>
      </c>
      <c r="T655" s="6">
        <f>MAX(tblSales[[#This Row],[TargetTRY]]-tblSales[[#This Row],[NetSalesTRY]],0)</f>
        <v>0</v>
      </c>
    </row>
    <row r="656" spans="1:20">
      <c r="A656" t="s">
        <v>1044</v>
      </c>
      <c r="B656" s="15">
        <v>45689</v>
      </c>
      <c r="C656" t="s">
        <v>23</v>
      </c>
      <c r="D656" t="s">
        <v>24</v>
      </c>
      <c r="E656" t="s">
        <v>55</v>
      </c>
      <c r="F656" t="s">
        <v>53</v>
      </c>
      <c r="G656" t="s">
        <v>11</v>
      </c>
      <c r="H656" s="8">
        <v>165</v>
      </c>
      <c r="I656" s="9">
        <v>101421.77</v>
      </c>
      <c r="J656" s="9">
        <v>5144.8999999999996</v>
      </c>
      <c r="K656" s="9">
        <v>523.45000000000005</v>
      </c>
      <c r="L656" s="9">
        <v>95753.42</v>
      </c>
      <c r="M656" s="9">
        <v>98396.32</v>
      </c>
      <c r="N656" s="6" t="str">
        <f>_xlfn.XLOOKUP(tblSales[[#This Row],[ProductID]],tblProducts[ProductID],tblProducts[ProductName],"Not Found")</f>
        <v>RespiraX</v>
      </c>
      <c r="O656" s="8">
        <f>YEAR(tblSales[[#This Row],[Month]])</f>
        <v>2025</v>
      </c>
      <c r="P656" s="8">
        <f>MONTH(tblSales[[#This Row],[Month]])</f>
        <v>2</v>
      </c>
      <c r="Q656" s="6">
        <f>IFERROR(tblSales[[#This Row],[NetSalesTRY]]/tblSales[[#This Row],[Units]],0)</f>
        <v>580.32375757575755</v>
      </c>
      <c r="R656" s="17">
        <f>IFERROR(tblSales[[#This Row],[NetSalesTRY]]/tblSales[[#This Row],[TargetTRY]],0)</f>
        <v>0.97314025565183726</v>
      </c>
      <c r="S656" s="6">
        <f>tblSales[[#This Row],[NetSalesTRY]]-tblSales[[#This Row],[TargetTRY]]</f>
        <v>-2642.9000000000087</v>
      </c>
      <c r="T656" s="6">
        <f>MAX(tblSales[[#This Row],[TargetTRY]]-tblSales[[#This Row],[NetSalesTRY]],0)</f>
        <v>2642.9000000000087</v>
      </c>
    </row>
    <row r="657" spans="1:20">
      <c r="A657" t="s">
        <v>1045</v>
      </c>
      <c r="B657" s="15">
        <v>45689</v>
      </c>
      <c r="C657" t="s">
        <v>23</v>
      </c>
      <c r="D657" t="s">
        <v>24</v>
      </c>
      <c r="E657" t="s">
        <v>55</v>
      </c>
      <c r="F657" t="s">
        <v>53</v>
      </c>
      <c r="G657" t="s">
        <v>14</v>
      </c>
      <c r="H657" s="8">
        <v>88</v>
      </c>
      <c r="I657" s="9">
        <v>95973.93</v>
      </c>
      <c r="J657" s="9">
        <v>4795.09</v>
      </c>
      <c r="K657" s="9">
        <v>509.9</v>
      </c>
      <c r="L657" s="9">
        <v>90668.94</v>
      </c>
      <c r="M657" s="9">
        <v>95680.63</v>
      </c>
      <c r="N657" s="6" t="str">
        <f>_xlfn.XLOOKUP(tblSales[[#This Row],[ProductID]],tblProducts[ProductID],tblProducts[ProductName],"Not Found")</f>
        <v>NeuroCalm</v>
      </c>
      <c r="O657" s="8">
        <f>YEAR(tblSales[[#This Row],[Month]])</f>
        <v>2025</v>
      </c>
      <c r="P657" s="8">
        <f>MONTH(tblSales[[#This Row],[Month]])</f>
        <v>2</v>
      </c>
      <c r="Q657" s="6">
        <f>IFERROR(tblSales[[#This Row],[NetSalesTRY]]/tblSales[[#This Row],[Units]],0)</f>
        <v>1030.3288636363636</v>
      </c>
      <c r="R657" s="17">
        <f>IFERROR(tblSales[[#This Row],[NetSalesTRY]]/tblSales[[#This Row],[TargetTRY]],0)</f>
        <v>0.94762064171191174</v>
      </c>
      <c r="S657" s="6">
        <f>tblSales[[#This Row],[NetSalesTRY]]-tblSales[[#This Row],[TargetTRY]]</f>
        <v>-5011.6900000000023</v>
      </c>
      <c r="T657" s="6">
        <f>MAX(tblSales[[#This Row],[TargetTRY]]-tblSales[[#This Row],[NetSalesTRY]],0)</f>
        <v>5011.6900000000023</v>
      </c>
    </row>
    <row r="658" spans="1:20">
      <c r="A658" t="s">
        <v>1046</v>
      </c>
      <c r="B658" s="15">
        <v>45689</v>
      </c>
      <c r="C658" t="s">
        <v>23</v>
      </c>
      <c r="D658" t="s">
        <v>24</v>
      </c>
      <c r="E658" t="s">
        <v>58</v>
      </c>
      <c r="F658" t="s">
        <v>56</v>
      </c>
      <c r="G658" t="s">
        <v>5</v>
      </c>
      <c r="H658" s="8">
        <v>122</v>
      </c>
      <c r="I658" s="9">
        <v>121263.54</v>
      </c>
      <c r="J658" s="9">
        <v>4544.6099999999997</v>
      </c>
      <c r="K658" s="9">
        <v>1572.49</v>
      </c>
      <c r="L658" s="9">
        <v>115146.44</v>
      </c>
      <c r="M658" s="9">
        <v>121199.76</v>
      </c>
      <c r="N658" s="6" t="str">
        <f>_xlfn.XLOOKUP(tblSales[[#This Row],[ProductID]],tblProducts[ProductID],tblProducts[ProductName],"Not Found")</f>
        <v>Cardiovan</v>
      </c>
      <c r="O658" s="8">
        <f>YEAR(tblSales[[#This Row],[Month]])</f>
        <v>2025</v>
      </c>
      <c r="P658" s="8">
        <f>MONTH(tblSales[[#This Row],[Month]])</f>
        <v>2</v>
      </c>
      <c r="Q658" s="6">
        <f>IFERROR(tblSales[[#This Row],[NetSalesTRY]]/tblSales[[#This Row],[Units]],0)</f>
        <v>943.82327868852462</v>
      </c>
      <c r="R658" s="17">
        <f>IFERROR(tblSales[[#This Row],[NetSalesTRY]]/tblSales[[#This Row],[TargetTRY]],0)</f>
        <v>0.95005501661059399</v>
      </c>
      <c r="S658" s="6">
        <f>tblSales[[#This Row],[NetSalesTRY]]-tblSales[[#This Row],[TargetTRY]]</f>
        <v>-6053.3199999999924</v>
      </c>
      <c r="T658" s="6">
        <f>MAX(tblSales[[#This Row],[TargetTRY]]-tblSales[[#This Row],[NetSalesTRY]],0)</f>
        <v>6053.3199999999924</v>
      </c>
    </row>
    <row r="659" spans="1:20">
      <c r="A659" t="s">
        <v>1047</v>
      </c>
      <c r="B659" s="15">
        <v>45689</v>
      </c>
      <c r="C659" t="s">
        <v>23</v>
      </c>
      <c r="D659" t="s">
        <v>24</v>
      </c>
      <c r="E659" t="s">
        <v>58</v>
      </c>
      <c r="F659" t="s">
        <v>56</v>
      </c>
      <c r="G659" t="s">
        <v>8</v>
      </c>
      <c r="H659" s="8">
        <v>144</v>
      </c>
      <c r="I659" s="9">
        <v>110270.43</v>
      </c>
      <c r="J659" s="9">
        <v>5276.91</v>
      </c>
      <c r="K659" s="9">
        <v>1276.71</v>
      </c>
      <c r="L659" s="9">
        <v>103716.81</v>
      </c>
      <c r="M659" s="9">
        <v>107438.87</v>
      </c>
      <c r="N659" s="6" t="str">
        <f>_xlfn.XLOOKUP(tblSales[[#This Row],[ProductID]],tblProducts[ProductID],tblProducts[ProductName],"Not Found")</f>
        <v>GlucoRelief</v>
      </c>
      <c r="O659" s="8">
        <f>YEAR(tblSales[[#This Row],[Month]])</f>
        <v>2025</v>
      </c>
      <c r="P659" s="8">
        <f>MONTH(tblSales[[#This Row],[Month]])</f>
        <v>2</v>
      </c>
      <c r="Q659" s="6">
        <f>IFERROR(tblSales[[#This Row],[NetSalesTRY]]/tblSales[[#This Row],[Units]],0)</f>
        <v>720.25562500000001</v>
      </c>
      <c r="R659" s="17">
        <f>IFERROR(tblSales[[#This Row],[NetSalesTRY]]/tblSales[[#This Row],[TargetTRY]],0)</f>
        <v>0.96535648597197643</v>
      </c>
      <c r="S659" s="6">
        <f>tblSales[[#This Row],[NetSalesTRY]]-tblSales[[#This Row],[TargetTRY]]</f>
        <v>-3722.0599999999977</v>
      </c>
      <c r="T659" s="6">
        <f>MAX(tblSales[[#This Row],[TargetTRY]]-tblSales[[#This Row],[NetSalesTRY]],0)</f>
        <v>3722.0599999999977</v>
      </c>
    </row>
    <row r="660" spans="1:20">
      <c r="A660" t="s">
        <v>1048</v>
      </c>
      <c r="B660" s="15">
        <v>45689</v>
      </c>
      <c r="C660" t="s">
        <v>23</v>
      </c>
      <c r="D660" t="s">
        <v>24</v>
      </c>
      <c r="E660" t="s">
        <v>58</v>
      </c>
      <c r="F660" t="s">
        <v>56</v>
      </c>
      <c r="G660" t="s">
        <v>11</v>
      </c>
      <c r="H660" s="8">
        <v>175</v>
      </c>
      <c r="I660" s="9">
        <v>109311.67999999999</v>
      </c>
      <c r="J660" s="9">
        <v>5830.45</v>
      </c>
      <c r="K660" s="9">
        <v>1344.57</v>
      </c>
      <c r="L660" s="9">
        <v>102136.65</v>
      </c>
      <c r="M660" s="9">
        <v>100626.28</v>
      </c>
      <c r="N660" s="6" t="str">
        <f>_xlfn.XLOOKUP(tblSales[[#This Row],[ProductID]],tblProducts[ProductID],tblProducts[ProductName],"Not Found")</f>
        <v>RespiraX</v>
      </c>
      <c r="O660" s="8">
        <f>YEAR(tblSales[[#This Row],[Month]])</f>
        <v>2025</v>
      </c>
      <c r="P660" s="8">
        <f>MONTH(tblSales[[#This Row],[Month]])</f>
        <v>2</v>
      </c>
      <c r="Q660" s="6">
        <f>IFERROR(tblSales[[#This Row],[NetSalesTRY]]/tblSales[[#This Row],[Units]],0)</f>
        <v>583.63799999999992</v>
      </c>
      <c r="R660" s="17">
        <f>IFERROR(tblSales[[#This Row],[NetSalesTRY]]/tblSales[[#This Row],[TargetTRY]],0)</f>
        <v>1.0150096972679503</v>
      </c>
      <c r="S660" s="6">
        <f>tblSales[[#This Row],[NetSalesTRY]]-tblSales[[#This Row],[TargetTRY]]</f>
        <v>1510.3699999999953</v>
      </c>
      <c r="T660" s="6">
        <f>MAX(tblSales[[#This Row],[TargetTRY]]-tblSales[[#This Row],[NetSalesTRY]],0)</f>
        <v>0</v>
      </c>
    </row>
    <row r="661" spans="1:20">
      <c r="A661" t="s">
        <v>1049</v>
      </c>
      <c r="B661" s="15">
        <v>45689</v>
      </c>
      <c r="C661" t="s">
        <v>23</v>
      </c>
      <c r="D661" t="s">
        <v>24</v>
      </c>
      <c r="E661" t="s">
        <v>58</v>
      </c>
      <c r="F661" t="s">
        <v>56</v>
      </c>
      <c r="G661" t="s">
        <v>14</v>
      </c>
      <c r="H661" s="8">
        <v>98</v>
      </c>
      <c r="I661" s="9">
        <v>106618.1</v>
      </c>
      <c r="J661" s="9">
        <v>4562.88</v>
      </c>
      <c r="K661" s="9">
        <v>1272.76</v>
      </c>
      <c r="L661" s="9">
        <v>100782.47</v>
      </c>
      <c r="M661" s="9">
        <v>98434.63</v>
      </c>
      <c r="N661" s="6" t="str">
        <f>_xlfn.XLOOKUP(tblSales[[#This Row],[ProductID]],tblProducts[ProductID],tblProducts[ProductName],"Not Found")</f>
        <v>NeuroCalm</v>
      </c>
      <c r="O661" s="8">
        <f>YEAR(tblSales[[#This Row],[Month]])</f>
        <v>2025</v>
      </c>
      <c r="P661" s="8">
        <f>MONTH(tblSales[[#This Row],[Month]])</f>
        <v>2</v>
      </c>
      <c r="Q661" s="6">
        <f>IFERROR(tblSales[[#This Row],[NetSalesTRY]]/tblSales[[#This Row],[Units]],0)</f>
        <v>1028.3925510204081</v>
      </c>
      <c r="R661" s="17">
        <f>IFERROR(tblSales[[#This Row],[NetSalesTRY]]/tblSales[[#This Row],[TargetTRY]],0)</f>
        <v>1.0238517684274324</v>
      </c>
      <c r="S661" s="6">
        <f>tblSales[[#This Row],[NetSalesTRY]]-tblSales[[#This Row],[TargetTRY]]</f>
        <v>2347.8399999999965</v>
      </c>
      <c r="T661" s="6">
        <f>MAX(tblSales[[#This Row],[TargetTRY]]-tblSales[[#This Row],[NetSalesTRY]],0)</f>
        <v>0</v>
      </c>
    </row>
    <row r="662" spans="1:20">
      <c r="A662" t="s">
        <v>1050</v>
      </c>
      <c r="B662" s="15">
        <v>45689</v>
      </c>
      <c r="C662" t="s">
        <v>25</v>
      </c>
      <c r="D662" t="s">
        <v>26</v>
      </c>
      <c r="E662" t="s">
        <v>61</v>
      </c>
      <c r="F662" t="s">
        <v>59</v>
      </c>
      <c r="G662" t="s">
        <v>5</v>
      </c>
      <c r="H662" s="8">
        <v>103</v>
      </c>
      <c r="I662" s="9">
        <v>102015.19</v>
      </c>
      <c r="J662" s="9">
        <v>5096.8500000000004</v>
      </c>
      <c r="K662" s="9">
        <v>827.91</v>
      </c>
      <c r="L662" s="9">
        <v>96090.43</v>
      </c>
      <c r="M662" s="9">
        <v>93172</v>
      </c>
      <c r="N662" s="6" t="str">
        <f>_xlfn.XLOOKUP(tblSales[[#This Row],[ProductID]],tblProducts[ProductID],tblProducts[ProductName],"Not Found")</f>
        <v>Cardiovan</v>
      </c>
      <c r="O662" s="8">
        <f>YEAR(tblSales[[#This Row],[Month]])</f>
        <v>2025</v>
      </c>
      <c r="P662" s="8">
        <f>MONTH(tblSales[[#This Row],[Month]])</f>
        <v>2</v>
      </c>
      <c r="Q662" s="6">
        <f>IFERROR(tblSales[[#This Row],[NetSalesTRY]]/tblSales[[#This Row],[Units]],0)</f>
        <v>932.91679611650477</v>
      </c>
      <c r="R662" s="17">
        <f>IFERROR(tblSales[[#This Row],[NetSalesTRY]]/tblSales[[#This Row],[TargetTRY]],0)</f>
        <v>1.0313230369638946</v>
      </c>
      <c r="S662" s="6">
        <f>tblSales[[#This Row],[NetSalesTRY]]-tblSales[[#This Row],[TargetTRY]]</f>
        <v>2918.429999999993</v>
      </c>
      <c r="T662" s="6">
        <f>MAX(tblSales[[#This Row],[TargetTRY]]-tblSales[[#This Row],[NetSalesTRY]],0)</f>
        <v>0</v>
      </c>
    </row>
    <row r="663" spans="1:20">
      <c r="A663" t="s">
        <v>1051</v>
      </c>
      <c r="B663" s="15">
        <v>45689</v>
      </c>
      <c r="C663" t="s">
        <v>25</v>
      </c>
      <c r="D663" t="s">
        <v>26</v>
      </c>
      <c r="E663" t="s">
        <v>61</v>
      </c>
      <c r="F663" t="s">
        <v>59</v>
      </c>
      <c r="G663" t="s">
        <v>8</v>
      </c>
      <c r="H663" s="8">
        <v>123</v>
      </c>
      <c r="I663" s="9">
        <v>94293.58</v>
      </c>
      <c r="J663" s="9">
        <v>6726.96</v>
      </c>
      <c r="K663" s="9">
        <v>1261.5999999999999</v>
      </c>
      <c r="L663" s="9">
        <v>86305.01</v>
      </c>
      <c r="M663" s="9">
        <v>84769.5</v>
      </c>
      <c r="N663" s="6" t="str">
        <f>_xlfn.XLOOKUP(tblSales[[#This Row],[ProductID]],tblProducts[ProductID],tblProducts[ProductName],"Not Found")</f>
        <v>GlucoRelief</v>
      </c>
      <c r="O663" s="8">
        <f>YEAR(tblSales[[#This Row],[Month]])</f>
        <v>2025</v>
      </c>
      <c r="P663" s="8">
        <f>MONTH(tblSales[[#This Row],[Month]])</f>
        <v>2</v>
      </c>
      <c r="Q663" s="6">
        <f>IFERROR(tblSales[[#This Row],[NetSalesTRY]]/tblSales[[#This Row],[Units]],0)</f>
        <v>701.66674796747964</v>
      </c>
      <c r="R663" s="17">
        <f>IFERROR(tblSales[[#This Row],[NetSalesTRY]]/tblSales[[#This Row],[TargetTRY]],0)</f>
        <v>1.018113944284206</v>
      </c>
      <c r="S663" s="6">
        <f>tblSales[[#This Row],[NetSalesTRY]]-tblSales[[#This Row],[TargetTRY]]</f>
        <v>1535.5099999999948</v>
      </c>
      <c r="T663" s="6">
        <f>MAX(tblSales[[#This Row],[TargetTRY]]-tblSales[[#This Row],[NetSalesTRY]],0)</f>
        <v>0</v>
      </c>
    </row>
    <row r="664" spans="1:20">
      <c r="A664" t="s">
        <v>1052</v>
      </c>
      <c r="B664" s="15">
        <v>45689</v>
      </c>
      <c r="C664" t="s">
        <v>25</v>
      </c>
      <c r="D664" t="s">
        <v>26</v>
      </c>
      <c r="E664" t="s">
        <v>61</v>
      </c>
      <c r="F664" t="s">
        <v>59</v>
      </c>
      <c r="G664" t="s">
        <v>11</v>
      </c>
      <c r="H664" s="8">
        <v>128</v>
      </c>
      <c r="I664" s="9">
        <v>79041.820000000007</v>
      </c>
      <c r="J664" s="9">
        <v>5922.91</v>
      </c>
      <c r="K664" s="9">
        <v>760.4</v>
      </c>
      <c r="L664" s="9">
        <v>72358.509999999995</v>
      </c>
      <c r="M664" s="9">
        <v>81187.899999999994</v>
      </c>
      <c r="N664" s="6" t="str">
        <f>_xlfn.XLOOKUP(tblSales[[#This Row],[ProductID]],tblProducts[ProductID],tblProducts[ProductName],"Not Found")</f>
        <v>RespiraX</v>
      </c>
      <c r="O664" s="8">
        <f>YEAR(tblSales[[#This Row],[Month]])</f>
        <v>2025</v>
      </c>
      <c r="P664" s="8">
        <f>MONTH(tblSales[[#This Row],[Month]])</f>
        <v>2</v>
      </c>
      <c r="Q664" s="6">
        <f>IFERROR(tblSales[[#This Row],[NetSalesTRY]]/tblSales[[#This Row],[Units]],0)</f>
        <v>565.30085937499996</v>
      </c>
      <c r="R664" s="17">
        <f>IFERROR(tblSales[[#This Row],[NetSalesTRY]]/tblSales[[#This Row],[TargetTRY]],0)</f>
        <v>0.89124746421572676</v>
      </c>
      <c r="S664" s="6">
        <f>tblSales[[#This Row],[NetSalesTRY]]-tblSales[[#This Row],[TargetTRY]]</f>
        <v>-8829.39</v>
      </c>
      <c r="T664" s="6">
        <f>MAX(tblSales[[#This Row],[TargetTRY]]-tblSales[[#This Row],[NetSalesTRY]],0)</f>
        <v>8829.39</v>
      </c>
    </row>
    <row r="665" spans="1:20">
      <c r="A665" t="s">
        <v>1053</v>
      </c>
      <c r="B665" s="15">
        <v>45689</v>
      </c>
      <c r="C665" t="s">
        <v>25</v>
      </c>
      <c r="D665" t="s">
        <v>26</v>
      </c>
      <c r="E665" t="s">
        <v>61</v>
      </c>
      <c r="F665" t="s">
        <v>59</v>
      </c>
      <c r="G665" t="s">
        <v>14</v>
      </c>
      <c r="H665" s="8">
        <v>72</v>
      </c>
      <c r="I665" s="9">
        <v>78211.63</v>
      </c>
      <c r="J665" s="9">
        <v>3152.89</v>
      </c>
      <c r="K665" s="9">
        <v>723.02</v>
      </c>
      <c r="L665" s="9">
        <v>74335.72</v>
      </c>
      <c r="M665" s="9">
        <v>76589.39</v>
      </c>
      <c r="N665" s="6" t="str">
        <f>_xlfn.XLOOKUP(tblSales[[#This Row],[ProductID]],tblProducts[ProductID],tblProducts[ProductName],"Not Found")</f>
        <v>NeuroCalm</v>
      </c>
      <c r="O665" s="8">
        <f>YEAR(tblSales[[#This Row],[Month]])</f>
        <v>2025</v>
      </c>
      <c r="P665" s="8">
        <f>MONTH(tblSales[[#This Row],[Month]])</f>
        <v>2</v>
      </c>
      <c r="Q665" s="6">
        <f>IFERROR(tblSales[[#This Row],[NetSalesTRY]]/tblSales[[#This Row],[Units]],0)</f>
        <v>1032.4405555555556</v>
      </c>
      <c r="R665" s="17">
        <f>IFERROR(tblSales[[#This Row],[NetSalesTRY]]/tblSales[[#This Row],[TargetTRY]],0)</f>
        <v>0.97057464486921752</v>
      </c>
      <c r="S665" s="6">
        <f>tblSales[[#This Row],[NetSalesTRY]]-tblSales[[#This Row],[TargetTRY]]</f>
        <v>-2253.6699999999983</v>
      </c>
      <c r="T665" s="6">
        <f>MAX(tblSales[[#This Row],[TargetTRY]]-tblSales[[#This Row],[NetSalesTRY]],0)</f>
        <v>2253.6699999999983</v>
      </c>
    </row>
    <row r="666" spans="1:20">
      <c r="A666" t="s">
        <v>1054</v>
      </c>
      <c r="B666" s="15">
        <v>45689</v>
      </c>
      <c r="C666" t="s">
        <v>25</v>
      </c>
      <c r="D666" t="s">
        <v>26</v>
      </c>
      <c r="E666" t="s">
        <v>64</v>
      </c>
      <c r="F666" t="s">
        <v>62</v>
      </c>
      <c r="G666" t="s">
        <v>5</v>
      </c>
      <c r="H666" s="8">
        <v>92</v>
      </c>
      <c r="I666" s="9">
        <v>90398.29</v>
      </c>
      <c r="J666" s="9">
        <v>4597.54</v>
      </c>
      <c r="K666" s="9">
        <v>370.54</v>
      </c>
      <c r="L666" s="9">
        <v>85430.22</v>
      </c>
      <c r="M666" s="9">
        <v>94053.69</v>
      </c>
      <c r="N666" s="6" t="str">
        <f>_xlfn.XLOOKUP(tblSales[[#This Row],[ProductID]],tblProducts[ProductID],tblProducts[ProductName],"Not Found")</f>
        <v>Cardiovan</v>
      </c>
      <c r="O666" s="8">
        <f>YEAR(tblSales[[#This Row],[Month]])</f>
        <v>2025</v>
      </c>
      <c r="P666" s="8">
        <f>MONTH(tblSales[[#This Row],[Month]])</f>
        <v>2</v>
      </c>
      <c r="Q666" s="6">
        <f>IFERROR(tblSales[[#This Row],[NetSalesTRY]]/tblSales[[#This Row],[Units]],0)</f>
        <v>928.58934782608696</v>
      </c>
      <c r="R666" s="17">
        <f>IFERROR(tblSales[[#This Row],[NetSalesTRY]]/tblSales[[#This Row],[TargetTRY]],0)</f>
        <v>0.90831332614382276</v>
      </c>
      <c r="S666" s="6">
        <f>tblSales[[#This Row],[NetSalesTRY]]-tblSales[[#This Row],[TargetTRY]]</f>
        <v>-8623.4700000000012</v>
      </c>
      <c r="T666" s="6">
        <f>MAX(tblSales[[#This Row],[TargetTRY]]-tblSales[[#This Row],[NetSalesTRY]],0)</f>
        <v>8623.4700000000012</v>
      </c>
    </row>
    <row r="667" spans="1:20">
      <c r="A667" t="s">
        <v>1055</v>
      </c>
      <c r="B667" s="15">
        <v>45689</v>
      </c>
      <c r="C667" t="s">
        <v>25</v>
      </c>
      <c r="D667" t="s">
        <v>26</v>
      </c>
      <c r="E667" t="s">
        <v>64</v>
      </c>
      <c r="F667" t="s">
        <v>62</v>
      </c>
      <c r="G667" t="s">
        <v>8</v>
      </c>
      <c r="H667" s="8">
        <v>124</v>
      </c>
      <c r="I667" s="9">
        <v>93981.58</v>
      </c>
      <c r="J667" s="9">
        <v>5868.93</v>
      </c>
      <c r="K667" s="9">
        <v>1199.03</v>
      </c>
      <c r="L667" s="9">
        <v>86913.62</v>
      </c>
      <c r="M667" s="9">
        <v>86084.29</v>
      </c>
      <c r="N667" s="6" t="str">
        <f>_xlfn.XLOOKUP(tblSales[[#This Row],[ProductID]],tblProducts[ProductID],tblProducts[ProductName],"Not Found")</f>
        <v>GlucoRelief</v>
      </c>
      <c r="O667" s="8">
        <f>YEAR(tblSales[[#This Row],[Month]])</f>
        <v>2025</v>
      </c>
      <c r="P667" s="8">
        <f>MONTH(tblSales[[#This Row],[Month]])</f>
        <v>2</v>
      </c>
      <c r="Q667" s="6">
        <f>IFERROR(tblSales[[#This Row],[NetSalesTRY]]/tblSales[[#This Row],[Units]],0)</f>
        <v>700.91629032258061</v>
      </c>
      <c r="R667" s="17">
        <f>IFERROR(tblSales[[#This Row],[NetSalesTRY]]/tblSales[[#This Row],[TargetTRY]],0)</f>
        <v>1.0096339297216717</v>
      </c>
      <c r="S667" s="6">
        <f>tblSales[[#This Row],[NetSalesTRY]]-tblSales[[#This Row],[TargetTRY]]</f>
        <v>829.33000000000175</v>
      </c>
      <c r="T667" s="6">
        <f>MAX(tblSales[[#This Row],[TargetTRY]]-tblSales[[#This Row],[NetSalesTRY]],0)</f>
        <v>0</v>
      </c>
    </row>
    <row r="668" spans="1:20">
      <c r="A668" t="s">
        <v>1056</v>
      </c>
      <c r="B668" s="15">
        <v>45689</v>
      </c>
      <c r="C668" t="s">
        <v>25</v>
      </c>
      <c r="D668" t="s">
        <v>26</v>
      </c>
      <c r="E668" t="s">
        <v>64</v>
      </c>
      <c r="F668" t="s">
        <v>62</v>
      </c>
      <c r="G668" t="s">
        <v>11</v>
      </c>
      <c r="H668" s="8">
        <v>127</v>
      </c>
      <c r="I668" s="9">
        <v>78416.45</v>
      </c>
      <c r="J668" s="9">
        <v>3232.5</v>
      </c>
      <c r="K668" s="9">
        <v>932.33</v>
      </c>
      <c r="L668" s="9">
        <v>74251.62</v>
      </c>
      <c r="M668" s="9">
        <v>80139.17</v>
      </c>
      <c r="N668" s="6" t="str">
        <f>_xlfn.XLOOKUP(tblSales[[#This Row],[ProductID]],tblProducts[ProductID],tblProducts[ProductName],"Not Found")</f>
        <v>RespiraX</v>
      </c>
      <c r="O668" s="8">
        <f>YEAR(tblSales[[#This Row],[Month]])</f>
        <v>2025</v>
      </c>
      <c r="P668" s="8">
        <f>MONTH(tblSales[[#This Row],[Month]])</f>
        <v>2</v>
      </c>
      <c r="Q668" s="6">
        <f>IFERROR(tblSales[[#This Row],[NetSalesTRY]]/tblSales[[#This Row],[Units]],0)</f>
        <v>584.65842519685032</v>
      </c>
      <c r="R668" s="17">
        <f>IFERROR(tblSales[[#This Row],[NetSalesTRY]]/tblSales[[#This Row],[TargetTRY]],0)</f>
        <v>0.92653342928308335</v>
      </c>
      <c r="S668" s="6">
        <f>tblSales[[#This Row],[NetSalesTRY]]-tblSales[[#This Row],[TargetTRY]]</f>
        <v>-5887.5500000000029</v>
      </c>
      <c r="T668" s="6">
        <f>MAX(tblSales[[#This Row],[TargetTRY]]-tblSales[[#This Row],[NetSalesTRY]],0)</f>
        <v>5887.5500000000029</v>
      </c>
    </row>
    <row r="669" spans="1:20">
      <c r="A669" t="s">
        <v>1057</v>
      </c>
      <c r="B669" s="15">
        <v>45689</v>
      </c>
      <c r="C669" t="s">
        <v>25</v>
      </c>
      <c r="D669" t="s">
        <v>26</v>
      </c>
      <c r="E669" t="s">
        <v>64</v>
      </c>
      <c r="F669" t="s">
        <v>62</v>
      </c>
      <c r="G669" t="s">
        <v>14</v>
      </c>
      <c r="H669" s="8">
        <v>70</v>
      </c>
      <c r="I669" s="9">
        <v>76348.69</v>
      </c>
      <c r="J669" s="9">
        <v>3465.03</v>
      </c>
      <c r="K669" s="9">
        <v>308.95999999999998</v>
      </c>
      <c r="L669" s="9">
        <v>72574.7</v>
      </c>
      <c r="M669" s="9">
        <v>77233.78</v>
      </c>
      <c r="N669" s="6" t="str">
        <f>_xlfn.XLOOKUP(tblSales[[#This Row],[ProductID]],tblProducts[ProductID],tblProducts[ProductName],"Not Found")</f>
        <v>NeuroCalm</v>
      </c>
      <c r="O669" s="8">
        <f>YEAR(tblSales[[#This Row],[Month]])</f>
        <v>2025</v>
      </c>
      <c r="P669" s="8">
        <f>MONTH(tblSales[[#This Row],[Month]])</f>
        <v>2</v>
      </c>
      <c r="Q669" s="6">
        <f>IFERROR(tblSales[[#This Row],[NetSalesTRY]]/tblSales[[#This Row],[Units]],0)</f>
        <v>1036.7814285714285</v>
      </c>
      <c r="R669" s="17">
        <f>IFERROR(tblSales[[#This Row],[NetSalesTRY]]/tblSales[[#This Row],[TargetTRY]],0)</f>
        <v>0.93967561862179994</v>
      </c>
      <c r="S669" s="6">
        <f>tblSales[[#This Row],[NetSalesTRY]]-tblSales[[#This Row],[TargetTRY]]</f>
        <v>-4659.0800000000017</v>
      </c>
      <c r="T669" s="6">
        <f>MAX(tblSales[[#This Row],[TargetTRY]]-tblSales[[#This Row],[NetSalesTRY]],0)</f>
        <v>4659.0800000000017</v>
      </c>
    </row>
    <row r="670" spans="1:20">
      <c r="A670" t="s">
        <v>1058</v>
      </c>
      <c r="B670" s="15">
        <v>45689</v>
      </c>
      <c r="C670" t="s">
        <v>25</v>
      </c>
      <c r="D670" t="s">
        <v>26</v>
      </c>
      <c r="E670" t="s">
        <v>67</v>
      </c>
      <c r="F670" t="s">
        <v>65</v>
      </c>
      <c r="G670" t="s">
        <v>5</v>
      </c>
      <c r="H670" s="8">
        <v>113</v>
      </c>
      <c r="I670" s="9">
        <v>111929.53</v>
      </c>
      <c r="J670" s="9">
        <v>6011.83</v>
      </c>
      <c r="K670" s="9">
        <v>568.4</v>
      </c>
      <c r="L670" s="9">
        <v>105349.3</v>
      </c>
      <c r="M670" s="9">
        <v>105412.18</v>
      </c>
      <c r="N670" s="6" t="str">
        <f>_xlfn.XLOOKUP(tblSales[[#This Row],[ProductID]],tblProducts[ProductID],tblProducts[ProductName],"Not Found")</f>
        <v>Cardiovan</v>
      </c>
      <c r="O670" s="8">
        <f>YEAR(tblSales[[#This Row],[Month]])</f>
        <v>2025</v>
      </c>
      <c r="P670" s="8">
        <f>MONTH(tblSales[[#This Row],[Month]])</f>
        <v>2</v>
      </c>
      <c r="Q670" s="6">
        <f>IFERROR(tblSales[[#This Row],[NetSalesTRY]]/tblSales[[#This Row],[Units]],0)</f>
        <v>932.29469026548679</v>
      </c>
      <c r="R670" s="17">
        <f>IFERROR(tblSales[[#This Row],[NetSalesTRY]]/tblSales[[#This Row],[TargetTRY]],0)</f>
        <v>0.99940348449296856</v>
      </c>
      <c r="S670" s="6">
        <f>tblSales[[#This Row],[NetSalesTRY]]-tblSales[[#This Row],[TargetTRY]]</f>
        <v>-62.879999999990105</v>
      </c>
      <c r="T670" s="6">
        <f>MAX(tblSales[[#This Row],[TargetTRY]]-tblSales[[#This Row],[NetSalesTRY]],0)</f>
        <v>62.879999999990105</v>
      </c>
    </row>
    <row r="671" spans="1:20">
      <c r="A671" t="s">
        <v>1059</v>
      </c>
      <c r="B671" s="15">
        <v>45689</v>
      </c>
      <c r="C671" t="s">
        <v>25</v>
      </c>
      <c r="D671" t="s">
        <v>26</v>
      </c>
      <c r="E671" t="s">
        <v>67</v>
      </c>
      <c r="F671" t="s">
        <v>65</v>
      </c>
      <c r="G671" t="s">
        <v>8</v>
      </c>
      <c r="H671" s="8">
        <v>138</v>
      </c>
      <c r="I671" s="9">
        <v>104621.12</v>
      </c>
      <c r="J671" s="9">
        <v>6331.86</v>
      </c>
      <c r="K671" s="9">
        <v>1217.21</v>
      </c>
      <c r="L671" s="9">
        <v>97072.06</v>
      </c>
      <c r="M671" s="9">
        <v>94979.22</v>
      </c>
      <c r="N671" s="6" t="str">
        <f>_xlfn.XLOOKUP(tblSales[[#This Row],[ProductID]],tblProducts[ProductID],tblProducts[ProductName],"Not Found")</f>
        <v>GlucoRelief</v>
      </c>
      <c r="O671" s="8">
        <f>YEAR(tblSales[[#This Row],[Month]])</f>
        <v>2025</v>
      </c>
      <c r="P671" s="8">
        <f>MONTH(tblSales[[#This Row],[Month]])</f>
        <v>2</v>
      </c>
      <c r="Q671" s="6">
        <f>IFERROR(tblSales[[#This Row],[NetSalesTRY]]/tblSales[[#This Row],[Units]],0)</f>
        <v>703.42072463768113</v>
      </c>
      <c r="R671" s="17">
        <f>IFERROR(tblSales[[#This Row],[NetSalesTRY]]/tblSales[[#This Row],[TargetTRY]],0)</f>
        <v>1.0220347145407174</v>
      </c>
      <c r="S671" s="6">
        <f>tblSales[[#This Row],[NetSalesTRY]]-tblSales[[#This Row],[TargetTRY]]</f>
        <v>2092.8399999999965</v>
      </c>
      <c r="T671" s="6">
        <f>MAX(tblSales[[#This Row],[TargetTRY]]-tblSales[[#This Row],[NetSalesTRY]],0)</f>
        <v>0</v>
      </c>
    </row>
    <row r="672" spans="1:20">
      <c r="A672" t="s">
        <v>1060</v>
      </c>
      <c r="B672" s="15">
        <v>45689</v>
      </c>
      <c r="C672" t="s">
        <v>25</v>
      </c>
      <c r="D672" t="s">
        <v>26</v>
      </c>
      <c r="E672" t="s">
        <v>67</v>
      </c>
      <c r="F672" t="s">
        <v>65</v>
      </c>
      <c r="G672" t="s">
        <v>11</v>
      </c>
      <c r="H672" s="8">
        <v>155</v>
      </c>
      <c r="I672" s="9">
        <v>97528</v>
      </c>
      <c r="J672" s="9">
        <v>4590.16</v>
      </c>
      <c r="K672" s="9">
        <v>1297.8</v>
      </c>
      <c r="L672" s="9">
        <v>91640.05</v>
      </c>
      <c r="M672" s="9">
        <v>90844.33</v>
      </c>
      <c r="N672" s="6" t="str">
        <f>_xlfn.XLOOKUP(tblSales[[#This Row],[ProductID]],tblProducts[ProductID],tblProducts[ProductName],"Not Found")</f>
        <v>RespiraX</v>
      </c>
      <c r="O672" s="8">
        <f>YEAR(tblSales[[#This Row],[Month]])</f>
        <v>2025</v>
      </c>
      <c r="P672" s="8">
        <f>MONTH(tblSales[[#This Row],[Month]])</f>
        <v>2</v>
      </c>
      <c r="Q672" s="6">
        <f>IFERROR(tblSales[[#This Row],[NetSalesTRY]]/tblSales[[#This Row],[Units]],0)</f>
        <v>591.22612903225809</v>
      </c>
      <c r="R672" s="17">
        <f>IFERROR(tblSales[[#This Row],[NetSalesTRY]]/tblSales[[#This Row],[TargetTRY]],0)</f>
        <v>1.0087591597626402</v>
      </c>
      <c r="S672" s="6">
        <f>tblSales[[#This Row],[NetSalesTRY]]-tblSales[[#This Row],[TargetTRY]]</f>
        <v>795.72000000000116</v>
      </c>
      <c r="T672" s="6">
        <f>MAX(tblSales[[#This Row],[TargetTRY]]-tblSales[[#This Row],[NetSalesTRY]],0)</f>
        <v>0</v>
      </c>
    </row>
    <row r="673" spans="1:20">
      <c r="A673" t="s">
        <v>1061</v>
      </c>
      <c r="B673" s="15">
        <v>45689</v>
      </c>
      <c r="C673" t="s">
        <v>25</v>
      </c>
      <c r="D673" t="s">
        <v>26</v>
      </c>
      <c r="E673" t="s">
        <v>67</v>
      </c>
      <c r="F673" t="s">
        <v>65</v>
      </c>
      <c r="G673" t="s">
        <v>14</v>
      </c>
      <c r="H673" s="8">
        <v>79</v>
      </c>
      <c r="I673" s="9">
        <v>87073.55</v>
      </c>
      <c r="J673" s="9">
        <v>5385.09</v>
      </c>
      <c r="K673" s="9">
        <v>413.45</v>
      </c>
      <c r="L673" s="9">
        <v>81275</v>
      </c>
      <c r="M673" s="9">
        <v>86767.18</v>
      </c>
      <c r="N673" s="6" t="str">
        <f>_xlfn.XLOOKUP(tblSales[[#This Row],[ProductID]],tblProducts[ProductID],tblProducts[ProductName],"Not Found")</f>
        <v>NeuroCalm</v>
      </c>
      <c r="O673" s="8">
        <f>YEAR(tblSales[[#This Row],[Month]])</f>
        <v>2025</v>
      </c>
      <c r="P673" s="8">
        <f>MONTH(tblSales[[#This Row],[Month]])</f>
        <v>2</v>
      </c>
      <c r="Q673" s="6">
        <f>IFERROR(tblSales[[#This Row],[NetSalesTRY]]/tblSales[[#This Row],[Units]],0)</f>
        <v>1028.7974683544303</v>
      </c>
      <c r="R673" s="17">
        <f>IFERROR(tblSales[[#This Row],[NetSalesTRY]]/tblSales[[#This Row],[TargetTRY]],0)</f>
        <v>0.93670210326070302</v>
      </c>
      <c r="S673" s="6">
        <f>tblSales[[#This Row],[NetSalesTRY]]-tblSales[[#This Row],[TargetTRY]]</f>
        <v>-5492.179999999993</v>
      </c>
      <c r="T673" s="6">
        <f>MAX(tblSales[[#This Row],[TargetTRY]]-tblSales[[#This Row],[NetSalesTRY]],0)</f>
        <v>5492.179999999993</v>
      </c>
    </row>
    <row r="674" spans="1:20">
      <c r="A674" t="s">
        <v>1062</v>
      </c>
      <c r="B674" s="15">
        <v>45717</v>
      </c>
      <c r="C674" t="s">
        <v>19</v>
      </c>
      <c r="D674" t="s">
        <v>20</v>
      </c>
      <c r="E674" t="s">
        <v>34</v>
      </c>
      <c r="F674" t="s">
        <v>32</v>
      </c>
      <c r="G674" t="s">
        <v>5</v>
      </c>
      <c r="H674" s="8">
        <v>159</v>
      </c>
      <c r="I674" s="9">
        <v>155945.51</v>
      </c>
      <c r="J674" s="9">
        <v>6105.9</v>
      </c>
      <c r="K674" s="9">
        <v>1128.1400000000001</v>
      </c>
      <c r="L674" s="9">
        <v>148711.46</v>
      </c>
      <c r="M674" s="9">
        <v>150160.22</v>
      </c>
      <c r="N674" s="6" t="str">
        <f>_xlfn.XLOOKUP(tblSales[[#This Row],[ProductID]],tblProducts[ProductID],tblProducts[ProductName],"Not Found")</f>
        <v>Cardiovan</v>
      </c>
      <c r="O674" s="8">
        <f>YEAR(tblSales[[#This Row],[Month]])</f>
        <v>2025</v>
      </c>
      <c r="P674" s="8">
        <f>MONTH(tblSales[[#This Row],[Month]])</f>
        <v>3</v>
      </c>
      <c r="Q674" s="6">
        <f>IFERROR(tblSales[[#This Row],[NetSalesTRY]]/tblSales[[#This Row],[Units]],0)</f>
        <v>935.29220125786162</v>
      </c>
      <c r="R674" s="17">
        <f>IFERROR(tblSales[[#This Row],[NetSalesTRY]]/tblSales[[#This Row],[TargetTRY]],0)</f>
        <v>0.99035190545139051</v>
      </c>
      <c r="S674" s="6">
        <f>tblSales[[#This Row],[NetSalesTRY]]-tblSales[[#This Row],[TargetTRY]]</f>
        <v>-1448.7600000000093</v>
      </c>
      <c r="T674" s="6">
        <f>MAX(tblSales[[#This Row],[TargetTRY]]-tblSales[[#This Row],[NetSalesTRY]],0)</f>
        <v>1448.7600000000093</v>
      </c>
    </row>
    <row r="675" spans="1:20">
      <c r="A675" t="s">
        <v>1063</v>
      </c>
      <c r="B675" s="15">
        <v>45717</v>
      </c>
      <c r="C675" t="s">
        <v>19</v>
      </c>
      <c r="D675" t="s">
        <v>20</v>
      </c>
      <c r="E675" t="s">
        <v>34</v>
      </c>
      <c r="F675" t="s">
        <v>32</v>
      </c>
      <c r="G675" t="s">
        <v>8</v>
      </c>
      <c r="H675" s="8">
        <v>184</v>
      </c>
      <c r="I675" s="9">
        <v>139898.51</v>
      </c>
      <c r="J675" s="9">
        <v>6446.27</v>
      </c>
      <c r="K675" s="9">
        <v>1729.31</v>
      </c>
      <c r="L675" s="9">
        <v>131722.93</v>
      </c>
      <c r="M675" s="9">
        <v>137820.57</v>
      </c>
      <c r="N675" s="6" t="str">
        <f>_xlfn.XLOOKUP(tblSales[[#This Row],[ProductID]],tblProducts[ProductID],tblProducts[ProductName],"Not Found")</f>
        <v>GlucoRelief</v>
      </c>
      <c r="O675" s="8">
        <f>YEAR(tblSales[[#This Row],[Month]])</f>
        <v>2025</v>
      </c>
      <c r="P675" s="8">
        <f>MONTH(tblSales[[#This Row],[Month]])</f>
        <v>3</v>
      </c>
      <c r="Q675" s="6">
        <f>IFERROR(tblSales[[#This Row],[NetSalesTRY]]/tblSales[[#This Row],[Units]],0)</f>
        <v>715.88548913043473</v>
      </c>
      <c r="R675" s="17">
        <f>IFERROR(tblSales[[#This Row],[NetSalesTRY]]/tblSales[[#This Row],[TargetTRY]],0)</f>
        <v>0.95575667696048561</v>
      </c>
      <c r="S675" s="6">
        <f>tblSales[[#This Row],[NetSalesTRY]]-tblSales[[#This Row],[TargetTRY]]</f>
        <v>-6097.640000000014</v>
      </c>
      <c r="T675" s="6">
        <f>MAX(tblSales[[#This Row],[TargetTRY]]-tblSales[[#This Row],[NetSalesTRY]],0)</f>
        <v>6097.640000000014</v>
      </c>
    </row>
    <row r="676" spans="1:20">
      <c r="A676" t="s">
        <v>1064</v>
      </c>
      <c r="B676" s="15">
        <v>45717</v>
      </c>
      <c r="C676" t="s">
        <v>19</v>
      </c>
      <c r="D676" t="s">
        <v>20</v>
      </c>
      <c r="E676" t="s">
        <v>34</v>
      </c>
      <c r="F676" t="s">
        <v>32</v>
      </c>
      <c r="G676" t="s">
        <v>11</v>
      </c>
      <c r="H676" s="8">
        <v>219</v>
      </c>
      <c r="I676" s="9">
        <v>137632.35999999999</v>
      </c>
      <c r="J676" s="9">
        <v>5416.25</v>
      </c>
      <c r="K676" s="9">
        <v>1911.38</v>
      </c>
      <c r="L676" s="9">
        <v>130304.73</v>
      </c>
      <c r="M676" s="9">
        <v>129645.67</v>
      </c>
      <c r="N676" s="6" t="str">
        <f>_xlfn.XLOOKUP(tblSales[[#This Row],[ProductID]],tblProducts[ProductID],tblProducts[ProductName],"Not Found")</f>
        <v>RespiraX</v>
      </c>
      <c r="O676" s="8">
        <f>YEAR(tblSales[[#This Row],[Month]])</f>
        <v>2025</v>
      </c>
      <c r="P676" s="8">
        <f>MONTH(tblSales[[#This Row],[Month]])</f>
        <v>3</v>
      </c>
      <c r="Q676" s="6">
        <f>IFERROR(tblSales[[#This Row],[NetSalesTRY]]/tblSales[[#This Row],[Units]],0)</f>
        <v>594.99876712328762</v>
      </c>
      <c r="R676" s="17">
        <f>IFERROR(tblSales[[#This Row],[NetSalesTRY]]/tblSales[[#This Row],[TargetTRY]],0)</f>
        <v>1.0050835481046148</v>
      </c>
      <c r="S676" s="6">
        <f>tblSales[[#This Row],[NetSalesTRY]]-tblSales[[#This Row],[TargetTRY]]</f>
        <v>659.05999999999767</v>
      </c>
      <c r="T676" s="6">
        <f>MAX(tblSales[[#This Row],[TargetTRY]]-tblSales[[#This Row],[NetSalesTRY]],0)</f>
        <v>0</v>
      </c>
    </row>
    <row r="677" spans="1:20">
      <c r="A677" t="s">
        <v>1065</v>
      </c>
      <c r="B677" s="15">
        <v>45717</v>
      </c>
      <c r="C677" t="s">
        <v>19</v>
      </c>
      <c r="D677" t="s">
        <v>20</v>
      </c>
      <c r="E677" t="s">
        <v>34</v>
      </c>
      <c r="F677" t="s">
        <v>32</v>
      </c>
      <c r="G677" t="s">
        <v>14</v>
      </c>
      <c r="H677" s="8">
        <v>120</v>
      </c>
      <c r="I677" s="9">
        <v>131995.60999999999</v>
      </c>
      <c r="J677" s="9">
        <v>9270.0300000000007</v>
      </c>
      <c r="K677" s="9">
        <v>737.6</v>
      </c>
      <c r="L677" s="9">
        <v>121987.98</v>
      </c>
      <c r="M677" s="9">
        <v>124158.66</v>
      </c>
      <c r="N677" s="6" t="str">
        <f>_xlfn.XLOOKUP(tblSales[[#This Row],[ProductID]],tblProducts[ProductID],tblProducts[ProductName],"Not Found")</f>
        <v>NeuroCalm</v>
      </c>
      <c r="O677" s="8">
        <f>YEAR(tblSales[[#This Row],[Month]])</f>
        <v>2025</v>
      </c>
      <c r="P677" s="8">
        <f>MONTH(tblSales[[#This Row],[Month]])</f>
        <v>3</v>
      </c>
      <c r="Q677" s="6">
        <f>IFERROR(tblSales[[#This Row],[NetSalesTRY]]/tblSales[[#This Row],[Units]],0)</f>
        <v>1016.5665</v>
      </c>
      <c r="R677" s="17">
        <f>IFERROR(tblSales[[#This Row],[NetSalesTRY]]/tblSales[[#This Row],[TargetTRY]],0)</f>
        <v>0.98251688605531018</v>
      </c>
      <c r="S677" s="6">
        <f>tblSales[[#This Row],[NetSalesTRY]]-tblSales[[#This Row],[TargetTRY]]</f>
        <v>-2170.6800000000076</v>
      </c>
      <c r="T677" s="6">
        <f>MAX(tblSales[[#This Row],[TargetTRY]]-tblSales[[#This Row],[NetSalesTRY]],0)</f>
        <v>2170.6800000000076</v>
      </c>
    </row>
    <row r="678" spans="1:20">
      <c r="A678" t="s">
        <v>1066</v>
      </c>
      <c r="B678" s="15">
        <v>45717</v>
      </c>
      <c r="C678" t="s">
        <v>19</v>
      </c>
      <c r="D678" t="s">
        <v>20</v>
      </c>
      <c r="E678" t="s">
        <v>37</v>
      </c>
      <c r="F678" t="s">
        <v>35</v>
      </c>
      <c r="G678" t="s">
        <v>5</v>
      </c>
      <c r="H678" s="8">
        <v>159</v>
      </c>
      <c r="I678" s="9">
        <v>154312.43</v>
      </c>
      <c r="J678" s="9">
        <v>8338.24</v>
      </c>
      <c r="K678" s="9">
        <v>2011</v>
      </c>
      <c r="L678" s="9">
        <v>143963.19</v>
      </c>
      <c r="M678" s="9">
        <v>151269.12</v>
      </c>
      <c r="N678" s="6" t="str">
        <f>_xlfn.XLOOKUP(tblSales[[#This Row],[ProductID]],tblProducts[ProductID],tblProducts[ProductName],"Not Found")</f>
        <v>Cardiovan</v>
      </c>
      <c r="O678" s="8">
        <f>YEAR(tblSales[[#This Row],[Month]])</f>
        <v>2025</v>
      </c>
      <c r="P678" s="8">
        <f>MONTH(tblSales[[#This Row],[Month]])</f>
        <v>3</v>
      </c>
      <c r="Q678" s="6">
        <f>IFERROR(tblSales[[#This Row],[NetSalesTRY]]/tblSales[[#This Row],[Units]],0)</f>
        <v>905.42886792452828</v>
      </c>
      <c r="R678" s="17">
        <f>IFERROR(tblSales[[#This Row],[NetSalesTRY]]/tblSales[[#This Row],[TargetTRY]],0)</f>
        <v>0.95170243602924387</v>
      </c>
      <c r="S678" s="6">
        <f>tblSales[[#This Row],[NetSalesTRY]]-tblSales[[#This Row],[TargetTRY]]</f>
        <v>-7305.929999999993</v>
      </c>
      <c r="T678" s="6">
        <f>MAX(tblSales[[#This Row],[TargetTRY]]-tblSales[[#This Row],[NetSalesTRY]],0)</f>
        <v>7305.929999999993</v>
      </c>
    </row>
    <row r="679" spans="1:20">
      <c r="A679" t="s">
        <v>1067</v>
      </c>
      <c r="B679" s="15">
        <v>45717</v>
      </c>
      <c r="C679" t="s">
        <v>19</v>
      </c>
      <c r="D679" t="s">
        <v>20</v>
      </c>
      <c r="E679" t="s">
        <v>37</v>
      </c>
      <c r="F679" t="s">
        <v>35</v>
      </c>
      <c r="G679" t="s">
        <v>8</v>
      </c>
      <c r="H679" s="8">
        <v>196</v>
      </c>
      <c r="I679" s="9">
        <v>149250.1</v>
      </c>
      <c r="J679" s="9">
        <v>5260.97</v>
      </c>
      <c r="K679" s="9">
        <v>892.27</v>
      </c>
      <c r="L679" s="9">
        <v>143096.87</v>
      </c>
      <c r="M679" s="9">
        <v>138562.03</v>
      </c>
      <c r="N679" s="6" t="str">
        <f>_xlfn.XLOOKUP(tblSales[[#This Row],[ProductID]],tblProducts[ProductID],tblProducts[ProductName],"Not Found")</f>
        <v>GlucoRelief</v>
      </c>
      <c r="O679" s="8">
        <f>YEAR(tblSales[[#This Row],[Month]])</f>
        <v>2025</v>
      </c>
      <c r="P679" s="8">
        <f>MONTH(tblSales[[#This Row],[Month]])</f>
        <v>3</v>
      </c>
      <c r="Q679" s="6">
        <f>IFERROR(tblSales[[#This Row],[NetSalesTRY]]/tblSales[[#This Row],[Units]],0)</f>
        <v>730.08607142857136</v>
      </c>
      <c r="R679" s="17">
        <f>IFERROR(tblSales[[#This Row],[NetSalesTRY]]/tblSales[[#This Row],[TargetTRY]],0)</f>
        <v>1.0327278692438324</v>
      </c>
      <c r="S679" s="6">
        <f>tblSales[[#This Row],[NetSalesTRY]]-tblSales[[#This Row],[TargetTRY]]</f>
        <v>4534.8399999999965</v>
      </c>
      <c r="T679" s="6">
        <f>MAX(tblSales[[#This Row],[TargetTRY]]-tblSales[[#This Row],[NetSalesTRY]],0)</f>
        <v>0</v>
      </c>
    </row>
    <row r="680" spans="1:20">
      <c r="A680" t="s">
        <v>1068</v>
      </c>
      <c r="B680" s="15">
        <v>45717</v>
      </c>
      <c r="C680" t="s">
        <v>19</v>
      </c>
      <c r="D680" t="s">
        <v>20</v>
      </c>
      <c r="E680" t="s">
        <v>37</v>
      </c>
      <c r="F680" t="s">
        <v>35</v>
      </c>
      <c r="G680" t="s">
        <v>11</v>
      </c>
      <c r="H680" s="8">
        <v>232</v>
      </c>
      <c r="I680" s="9">
        <v>142024.82999999999</v>
      </c>
      <c r="J680" s="9">
        <v>10125.620000000001</v>
      </c>
      <c r="K680" s="9">
        <v>1140.98</v>
      </c>
      <c r="L680" s="9">
        <v>130758.22</v>
      </c>
      <c r="M680" s="9">
        <v>127867.95</v>
      </c>
      <c r="N680" s="6" t="str">
        <f>_xlfn.XLOOKUP(tblSales[[#This Row],[ProductID]],tblProducts[ProductID],tblProducts[ProductName],"Not Found")</f>
        <v>RespiraX</v>
      </c>
      <c r="O680" s="8">
        <f>YEAR(tblSales[[#This Row],[Month]])</f>
        <v>2025</v>
      </c>
      <c r="P680" s="8">
        <f>MONTH(tblSales[[#This Row],[Month]])</f>
        <v>3</v>
      </c>
      <c r="Q680" s="6">
        <f>IFERROR(tblSales[[#This Row],[NetSalesTRY]]/tblSales[[#This Row],[Units]],0)</f>
        <v>563.61301724137934</v>
      </c>
      <c r="R680" s="17">
        <f>IFERROR(tblSales[[#This Row],[NetSalesTRY]]/tblSales[[#This Row],[TargetTRY]],0)</f>
        <v>1.0226035531186666</v>
      </c>
      <c r="S680" s="6">
        <f>tblSales[[#This Row],[NetSalesTRY]]-tblSales[[#This Row],[TargetTRY]]</f>
        <v>2890.2700000000041</v>
      </c>
      <c r="T680" s="6">
        <f>MAX(tblSales[[#This Row],[TargetTRY]]-tblSales[[#This Row],[NetSalesTRY]],0)</f>
        <v>0</v>
      </c>
    </row>
    <row r="681" spans="1:20">
      <c r="A681" t="s">
        <v>1069</v>
      </c>
      <c r="B681" s="15">
        <v>45717</v>
      </c>
      <c r="C681" t="s">
        <v>19</v>
      </c>
      <c r="D681" t="s">
        <v>20</v>
      </c>
      <c r="E681" t="s">
        <v>37</v>
      </c>
      <c r="F681" t="s">
        <v>35</v>
      </c>
      <c r="G681" t="s">
        <v>14</v>
      </c>
      <c r="H681" s="8">
        <v>115</v>
      </c>
      <c r="I681" s="9">
        <v>126075.94</v>
      </c>
      <c r="J681" s="9">
        <v>8679.11</v>
      </c>
      <c r="K681" s="9">
        <v>1101.56</v>
      </c>
      <c r="L681" s="9">
        <v>116295.28</v>
      </c>
      <c r="M681" s="9">
        <v>127194.9</v>
      </c>
      <c r="N681" s="6" t="str">
        <f>_xlfn.XLOOKUP(tblSales[[#This Row],[ProductID]],tblProducts[ProductID],tblProducts[ProductName],"Not Found")</f>
        <v>NeuroCalm</v>
      </c>
      <c r="O681" s="8">
        <f>YEAR(tblSales[[#This Row],[Month]])</f>
        <v>2025</v>
      </c>
      <c r="P681" s="8">
        <f>MONTH(tblSales[[#This Row],[Month]])</f>
        <v>3</v>
      </c>
      <c r="Q681" s="6">
        <f>IFERROR(tblSales[[#This Row],[NetSalesTRY]]/tblSales[[#This Row],[Units]],0)</f>
        <v>1011.2633043478261</v>
      </c>
      <c r="R681" s="17">
        <f>IFERROR(tblSales[[#This Row],[NetSalesTRY]]/tblSales[[#This Row],[TargetTRY]],0)</f>
        <v>0.91430772774694591</v>
      </c>
      <c r="S681" s="6">
        <f>tblSales[[#This Row],[NetSalesTRY]]-tblSales[[#This Row],[TargetTRY]]</f>
        <v>-10899.619999999995</v>
      </c>
      <c r="T681" s="6">
        <f>MAX(tblSales[[#This Row],[TargetTRY]]-tblSales[[#This Row],[NetSalesTRY]],0)</f>
        <v>10899.619999999995</v>
      </c>
    </row>
    <row r="682" spans="1:20">
      <c r="A682" t="s">
        <v>1070</v>
      </c>
      <c r="B682" s="15">
        <v>45717</v>
      </c>
      <c r="C682" t="s">
        <v>19</v>
      </c>
      <c r="D682" t="s">
        <v>20</v>
      </c>
      <c r="E682" t="s">
        <v>40</v>
      </c>
      <c r="F682" t="s">
        <v>38</v>
      </c>
      <c r="G682" t="s">
        <v>5</v>
      </c>
      <c r="H682" s="8">
        <v>170</v>
      </c>
      <c r="I682" s="9">
        <v>168215.75</v>
      </c>
      <c r="J682" s="9">
        <v>7751.41</v>
      </c>
      <c r="K682" s="9">
        <v>1037.4000000000001</v>
      </c>
      <c r="L682" s="9">
        <v>159426.94</v>
      </c>
      <c r="M682" s="9">
        <v>165686.91</v>
      </c>
      <c r="N682" s="6" t="str">
        <f>_xlfn.XLOOKUP(tblSales[[#This Row],[ProductID]],tblProducts[ProductID],tblProducts[ProductName],"Not Found")</f>
        <v>Cardiovan</v>
      </c>
      <c r="O682" s="8">
        <f>YEAR(tblSales[[#This Row],[Month]])</f>
        <v>2025</v>
      </c>
      <c r="P682" s="8">
        <f>MONTH(tblSales[[#This Row],[Month]])</f>
        <v>3</v>
      </c>
      <c r="Q682" s="6">
        <f>IFERROR(tblSales[[#This Row],[NetSalesTRY]]/tblSales[[#This Row],[Units]],0)</f>
        <v>937.80552941176472</v>
      </c>
      <c r="R682" s="17">
        <f>IFERROR(tblSales[[#This Row],[NetSalesTRY]]/tblSales[[#This Row],[TargetTRY]],0)</f>
        <v>0.96221807745705434</v>
      </c>
      <c r="S682" s="6">
        <f>tblSales[[#This Row],[NetSalesTRY]]-tblSales[[#This Row],[TargetTRY]]</f>
        <v>-6259.9700000000012</v>
      </c>
      <c r="T682" s="6">
        <f>MAX(tblSales[[#This Row],[TargetTRY]]-tblSales[[#This Row],[NetSalesTRY]],0)</f>
        <v>6259.9700000000012</v>
      </c>
    </row>
    <row r="683" spans="1:20">
      <c r="A683" t="s">
        <v>1071</v>
      </c>
      <c r="B683" s="15">
        <v>45717</v>
      </c>
      <c r="C683" t="s">
        <v>19</v>
      </c>
      <c r="D683" t="s">
        <v>20</v>
      </c>
      <c r="E683" t="s">
        <v>40</v>
      </c>
      <c r="F683" t="s">
        <v>38</v>
      </c>
      <c r="G683" t="s">
        <v>8</v>
      </c>
      <c r="H683" s="8">
        <v>218</v>
      </c>
      <c r="I683" s="9">
        <v>166235.25</v>
      </c>
      <c r="J683" s="9">
        <v>11554.44</v>
      </c>
      <c r="K683" s="9">
        <v>1182.8399999999999</v>
      </c>
      <c r="L683" s="9">
        <v>153497.97</v>
      </c>
      <c r="M683" s="9">
        <v>153722.76</v>
      </c>
      <c r="N683" s="6" t="str">
        <f>_xlfn.XLOOKUP(tblSales[[#This Row],[ProductID]],tblProducts[ProductID],tblProducts[ProductName],"Not Found")</f>
        <v>GlucoRelief</v>
      </c>
      <c r="O683" s="8">
        <f>YEAR(tblSales[[#This Row],[Month]])</f>
        <v>2025</v>
      </c>
      <c r="P683" s="8">
        <f>MONTH(tblSales[[#This Row],[Month]])</f>
        <v>3</v>
      </c>
      <c r="Q683" s="6">
        <f>IFERROR(tblSales[[#This Row],[NetSalesTRY]]/tblSales[[#This Row],[Units]],0)</f>
        <v>704.11912844036692</v>
      </c>
      <c r="R683" s="17">
        <f>IFERROR(tblSales[[#This Row],[NetSalesTRY]]/tblSales[[#This Row],[TargetTRY]],0)</f>
        <v>0.99853769214135879</v>
      </c>
      <c r="S683" s="6">
        <f>tblSales[[#This Row],[NetSalesTRY]]-tblSales[[#This Row],[TargetTRY]]</f>
        <v>-224.79000000000815</v>
      </c>
      <c r="T683" s="6">
        <f>MAX(tblSales[[#This Row],[TargetTRY]]-tblSales[[#This Row],[NetSalesTRY]],0)</f>
        <v>224.79000000000815</v>
      </c>
    </row>
    <row r="684" spans="1:20">
      <c r="A684" t="s">
        <v>1072</v>
      </c>
      <c r="B684" s="15">
        <v>45717</v>
      </c>
      <c r="C684" t="s">
        <v>19</v>
      </c>
      <c r="D684" t="s">
        <v>20</v>
      </c>
      <c r="E684" t="s">
        <v>40</v>
      </c>
      <c r="F684" t="s">
        <v>38</v>
      </c>
      <c r="G684" t="s">
        <v>11</v>
      </c>
      <c r="H684" s="8">
        <v>251</v>
      </c>
      <c r="I684" s="9">
        <v>153810.34</v>
      </c>
      <c r="J684" s="9">
        <v>7041.45</v>
      </c>
      <c r="K684" s="9">
        <v>762.16</v>
      </c>
      <c r="L684" s="9">
        <v>146006.73000000001</v>
      </c>
      <c r="M684" s="9">
        <v>143969.38</v>
      </c>
      <c r="N684" s="6" t="str">
        <f>_xlfn.XLOOKUP(tblSales[[#This Row],[ProductID]],tblProducts[ProductID],tblProducts[ProductName],"Not Found")</f>
        <v>RespiraX</v>
      </c>
      <c r="O684" s="8">
        <f>YEAR(tblSales[[#This Row],[Month]])</f>
        <v>2025</v>
      </c>
      <c r="P684" s="8">
        <f>MONTH(tblSales[[#This Row],[Month]])</f>
        <v>3</v>
      </c>
      <c r="Q684" s="6">
        <f>IFERROR(tblSales[[#This Row],[NetSalesTRY]]/tblSales[[#This Row],[Units]],0)</f>
        <v>581.70011952191237</v>
      </c>
      <c r="R684" s="17">
        <f>IFERROR(tblSales[[#This Row],[NetSalesTRY]]/tblSales[[#This Row],[TargetTRY]],0)</f>
        <v>1.0141512729998561</v>
      </c>
      <c r="S684" s="6">
        <f>tblSales[[#This Row],[NetSalesTRY]]-tblSales[[#This Row],[TargetTRY]]</f>
        <v>2037.3500000000058</v>
      </c>
      <c r="T684" s="6">
        <f>MAX(tblSales[[#This Row],[TargetTRY]]-tblSales[[#This Row],[NetSalesTRY]],0)</f>
        <v>0</v>
      </c>
    </row>
    <row r="685" spans="1:20">
      <c r="A685" t="s">
        <v>1073</v>
      </c>
      <c r="B685" s="15">
        <v>45717</v>
      </c>
      <c r="C685" t="s">
        <v>19</v>
      </c>
      <c r="D685" t="s">
        <v>20</v>
      </c>
      <c r="E685" t="s">
        <v>40</v>
      </c>
      <c r="F685" t="s">
        <v>38</v>
      </c>
      <c r="G685" t="s">
        <v>14</v>
      </c>
      <c r="H685" s="8">
        <v>136</v>
      </c>
      <c r="I685" s="9">
        <v>150909.85</v>
      </c>
      <c r="J685" s="9">
        <v>8599.14</v>
      </c>
      <c r="K685" s="9">
        <v>765.41</v>
      </c>
      <c r="L685" s="9">
        <v>141545.29999999999</v>
      </c>
      <c r="M685" s="9">
        <v>138204.60999999999</v>
      </c>
      <c r="N685" s="6" t="str">
        <f>_xlfn.XLOOKUP(tblSales[[#This Row],[ProductID]],tblProducts[ProductID],tblProducts[ProductName],"Not Found")</f>
        <v>NeuroCalm</v>
      </c>
      <c r="O685" s="8">
        <f>YEAR(tblSales[[#This Row],[Month]])</f>
        <v>2025</v>
      </c>
      <c r="P685" s="8">
        <f>MONTH(tblSales[[#This Row],[Month]])</f>
        <v>3</v>
      </c>
      <c r="Q685" s="6">
        <f>IFERROR(tblSales[[#This Row],[NetSalesTRY]]/tblSales[[#This Row],[Units]],0)</f>
        <v>1040.7742647058822</v>
      </c>
      <c r="R685" s="17">
        <f>IFERROR(tblSales[[#This Row],[NetSalesTRY]]/tblSales[[#This Row],[TargetTRY]],0)</f>
        <v>1.0241720590941215</v>
      </c>
      <c r="S685" s="6">
        <f>tblSales[[#This Row],[NetSalesTRY]]-tblSales[[#This Row],[TargetTRY]]</f>
        <v>3340.6900000000023</v>
      </c>
      <c r="T685" s="6">
        <f>MAX(tblSales[[#This Row],[TargetTRY]]-tblSales[[#This Row],[NetSalesTRY]],0)</f>
        <v>0</v>
      </c>
    </row>
    <row r="686" spans="1:20">
      <c r="A686" t="s">
        <v>1074</v>
      </c>
      <c r="B686" s="15">
        <v>45717</v>
      </c>
      <c r="C686" t="s">
        <v>21</v>
      </c>
      <c r="D686" t="s">
        <v>22</v>
      </c>
      <c r="E686" t="s">
        <v>43</v>
      </c>
      <c r="F686" t="s">
        <v>41</v>
      </c>
      <c r="G686" t="s">
        <v>5</v>
      </c>
      <c r="H686" s="8">
        <v>106</v>
      </c>
      <c r="I686" s="9">
        <v>104723.29</v>
      </c>
      <c r="J686" s="9">
        <v>7301.62</v>
      </c>
      <c r="K686" s="9">
        <v>1306.28</v>
      </c>
      <c r="L686" s="9">
        <v>96115.4</v>
      </c>
      <c r="M686" s="9">
        <v>120720.68</v>
      </c>
      <c r="N686" s="6" t="str">
        <f>_xlfn.XLOOKUP(tblSales[[#This Row],[ProductID]],tblProducts[ProductID],tblProducts[ProductName],"Not Found")</f>
        <v>Cardiovan</v>
      </c>
      <c r="O686" s="8">
        <f>YEAR(tblSales[[#This Row],[Month]])</f>
        <v>2025</v>
      </c>
      <c r="P686" s="8">
        <f>MONTH(tblSales[[#This Row],[Month]])</f>
        <v>3</v>
      </c>
      <c r="Q686" s="6">
        <f>IFERROR(tblSales[[#This Row],[NetSalesTRY]]/tblSales[[#This Row],[Units]],0)</f>
        <v>906.74905660377351</v>
      </c>
      <c r="R686" s="17">
        <f>IFERROR(tblSales[[#This Row],[NetSalesTRY]]/tblSales[[#This Row],[TargetTRY]],0)</f>
        <v>0.79618007453238338</v>
      </c>
      <c r="S686" s="6">
        <f>tblSales[[#This Row],[NetSalesTRY]]-tblSales[[#This Row],[TargetTRY]]</f>
        <v>-24605.279999999999</v>
      </c>
      <c r="T686" s="6">
        <f>MAX(tblSales[[#This Row],[TargetTRY]]-tblSales[[#This Row],[NetSalesTRY]],0)</f>
        <v>24605.279999999999</v>
      </c>
    </row>
    <row r="687" spans="1:20">
      <c r="A687" t="s">
        <v>1075</v>
      </c>
      <c r="B687" s="15">
        <v>45717</v>
      </c>
      <c r="C687" t="s">
        <v>21</v>
      </c>
      <c r="D687" t="s">
        <v>22</v>
      </c>
      <c r="E687" t="s">
        <v>43</v>
      </c>
      <c r="F687" t="s">
        <v>41</v>
      </c>
      <c r="G687" t="s">
        <v>8</v>
      </c>
      <c r="H687" s="8">
        <v>145</v>
      </c>
      <c r="I687" s="9">
        <v>109360.37</v>
      </c>
      <c r="J687" s="9">
        <v>7332.58</v>
      </c>
      <c r="K687" s="9">
        <v>1504.81</v>
      </c>
      <c r="L687" s="9">
        <v>100522.98</v>
      </c>
      <c r="M687" s="9">
        <v>112344.9</v>
      </c>
      <c r="N687" s="6" t="str">
        <f>_xlfn.XLOOKUP(tblSales[[#This Row],[ProductID]],tblProducts[ProductID],tblProducts[ProductName],"Not Found")</f>
        <v>GlucoRelief</v>
      </c>
      <c r="O687" s="8">
        <f>YEAR(tblSales[[#This Row],[Month]])</f>
        <v>2025</v>
      </c>
      <c r="P687" s="8">
        <f>MONTH(tblSales[[#This Row],[Month]])</f>
        <v>3</v>
      </c>
      <c r="Q687" s="6">
        <f>IFERROR(tblSales[[#This Row],[NetSalesTRY]]/tblSales[[#This Row],[Units]],0)</f>
        <v>693.2619310344827</v>
      </c>
      <c r="R687" s="17">
        <f>IFERROR(tblSales[[#This Row],[NetSalesTRY]]/tblSales[[#This Row],[TargetTRY]],0)</f>
        <v>0.89477119121562265</v>
      </c>
      <c r="S687" s="6">
        <f>tblSales[[#This Row],[NetSalesTRY]]-tblSales[[#This Row],[TargetTRY]]</f>
        <v>-11821.919999999998</v>
      </c>
      <c r="T687" s="6">
        <f>MAX(tblSales[[#This Row],[TargetTRY]]-tblSales[[#This Row],[NetSalesTRY]],0)</f>
        <v>11821.919999999998</v>
      </c>
    </row>
    <row r="688" spans="1:20">
      <c r="A688" t="s">
        <v>1076</v>
      </c>
      <c r="B688" s="15">
        <v>45717</v>
      </c>
      <c r="C688" t="s">
        <v>21</v>
      </c>
      <c r="D688" t="s">
        <v>22</v>
      </c>
      <c r="E688" t="s">
        <v>43</v>
      </c>
      <c r="F688" t="s">
        <v>41</v>
      </c>
      <c r="G688" t="s">
        <v>11</v>
      </c>
      <c r="H688" s="8">
        <v>179</v>
      </c>
      <c r="I688" s="9">
        <v>109401.76</v>
      </c>
      <c r="J688" s="9">
        <v>5273.69</v>
      </c>
      <c r="K688" s="9">
        <v>839.25</v>
      </c>
      <c r="L688" s="9">
        <v>103288.82</v>
      </c>
      <c r="M688" s="9">
        <v>105626.84</v>
      </c>
      <c r="N688" s="6" t="str">
        <f>_xlfn.XLOOKUP(tblSales[[#This Row],[ProductID]],tblProducts[ProductID],tblProducts[ProductName],"Not Found")</f>
        <v>RespiraX</v>
      </c>
      <c r="O688" s="8">
        <f>YEAR(tblSales[[#This Row],[Month]])</f>
        <v>2025</v>
      </c>
      <c r="P688" s="8">
        <f>MONTH(tblSales[[#This Row],[Month]])</f>
        <v>3</v>
      </c>
      <c r="Q688" s="6">
        <f>IFERROR(tblSales[[#This Row],[NetSalesTRY]]/tblSales[[#This Row],[Units]],0)</f>
        <v>577.03251396648045</v>
      </c>
      <c r="R688" s="17">
        <f>IFERROR(tblSales[[#This Row],[NetSalesTRY]]/tblSales[[#This Row],[TargetTRY]],0)</f>
        <v>0.97786528499763892</v>
      </c>
      <c r="S688" s="6">
        <f>tblSales[[#This Row],[NetSalesTRY]]-tblSales[[#This Row],[TargetTRY]]</f>
        <v>-2338.0199999999895</v>
      </c>
      <c r="T688" s="6">
        <f>MAX(tblSales[[#This Row],[TargetTRY]]-tblSales[[#This Row],[NetSalesTRY]],0)</f>
        <v>2338.0199999999895</v>
      </c>
    </row>
    <row r="689" spans="1:20">
      <c r="A689" t="s">
        <v>1077</v>
      </c>
      <c r="B689" s="15">
        <v>45717</v>
      </c>
      <c r="C689" t="s">
        <v>21</v>
      </c>
      <c r="D689" t="s">
        <v>22</v>
      </c>
      <c r="E689" t="s">
        <v>43</v>
      </c>
      <c r="F689" t="s">
        <v>41</v>
      </c>
      <c r="G689" t="s">
        <v>14</v>
      </c>
      <c r="H689" s="8">
        <v>89</v>
      </c>
      <c r="I689" s="9">
        <v>98267.43</v>
      </c>
      <c r="J689" s="9">
        <v>3844.8</v>
      </c>
      <c r="K689" s="9">
        <v>657.94</v>
      </c>
      <c r="L689" s="9">
        <v>93764.7</v>
      </c>
      <c r="M689" s="9">
        <v>99811.44</v>
      </c>
      <c r="N689" s="6" t="str">
        <f>_xlfn.XLOOKUP(tblSales[[#This Row],[ProductID]],tblProducts[ProductID],tblProducts[ProductName],"Not Found")</f>
        <v>NeuroCalm</v>
      </c>
      <c r="O689" s="8">
        <f>YEAR(tblSales[[#This Row],[Month]])</f>
        <v>2025</v>
      </c>
      <c r="P689" s="8">
        <f>MONTH(tblSales[[#This Row],[Month]])</f>
        <v>3</v>
      </c>
      <c r="Q689" s="6">
        <f>IFERROR(tblSales[[#This Row],[NetSalesTRY]]/tblSales[[#This Row],[Units]],0)</f>
        <v>1053.5359550561798</v>
      </c>
      <c r="R689" s="17">
        <f>IFERROR(tblSales[[#This Row],[NetSalesTRY]]/tblSales[[#This Row],[TargetTRY]],0)</f>
        <v>0.9394183672733305</v>
      </c>
      <c r="S689" s="6">
        <f>tblSales[[#This Row],[NetSalesTRY]]-tblSales[[#This Row],[TargetTRY]]</f>
        <v>-6046.7400000000052</v>
      </c>
      <c r="T689" s="6">
        <f>MAX(tblSales[[#This Row],[TargetTRY]]-tblSales[[#This Row],[NetSalesTRY]],0)</f>
        <v>6046.7400000000052</v>
      </c>
    </row>
    <row r="690" spans="1:20">
      <c r="A690" t="s">
        <v>1078</v>
      </c>
      <c r="B690" s="15">
        <v>45717</v>
      </c>
      <c r="C690" t="s">
        <v>21</v>
      </c>
      <c r="D690" t="s">
        <v>22</v>
      </c>
      <c r="E690" t="s">
        <v>46</v>
      </c>
      <c r="F690" t="s">
        <v>44</v>
      </c>
      <c r="G690" t="s">
        <v>5</v>
      </c>
      <c r="H690" s="8">
        <v>92</v>
      </c>
      <c r="I690" s="9">
        <v>89515.82</v>
      </c>
      <c r="J690" s="9">
        <v>5811.16</v>
      </c>
      <c r="K690" s="9">
        <v>1104.69</v>
      </c>
      <c r="L690" s="9">
        <v>82599.97</v>
      </c>
      <c r="M690" s="9">
        <v>109250.16</v>
      </c>
      <c r="N690" s="6" t="str">
        <f>_xlfn.XLOOKUP(tblSales[[#This Row],[ProductID]],tblProducts[ProductID],tblProducts[ProductName],"Not Found")</f>
        <v>Cardiovan</v>
      </c>
      <c r="O690" s="8">
        <f>YEAR(tblSales[[#This Row],[Month]])</f>
        <v>2025</v>
      </c>
      <c r="P690" s="8">
        <f>MONTH(tblSales[[#This Row],[Month]])</f>
        <v>3</v>
      </c>
      <c r="Q690" s="6">
        <f>IFERROR(tblSales[[#This Row],[NetSalesTRY]]/tblSales[[#This Row],[Units]],0)</f>
        <v>897.82576086956522</v>
      </c>
      <c r="R690" s="17">
        <f>IFERROR(tblSales[[#This Row],[NetSalesTRY]]/tblSales[[#This Row],[TargetTRY]],0)</f>
        <v>0.75606269134983417</v>
      </c>
      <c r="S690" s="6">
        <f>tblSales[[#This Row],[NetSalesTRY]]-tblSales[[#This Row],[TargetTRY]]</f>
        <v>-26650.190000000002</v>
      </c>
      <c r="T690" s="6">
        <f>MAX(tblSales[[#This Row],[TargetTRY]]-tblSales[[#This Row],[NetSalesTRY]],0)</f>
        <v>26650.190000000002</v>
      </c>
    </row>
    <row r="691" spans="1:20">
      <c r="A691" t="s">
        <v>1079</v>
      </c>
      <c r="B691" s="15">
        <v>45717</v>
      </c>
      <c r="C691" t="s">
        <v>21</v>
      </c>
      <c r="D691" t="s">
        <v>22</v>
      </c>
      <c r="E691" t="s">
        <v>46</v>
      </c>
      <c r="F691" t="s">
        <v>44</v>
      </c>
      <c r="G691" t="s">
        <v>8</v>
      </c>
      <c r="H691" s="8">
        <v>137</v>
      </c>
      <c r="I691" s="9">
        <v>104012.82</v>
      </c>
      <c r="J691" s="9">
        <v>4669.5600000000004</v>
      </c>
      <c r="K691" s="9">
        <v>823.89</v>
      </c>
      <c r="L691" s="9">
        <v>98519.38</v>
      </c>
      <c r="M691" s="9">
        <v>98573.440000000002</v>
      </c>
      <c r="N691" s="6" t="str">
        <f>_xlfn.XLOOKUP(tblSales[[#This Row],[ProductID]],tblProducts[ProductID],tblProducts[ProductName],"Not Found")</f>
        <v>GlucoRelief</v>
      </c>
      <c r="O691" s="8">
        <f>YEAR(tblSales[[#This Row],[Month]])</f>
        <v>2025</v>
      </c>
      <c r="P691" s="8">
        <f>MONTH(tblSales[[#This Row],[Month]])</f>
        <v>3</v>
      </c>
      <c r="Q691" s="6">
        <f>IFERROR(tblSales[[#This Row],[NetSalesTRY]]/tblSales[[#This Row],[Units]],0)</f>
        <v>719.11956204379567</v>
      </c>
      <c r="R691" s="17">
        <f>IFERROR(tblSales[[#This Row],[NetSalesTRY]]/tblSales[[#This Row],[TargetTRY]],0)</f>
        <v>0.99945157640841187</v>
      </c>
      <c r="S691" s="6">
        <f>tblSales[[#This Row],[NetSalesTRY]]-tblSales[[#This Row],[TargetTRY]]</f>
        <v>-54.059999999997672</v>
      </c>
      <c r="T691" s="6">
        <f>MAX(tblSales[[#This Row],[TargetTRY]]-tblSales[[#This Row],[NetSalesTRY]],0)</f>
        <v>54.059999999997672</v>
      </c>
    </row>
    <row r="692" spans="1:20">
      <c r="A692" t="s">
        <v>1080</v>
      </c>
      <c r="B692" s="15">
        <v>45717</v>
      </c>
      <c r="C692" t="s">
        <v>21</v>
      </c>
      <c r="D692" t="s">
        <v>22</v>
      </c>
      <c r="E692" t="s">
        <v>46</v>
      </c>
      <c r="F692" t="s">
        <v>44</v>
      </c>
      <c r="G692" t="s">
        <v>11</v>
      </c>
      <c r="H692" s="8">
        <v>151</v>
      </c>
      <c r="I692" s="9">
        <v>94285.47</v>
      </c>
      <c r="J692" s="9">
        <v>3975.45</v>
      </c>
      <c r="K692" s="9">
        <v>558.96</v>
      </c>
      <c r="L692" s="9">
        <v>89751.06</v>
      </c>
      <c r="M692" s="9">
        <v>91988.59</v>
      </c>
      <c r="N692" s="6" t="str">
        <f>_xlfn.XLOOKUP(tblSales[[#This Row],[ProductID]],tblProducts[ProductID],tblProducts[ProductName],"Not Found")</f>
        <v>RespiraX</v>
      </c>
      <c r="O692" s="8">
        <f>YEAR(tblSales[[#This Row],[Month]])</f>
        <v>2025</v>
      </c>
      <c r="P692" s="8">
        <f>MONTH(tblSales[[#This Row],[Month]])</f>
        <v>3</v>
      </c>
      <c r="Q692" s="6">
        <f>IFERROR(tblSales[[#This Row],[NetSalesTRY]]/tblSales[[#This Row],[Units]],0)</f>
        <v>594.37788079470192</v>
      </c>
      <c r="R692" s="17">
        <f>IFERROR(tblSales[[#This Row],[NetSalesTRY]]/tblSales[[#This Row],[TargetTRY]],0)</f>
        <v>0.97567600503497232</v>
      </c>
      <c r="S692" s="6">
        <f>tblSales[[#This Row],[NetSalesTRY]]-tblSales[[#This Row],[TargetTRY]]</f>
        <v>-2237.5299999999988</v>
      </c>
      <c r="T692" s="6">
        <f>MAX(tblSales[[#This Row],[TargetTRY]]-tblSales[[#This Row],[NetSalesTRY]],0)</f>
        <v>2237.5299999999988</v>
      </c>
    </row>
    <row r="693" spans="1:20">
      <c r="A693" t="s">
        <v>1081</v>
      </c>
      <c r="B693" s="15">
        <v>45717</v>
      </c>
      <c r="C693" t="s">
        <v>21</v>
      </c>
      <c r="D693" t="s">
        <v>22</v>
      </c>
      <c r="E693" t="s">
        <v>46</v>
      </c>
      <c r="F693" t="s">
        <v>44</v>
      </c>
      <c r="G693" t="s">
        <v>14</v>
      </c>
      <c r="H693" s="8">
        <v>79</v>
      </c>
      <c r="I693" s="9">
        <v>86415.05</v>
      </c>
      <c r="J693" s="9">
        <v>4632.3500000000004</v>
      </c>
      <c r="K693" s="9">
        <v>780.78</v>
      </c>
      <c r="L693" s="9">
        <v>81001.919999999998</v>
      </c>
      <c r="M693" s="9">
        <v>89953.87</v>
      </c>
      <c r="N693" s="6" t="str">
        <f>_xlfn.XLOOKUP(tblSales[[#This Row],[ProductID]],tblProducts[ProductID],tblProducts[ProductName],"Not Found")</f>
        <v>NeuroCalm</v>
      </c>
      <c r="O693" s="8">
        <f>YEAR(tblSales[[#This Row],[Month]])</f>
        <v>2025</v>
      </c>
      <c r="P693" s="8">
        <f>MONTH(tblSales[[#This Row],[Month]])</f>
        <v>3</v>
      </c>
      <c r="Q693" s="6">
        <f>IFERROR(tblSales[[#This Row],[NetSalesTRY]]/tblSales[[#This Row],[Units]],0)</f>
        <v>1025.3407594936709</v>
      </c>
      <c r="R693" s="17">
        <f>IFERROR(tblSales[[#This Row],[NetSalesTRY]]/tblSales[[#This Row],[TargetTRY]],0)</f>
        <v>0.90048288083658878</v>
      </c>
      <c r="S693" s="6">
        <f>tblSales[[#This Row],[NetSalesTRY]]-tblSales[[#This Row],[TargetTRY]]</f>
        <v>-8951.9499999999971</v>
      </c>
      <c r="T693" s="6">
        <f>MAX(tblSales[[#This Row],[TargetTRY]]-tblSales[[#This Row],[NetSalesTRY]],0)</f>
        <v>8951.9499999999971</v>
      </c>
    </row>
    <row r="694" spans="1:20">
      <c r="A694" t="s">
        <v>1082</v>
      </c>
      <c r="B694" s="15">
        <v>45717</v>
      </c>
      <c r="C694" t="s">
        <v>21</v>
      </c>
      <c r="D694" t="s">
        <v>22</v>
      </c>
      <c r="E694" t="s">
        <v>49</v>
      </c>
      <c r="F694" t="s">
        <v>47</v>
      </c>
      <c r="G694" t="s">
        <v>5</v>
      </c>
      <c r="H694" s="8">
        <v>112</v>
      </c>
      <c r="I694" s="9">
        <v>109933.18</v>
      </c>
      <c r="J694" s="9">
        <v>6010.41</v>
      </c>
      <c r="K694" s="9">
        <v>604.09</v>
      </c>
      <c r="L694" s="9">
        <v>103318.67</v>
      </c>
      <c r="M694" s="9">
        <v>123268.15</v>
      </c>
      <c r="N694" s="6" t="str">
        <f>_xlfn.XLOOKUP(tblSales[[#This Row],[ProductID]],tblProducts[ProductID],tblProducts[ProductName],"Not Found")</f>
        <v>Cardiovan</v>
      </c>
      <c r="O694" s="8">
        <f>YEAR(tblSales[[#This Row],[Month]])</f>
        <v>2025</v>
      </c>
      <c r="P694" s="8">
        <f>MONTH(tblSales[[#This Row],[Month]])</f>
        <v>3</v>
      </c>
      <c r="Q694" s="6">
        <f>IFERROR(tblSales[[#This Row],[NetSalesTRY]]/tblSales[[#This Row],[Units]],0)</f>
        <v>922.48812499999997</v>
      </c>
      <c r="R694" s="17">
        <f>IFERROR(tblSales[[#This Row],[NetSalesTRY]]/tblSales[[#This Row],[TargetTRY]],0)</f>
        <v>0.83816192585027038</v>
      </c>
      <c r="S694" s="6">
        <f>tblSales[[#This Row],[NetSalesTRY]]-tblSales[[#This Row],[TargetTRY]]</f>
        <v>-19949.479999999996</v>
      </c>
      <c r="T694" s="6">
        <f>MAX(tblSales[[#This Row],[TargetTRY]]-tblSales[[#This Row],[NetSalesTRY]],0)</f>
        <v>19949.479999999996</v>
      </c>
    </row>
    <row r="695" spans="1:20">
      <c r="A695" t="s">
        <v>1083</v>
      </c>
      <c r="B695" s="15">
        <v>45717</v>
      </c>
      <c r="C695" t="s">
        <v>21</v>
      </c>
      <c r="D695" t="s">
        <v>22</v>
      </c>
      <c r="E695" t="s">
        <v>49</v>
      </c>
      <c r="F695" t="s">
        <v>47</v>
      </c>
      <c r="G695" t="s">
        <v>8</v>
      </c>
      <c r="H695" s="8">
        <v>141</v>
      </c>
      <c r="I695" s="9">
        <v>106861.36</v>
      </c>
      <c r="J695" s="9">
        <v>4288.74</v>
      </c>
      <c r="K695" s="9">
        <v>1177.9000000000001</v>
      </c>
      <c r="L695" s="9">
        <v>101394.73</v>
      </c>
      <c r="M695" s="9">
        <v>109236.38</v>
      </c>
      <c r="N695" s="6" t="str">
        <f>_xlfn.XLOOKUP(tblSales[[#This Row],[ProductID]],tblProducts[ProductID],tblProducts[ProductName],"Not Found")</f>
        <v>GlucoRelief</v>
      </c>
      <c r="O695" s="8">
        <f>YEAR(tblSales[[#This Row],[Month]])</f>
        <v>2025</v>
      </c>
      <c r="P695" s="8">
        <f>MONTH(tblSales[[#This Row],[Month]])</f>
        <v>3</v>
      </c>
      <c r="Q695" s="6">
        <f>IFERROR(tblSales[[#This Row],[NetSalesTRY]]/tblSales[[#This Row],[Units]],0)</f>
        <v>719.11156028368794</v>
      </c>
      <c r="R695" s="17">
        <f>IFERROR(tblSales[[#This Row],[NetSalesTRY]]/tblSales[[#This Row],[TargetTRY]],0)</f>
        <v>0.92821393385610174</v>
      </c>
      <c r="S695" s="6">
        <f>tblSales[[#This Row],[NetSalesTRY]]-tblSales[[#This Row],[TargetTRY]]</f>
        <v>-7841.6500000000087</v>
      </c>
      <c r="T695" s="6">
        <f>MAX(tblSales[[#This Row],[TargetTRY]]-tblSales[[#This Row],[NetSalesTRY]],0)</f>
        <v>7841.6500000000087</v>
      </c>
    </row>
    <row r="696" spans="1:20">
      <c r="A696" t="s">
        <v>1084</v>
      </c>
      <c r="B696" s="15">
        <v>45717</v>
      </c>
      <c r="C696" t="s">
        <v>21</v>
      </c>
      <c r="D696" t="s">
        <v>22</v>
      </c>
      <c r="E696" t="s">
        <v>49</v>
      </c>
      <c r="F696" t="s">
        <v>47</v>
      </c>
      <c r="G696" t="s">
        <v>11</v>
      </c>
      <c r="H696" s="8">
        <v>174</v>
      </c>
      <c r="I696" s="9">
        <v>107478.83</v>
      </c>
      <c r="J696" s="9">
        <v>7989.2</v>
      </c>
      <c r="K696" s="9">
        <v>1184.45</v>
      </c>
      <c r="L696" s="9">
        <v>98305.18</v>
      </c>
      <c r="M696" s="9">
        <v>104457.74</v>
      </c>
      <c r="N696" s="6" t="str">
        <f>_xlfn.XLOOKUP(tblSales[[#This Row],[ProductID]],tblProducts[ProductID],tblProducts[ProductName],"Not Found")</f>
        <v>RespiraX</v>
      </c>
      <c r="O696" s="8">
        <f>YEAR(tblSales[[#This Row],[Month]])</f>
        <v>2025</v>
      </c>
      <c r="P696" s="8">
        <f>MONTH(tblSales[[#This Row],[Month]])</f>
        <v>3</v>
      </c>
      <c r="Q696" s="6">
        <f>IFERROR(tblSales[[#This Row],[NetSalesTRY]]/tblSales[[#This Row],[Units]],0)</f>
        <v>564.9722988505747</v>
      </c>
      <c r="R696" s="17">
        <f>IFERROR(tblSales[[#This Row],[NetSalesTRY]]/tblSales[[#This Row],[TargetTRY]],0)</f>
        <v>0.9411000084818989</v>
      </c>
      <c r="S696" s="6">
        <f>tblSales[[#This Row],[NetSalesTRY]]-tblSales[[#This Row],[TargetTRY]]</f>
        <v>-6152.5600000000122</v>
      </c>
      <c r="T696" s="6">
        <f>MAX(tblSales[[#This Row],[TargetTRY]]-tblSales[[#This Row],[NetSalesTRY]],0)</f>
        <v>6152.5600000000122</v>
      </c>
    </row>
    <row r="697" spans="1:20">
      <c r="A697" t="s">
        <v>1085</v>
      </c>
      <c r="B697" s="15">
        <v>45717</v>
      </c>
      <c r="C697" t="s">
        <v>21</v>
      </c>
      <c r="D697" t="s">
        <v>22</v>
      </c>
      <c r="E697" t="s">
        <v>49</v>
      </c>
      <c r="F697" t="s">
        <v>47</v>
      </c>
      <c r="G697" t="s">
        <v>14</v>
      </c>
      <c r="H697" s="8">
        <v>93</v>
      </c>
      <c r="I697" s="9">
        <v>101026.71</v>
      </c>
      <c r="J697" s="9">
        <v>5646.33</v>
      </c>
      <c r="K697" s="9">
        <v>1205.51</v>
      </c>
      <c r="L697" s="9">
        <v>94174.87</v>
      </c>
      <c r="M697" s="9">
        <v>99001.19</v>
      </c>
      <c r="N697" s="6" t="str">
        <f>_xlfn.XLOOKUP(tblSales[[#This Row],[ProductID]],tblProducts[ProductID],tblProducts[ProductName],"Not Found")</f>
        <v>NeuroCalm</v>
      </c>
      <c r="O697" s="8">
        <f>YEAR(tblSales[[#This Row],[Month]])</f>
        <v>2025</v>
      </c>
      <c r="P697" s="8">
        <f>MONTH(tblSales[[#This Row],[Month]])</f>
        <v>3</v>
      </c>
      <c r="Q697" s="6">
        <f>IFERROR(tblSales[[#This Row],[NetSalesTRY]]/tblSales[[#This Row],[Units]],0)</f>
        <v>1012.6330107526882</v>
      </c>
      <c r="R697" s="17">
        <f>IFERROR(tblSales[[#This Row],[NetSalesTRY]]/tblSales[[#This Row],[TargetTRY]],0)</f>
        <v>0.95124987891559676</v>
      </c>
      <c r="S697" s="6">
        <f>tblSales[[#This Row],[NetSalesTRY]]-tblSales[[#This Row],[TargetTRY]]</f>
        <v>-4826.320000000007</v>
      </c>
      <c r="T697" s="6">
        <f>MAX(tblSales[[#This Row],[TargetTRY]]-tblSales[[#This Row],[NetSalesTRY]],0)</f>
        <v>4826.320000000007</v>
      </c>
    </row>
    <row r="698" spans="1:20">
      <c r="A698" t="s">
        <v>1086</v>
      </c>
      <c r="B698" s="15">
        <v>45717</v>
      </c>
      <c r="C698" t="s">
        <v>23</v>
      </c>
      <c r="D698" t="s">
        <v>24</v>
      </c>
      <c r="E698" t="s">
        <v>52</v>
      </c>
      <c r="F698" t="s">
        <v>50</v>
      </c>
      <c r="G698" t="s">
        <v>5</v>
      </c>
      <c r="H698" s="8">
        <v>134</v>
      </c>
      <c r="I698" s="9">
        <v>132385.12</v>
      </c>
      <c r="J698" s="9">
        <v>8562.34</v>
      </c>
      <c r="K698" s="9">
        <v>793.36</v>
      </c>
      <c r="L698" s="9">
        <v>123029.42</v>
      </c>
      <c r="M698" s="9">
        <v>120755.93</v>
      </c>
      <c r="N698" s="6" t="str">
        <f>_xlfn.XLOOKUP(tblSales[[#This Row],[ProductID]],tblProducts[ProductID],tblProducts[ProductName],"Not Found")</f>
        <v>Cardiovan</v>
      </c>
      <c r="O698" s="8">
        <f>YEAR(tblSales[[#This Row],[Month]])</f>
        <v>2025</v>
      </c>
      <c r="P698" s="8">
        <f>MONTH(tblSales[[#This Row],[Month]])</f>
        <v>3</v>
      </c>
      <c r="Q698" s="6">
        <f>IFERROR(tblSales[[#This Row],[NetSalesTRY]]/tblSales[[#This Row],[Units]],0)</f>
        <v>918.13</v>
      </c>
      <c r="R698" s="17">
        <f>IFERROR(tblSales[[#This Row],[NetSalesTRY]]/tblSales[[#This Row],[TargetTRY]],0)</f>
        <v>1.0188271499378954</v>
      </c>
      <c r="S698" s="6">
        <f>tblSales[[#This Row],[NetSalesTRY]]-tblSales[[#This Row],[TargetTRY]]</f>
        <v>2273.4900000000052</v>
      </c>
      <c r="T698" s="6">
        <f>MAX(tblSales[[#This Row],[TargetTRY]]-tblSales[[#This Row],[NetSalesTRY]],0)</f>
        <v>0</v>
      </c>
    </row>
    <row r="699" spans="1:20">
      <c r="A699" t="s">
        <v>1087</v>
      </c>
      <c r="B699" s="15">
        <v>45717</v>
      </c>
      <c r="C699" t="s">
        <v>23</v>
      </c>
      <c r="D699" t="s">
        <v>24</v>
      </c>
      <c r="E699" t="s">
        <v>52</v>
      </c>
      <c r="F699" t="s">
        <v>50</v>
      </c>
      <c r="G699" t="s">
        <v>8</v>
      </c>
      <c r="H699" s="8">
        <v>158</v>
      </c>
      <c r="I699" s="9">
        <v>120191.69</v>
      </c>
      <c r="J699" s="9">
        <v>8510.7900000000009</v>
      </c>
      <c r="K699" s="9">
        <v>1548.34</v>
      </c>
      <c r="L699" s="9">
        <v>110132.57</v>
      </c>
      <c r="M699" s="9">
        <v>111791.81</v>
      </c>
      <c r="N699" s="6" t="str">
        <f>_xlfn.XLOOKUP(tblSales[[#This Row],[ProductID]],tblProducts[ProductID],tblProducts[ProductName],"Not Found")</f>
        <v>GlucoRelief</v>
      </c>
      <c r="O699" s="8">
        <f>YEAR(tblSales[[#This Row],[Month]])</f>
        <v>2025</v>
      </c>
      <c r="P699" s="8">
        <f>MONTH(tblSales[[#This Row],[Month]])</f>
        <v>3</v>
      </c>
      <c r="Q699" s="6">
        <f>IFERROR(tblSales[[#This Row],[NetSalesTRY]]/tblSales[[#This Row],[Units]],0)</f>
        <v>697.04158227848109</v>
      </c>
      <c r="R699" s="17">
        <f>IFERROR(tblSales[[#This Row],[NetSalesTRY]]/tblSales[[#This Row],[TargetTRY]],0)</f>
        <v>0.98515776781859077</v>
      </c>
      <c r="S699" s="6">
        <f>tblSales[[#This Row],[NetSalesTRY]]-tblSales[[#This Row],[TargetTRY]]</f>
        <v>-1659.2399999999907</v>
      </c>
      <c r="T699" s="6">
        <f>MAX(tblSales[[#This Row],[TargetTRY]]-tblSales[[#This Row],[NetSalesTRY]],0)</f>
        <v>1659.2399999999907</v>
      </c>
    </row>
    <row r="700" spans="1:20">
      <c r="A700" t="s">
        <v>1088</v>
      </c>
      <c r="B700" s="15">
        <v>45717</v>
      </c>
      <c r="C700" t="s">
        <v>23</v>
      </c>
      <c r="D700" t="s">
        <v>24</v>
      </c>
      <c r="E700" t="s">
        <v>52</v>
      </c>
      <c r="F700" t="s">
        <v>50</v>
      </c>
      <c r="G700" t="s">
        <v>11</v>
      </c>
      <c r="H700" s="8">
        <v>179</v>
      </c>
      <c r="I700" s="9">
        <v>109339.01</v>
      </c>
      <c r="J700" s="9">
        <v>4360.6000000000004</v>
      </c>
      <c r="K700" s="9">
        <v>795.87</v>
      </c>
      <c r="L700" s="9">
        <v>104182.54</v>
      </c>
      <c r="M700" s="9">
        <v>104853.02</v>
      </c>
      <c r="N700" s="6" t="str">
        <f>_xlfn.XLOOKUP(tblSales[[#This Row],[ProductID]],tblProducts[ProductID],tblProducts[ProductName],"Not Found")</f>
        <v>RespiraX</v>
      </c>
      <c r="O700" s="8">
        <f>YEAR(tblSales[[#This Row],[Month]])</f>
        <v>2025</v>
      </c>
      <c r="P700" s="8">
        <f>MONTH(tblSales[[#This Row],[Month]])</f>
        <v>3</v>
      </c>
      <c r="Q700" s="6">
        <f>IFERROR(tblSales[[#This Row],[NetSalesTRY]]/tblSales[[#This Row],[Units]],0)</f>
        <v>582.02536312849156</v>
      </c>
      <c r="R700" s="17">
        <f>IFERROR(tblSales[[#This Row],[NetSalesTRY]]/tblSales[[#This Row],[TargetTRY]],0)</f>
        <v>0.9936055251436724</v>
      </c>
      <c r="S700" s="6">
        <f>tblSales[[#This Row],[NetSalesTRY]]-tblSales[[#This Row],[TargetTRY]]</f>
        <v>-670.48000000001048</v>
      </c>
      <c r="T700" s="6">
        <f>MAX(tblSales[[#This Row],[TargetTRY]]-tblSales[[#This Row],[NetSalesTRY]],0)</f>
        <v>670.48000000001048</v>
      </c>
    </row>
    <row r="701" spans="1:20">
      <c r="A701" t="s">
        <v>1089</v>
      </c>
      <c r="B701" s="15">
        <v>45717</v>
      </c>
      <c r="C701" t="s">
        <v>23</v>
      </c>
      <c r="D701" t="s">
        <v>24</v>
      </c>
      <c r="E701" t="s">
        <v>52</v>
      </c>
      <c r="F701" t="s">
        <v>50</v>
      </c>
      <c r="G701" t="s">
        <v>14</v>
      </c>
      <c r="H701" s="8">
        <v>97</v>
      </c>
      <c r="I701" s="9">
        <v>106488.85</v>
      </c>
      <c r="J701" s="9">
        <v>5493.23</v>
      </c>
      <c r="K701" s="9">
        <v>689.94</v>
      </c>
      <c r="L701" s="9">
        <v>100305.68</v>
      </c>
      <c r="M701" s="9">
        <v>100870.16</v>
      </c>
      <c r="N701" s="6" t="str">
        <f>_xlfn.XLOOKUP(tblSales[[#This Row],[ProductID]],tblProducts[ProductID],tblProducts[ProductName],"Not Found")</f>
        <v>NeuroCalm</v>
      </c>
      <c r="O701" s="8">
        <f>YEAR(tblSales[[#This Row],[Month]])</f>
        <v>2025</v>
      </c>
      <c r="P701" s="8">
        <f>MONTH(tblSales[[#This Row],[Month]])</f>
        <v>3</v>
      </c>
      <c r="Q701" s="6">
        <f>IFERROR(tblSales[[#This Row],[NetSalesTRY]]/tblSales[[#This Row],[Units]],0)</f>
        <v>1034.0791752577318</v>
      </c>
      <c r="R701" s="17">
        <f>IFERROR(tblSales[[#This Row],[NetSalesTRY]]/tblSales[[#This Row],[TargetTRY]],0)</f>
        <v>0.99440389506668758</v>
      </c>
      <c r="S701" s="6">
        <f>tblSales[[#This Row],[NetSalesTRY]]-tblSales[[#This Row],[TargetTRY]]</f>
        <v>-564.48000000001048</v>
      </c>
      <c r="T701" s="6">
        <f>MAX(tblSales[[#This Row],[TargetTRY]]-tblSales[[#This Row],[NetSalesTRY]],0)</f>
        <v>564.48000000001048</v>
      </c>
    </row>
    <row r="702" spans="1:20">
      <c r="A702" t="s">
        <v>1090</v>
      </c>
      <c r="B702" s="15">
        <v>45717</v>
      </c>
      <c r="C702" t="s">
        <v>23</v>
      </c>
      <c r="D702" t="s">
        <v>24</v>
      </c>
      <c r="E702" t="s">
        <v>55</v>
      </c>
      <c r="F702" t="s">
        <v>53</v>
      </c>
      <c r="G702" t="s">
        <v>5</v>
      </c>
      <c r="H702" s="8">
        <v>121</v>
      </c>
      <c r="I702" s="9">
        <v>119594.56</v>
      </c>
      <c r="J702" s="9">
        <v>6092.07</v>
      </c>
      <c r="K702" s="9">
        <v>1300.3599999999999</v>
      </c>
      <c r="L702" s="9">
        <v>112202.13</v>
      </c>
      <c r="M702" s="9">
        <v>124360.16</v>
      </c>
      <c r="N702" s="6" t="str">
        <f>_xlfn.XLOOKUP(tblSales[[#This Row],[ProductID]],tblProducts[ProductID],tblProducts[ProductName],"Not Found")</f>
        <v>Cardiovan</v>
      </c>
      <c r="O702" s="8">
        <f>YEAR(tblSales[[#This Row],[Month]])</f>
        <v>2025</v>
      </c>
      <c r="P702" s="8">
        <f>MONTH(tblSales[[#This Row],[Month]])</f>
        <v>3</v>
      </c>
      <c r="Q702" s="6">
        <f>IFERROR(tblSales[[#This Row],[NetSalesTRY]]/tblSales[[#This Row],[Units]],0)</f>
        <v>927.29033057851245</v>
      </c>
      <c r="R702" s="17">
        <f>IFERROR(tblSales[[#This Row],[NetSalesTRY]]/tblSales[[#This Row],[TargetTRY]],0)</f>
        <v>0.90223533002852363</v>
      </c>
      <c r="S702" s="6">
        <f>tblSales[[#This Row],[NetSalesTRY]]-tblSales[[#This Row],[TargetTRY]]</f>
        <v>-12158.029999999999</v>
      </c>
      <c r="T702" s="6">
        <f>MAX(tblSales[[#This Row],[TargetTRY]]-tblSales[[#This Row],[NetSalesTRY]],0)</f>
        <v>12158.029999999999</v>
      </c>
    </row>
    <row r="703" spans="1:20">
      <c r="A703" t="s">
        <v>1091</v>
      </c>
      <c r="B703" s="15">
        <v>45717</v>
      </c>
      <c r="C703" t="s">
        <v>23</v>
      </c>
      <c r="D703" t="s">
        <v>24</v>
      </c>
      <c r="E703" t="s">
        <v>55</v>
      </c>
      <c r="F703" t="s">
        <v>53</v>
      </c>
      <c r="G703" t="s">
        <v>8</v>
      </c>
      <c r="H703" s="8">
        <v>164</v>
      </c>
      <c r="I703" s="9">
        <v>124342.66</v>
      </c>
      <c r="J703" s="9">
        <v>5261.84</v>
      </c>
      <c r="K703" s="9">
        <v>1283.67</v>
      </c>
      <c r="L703" s="9">
        <v>117797.15</v>
      </c>
      <c r="M703" s="9">
        <v>110182.85</v>
      </c>
      <c r="N703" s="6" t="str">
        <f>_xlfn.XLOOKUP(tblSales[[#This Row],[ProductID]],tblProducts[ProductID],tblProducts[ProductName],"Not Found")</f>
        <v>GlucoRelief</v>
      </c>
      <c r="O703" s="8">
        <f>YEAR(tblSales[[#This Row],[Month]])</f>
        <v>2025</v>
      </c>
      <c r="P703" s="8">
        <f>MONTH(tblSales[[#This Row],[Month]])</f>
        <v>3</v>
      </c>
      <c r="Q703" s="6">
        <f>IFERROR(tblSales[[#This Row],[NetSalesTRY]]/tblSales[[#This Row],[Units]],0)</f>
        <v>718.2753048780487</v>
      </c>
      <c r="R703" s="17">
        <f>IFERROR(tblSales[[#This Row],[NetSalesTRY]]/tblSales[[#This Row],[TargetTRY]],0)</f>
        <v>1.0691060360119564</v>
      </c>
      <c r="S703" s="6">
        <f>tblSales[[#This Row],[NetSalesTRY]]-tblSales[[#This Row],[TargetTRY]]</f>
        <v>7614.2999999999884</v>
      </c>
      <c r="T703" s="6">
        <f>MAX(tblSales[[#This Row],[TargetTRY]]-tblSales[[#This Row],[NetSalesTRY]],0)</f>
        <v>0</v>
      </c>
    </row>
    <row r="704" spans="1:20">
      <c r="A704" t="s">
        <v>1092</v>
      </c>
      <c r="B704" s="15">
        <v>45717</v>
      </c>
      <c r="C704" t="s">
        <v>23</v>
      </c>
      <c r="D704" t="s">
        <v>24</v>
      </c>
      <c r="E704" t="s">
        <v>55</v>
      </c>
      <c r="F704" t="s">
        <v>53</v>
      </c>
      <c r="G704" t="s">
        <v>11</v>
      </c>
      <c r="H704" s="8">
        <v>180</v>
      </c>
      <c r="I704" s="9">
        <v>110659.88</v>
      </c>
      <c r="J704" s="9">
        <v>7553.77</v>
      </c>
      <c r="K704" s="9">
        <v>1078.42</v>
      </c>
      <c r="L704" s="9">
        <v>102027.69</v>
      </c>
      <c r="M704" s="9">
        <v>104730.22</v>
      </c>
      <c r="N704" s="6" t="str">
        <f>_xlfn.XLOOKUP(tblSales[[#This Row],[ProductID]],tblProducts[ProductID],tblProducts[ProductName],"Not Found")</f>
        <v>RespiraX</v>
      </c>
      <c r="O704" s="8">
        <f>YEAR(tblSales[[#This Row],[Month]])</f>
        <v>2025</v>
      </c>
      <c r="P704" s="8">
        <f>MONTH(tblSales[[#This Row],[Month]])</f>
        <v>3</v>
      </c>
      <c r="Q704" s="6">
        <f>IFERROR(tblSales[[#This Row],[NetSalesTRY]]/tblSales[[#This Row],[Units]],0)</f>
        <v>566.82050000000004</v>
      </c>
      <c r="R704" s="17">
        <f>IFERROR(tblSales[[#This Row],[NetSalesTRY]]/tblSales[[#This Row],[TargetTRY]],0)</f>
        <v>0.97419531821856198</v>
      </c>
      <c r="S704" s="6">
        <f>tblSales[[#This Row],[NetSalesTRY]]-tblSales[[#This Row],[TargetTRY]]</f>
        <v>-2702.5299999999988</v>
      </c>
      <c r="T704" s="6">
        <f>MAX(tblSales[[#This Row],[TargetTRY]]-tblSales[[#This Row],[NetSalesTRY]],0)</f>
        <v>2702.5299999999988</v>
      </c>
    </row>
    <row r="705" spans="1:20">
      <c r="A705" t="s">
        <v>1093</v>
      </c>
      <c r="B705" s="15">
        <v>45717</v>
      </c>
      <c r="C705" t="s">
        <v>23</v>
      </c>
      <c r="D705" t="s">
        <v>24</v>
      </c>
      <c r="E705" t="s">
        <v>55</v>
      </c>
      <c r="F705" t="s">
        <v>53</v>
      </c>
      <c r="G705" t="s">
        <v>14</v>
      </c>
      <c r="H705" s="8">
        <v>94</v>
      </c>
      <c r="I705" s="9">
        <v>102624.57</v>
      </c>
      <c r="J705" s="9">
        <v>6356.65</v>
      </c>
      <c r="K705" s="9">
        <v>1293.53</v>
      </c>
      <c r="L705" s="9">
        <v>94974.39</v>
      </c>
      <c r="M705" s="9">
        <v>100463.85</v>
      </c>
      <c r="N705" s="6" t="str">
        <f>_xlfn.XLOOKUP(tblSales[[#This Row],[ProductID]],tblProducts[ProductID],tblProducts[ProductName],"Not Found")</f>
        <v>NeuroCalm</v>
      </c>
      <c r="O705" s="8">
        <f>YEAR(tblSales[[#This Row],[Month]])</f>
        <v>2025</v>
      </c>
      <c r="P705" s="8">
        <f>MONTH(tblSales[[#This Row],[Month]])</f>
        <v>3</v>
      </c>
      <c r="Q705" s="6">
        <f>IFERROR(tblSales[[#This Row],[NetSalesTRY]]/tblSales[[#This Row],[Units]],0)</f>
        <v>1010.3658510638298</v>
      </c>
      <c r="R705" s="17">
        <f>IFERROR(tblSales[[#This Row],[NetSalesTRY]]/tblSales[[#This Row],[TargetTRY]],0)</f>
        <v>0.94535885296054245</v>
      </c>
      <c r="S705" s="6">
        <f>tblSales[[#This Row],[NetSalesTRY]]-tblSales[[#This Row],[TargetTRY]]</f>
        <v>-5489.4600000000064</v>
      </c>
      <c r="T705" s="6">
        <f>MAX(tblSales[[#This Row],[TargetTRY]]-tblSales[[#This Row],[NetSalesTRY]],0)</f>
        <v>5489.4600000000064</v>
      </c>
    </row>
    <row r="706" spans="1:20">
      <c r="A706" t="s">
        <v>1094</v>
      </c>
      <c r="B706" s="15">
        <v>45717</v>
      </c>
      <c r="C706" t="s">
        <v>23</v>
      </c>
      <c r="D706" t="s">
        <v>24</v>
      </c>
      <c r="E706" t="s">
        <v>58</v>
      </c>
      <c r="F706" t="s">
        <v>56</v>
      </c>
      <c r="G706" t="s">
        <v>5</v>
      </c>
      <c r="H706" s="8">
        <v>136</v>
      </c>
      <c r="I706" s="9">
        <v>133992.18</v>
      </c>
      <c r="J706" s="9">
        <v>6792.69</v>
      </c>
      <c r="K706" s="9">
        <v>1410.35</v>
      </c>
      <c r="L706" s="9">
        <v>125789.13</v>
      </c>
      <c r="M706" s="9">
        <v>126095.76</v>
      </c>
      <c r="N706" s="6" t="str">
        <f>_xlfn.XLOOKUP(tblSales[[#This Row],[ProductID]],tblProducts[ProductID],tblProducts[ProductName],"Not Found")</f>
        <v>Cardiovan</v>
      </c>
      <c r="O706" s="8">
        <f>YEAR(tblSales[[#This Row],[Month]])</f>
        <v>2025</v>
      </c>
      <c r="P706" s="8">
        <f>MONTH(tblSales[[#This Row],[Month]])</f>
        <v>3</v>
      </c>
      <c r="Q706" s="6">
        <f>IFERROR(tblSales[[#This Row],[NetSalesTRY]]/tblSales[[#This Row],[Units]],0)</f>
        <v>924.92007352941175</v>
      </c>
      <c r="R706" s="17">
        <f>IFERROR(tblSales[[#This Row],[NetSalesTRY]]/tblSales[[#This Row],[TargetTRY]],0)</f>
        <v>0.997568276681151</v>
      </c>
      <c r="S706" s="6">
        <f>tblSales[[#This Row],[NetSalesTRY]]-tblSales[[#This Row],[TargetTRY]]</f>
        <v>-306.6299999999901</v>
      </c>
      <c r="T706" s="6">
        <f>MAX(tblSales[[#This Row],[TargetTRY]]-tblSales[[#This Row],[NetSalesTRY]],0)</f>
        <v>306.6299999999901</v>
      </c>
    </row>
    <row r="707" spans="1:20">
      <c r="A707" t="s">
        <v>1095</v>
      </c>
      <c r="B707" s="15">
        <v>45717</v>
      </c>
      <c r="C707" t="s">
        <v>23</v>
      </c>
      <c r="D707" t="s">
        <v>24</v>
      </c>
      <c r="E707" t="s">
        <v>58</v>
      </c>
      <c r="F707" t="s">
        <v>56</v>
      </c>
      <c r="G707" t="s">
        <v>8</v>
      </c>
      <c r="H707" s="8">
        <v>154</v>
      </c>
      <c r="I707" s="9">
        <v>116538.83</v>
      </c>
      <c r="J707" s="9">
        <v>6736.84</v>
      </c>
      <c r="K707" s="9">
        <v>1258.71</v>
      </c>
      <c r="L707" s="9">
        <v>108543.28</v>
      </c>
      <c r="M707" s="9">
        <v>115233.19</v>
      </c>
      <c r="N707" s="6" t="str">
        <f>_xlfn.XLOOKUP(tblSales[[#This Row],[ProductID]],tblProducts[ProductID],tblProducts[ProductName],"Not Found")</f>
        <v>GlucoRelief</v>
      </c>
      <c r="O707" s="8">
        <f>YEAR(tblSales[[#This Row],[Month]])</f>
        <v>2025</v>
      </c>
      <c r="P707" s="8">
        <f>MONTH(tblSales[[#This Row],[Month]])</f>
        <v>3</v>
      </c>
      <c r="Q707" s="6">
        <f>IFERROR(tblSales[[#This Row],[NetSalesTRY]]/tblSales[[#This Row],[Units]],0)</f>
        <v>704.82649350649353</v>
      </c>
      <c r="R707" s="17">
        <f>IFERROR(tblSales[[#This Row],[NetSalesTRY]]/tblSales[[#This Row],[TargetTRY]],0)</f>
        <v>0.94194459079020543</v>
      </c>
      <c r="S707" s="6">
        <f>tblSales[[#This Row],[NetSalesTRY]]-tblSales[[#This Row],[TargetTRY]]</f>
        <v>-6689.9100000000035</v>
      </c>
      <c r="T707" s="6">
        <f>MAX(tblSales[[#This Row],[TargetTRY]]-tblSales[[#This Row],[NetSalesTRY]],0)</f>
        <v>6689.9100000000035</v>
      </c>
    </row>
    <row r="708" spans="1:20">
      <c r="A708" t="s">
        <v>1096</v>
      </c>
      <c r="B708" s="15">
        <v>45717</v>
      </c>
      <c r="C708" t="s">
        <v>23</v>
      </c>
      <c r="D708" t="s">
        <v>24</v>
      </c>
      <c r="E708" t="s">
        <v>58</v>
      </c>
      <c r="F708" t="s">
        <v>56</v>
      </c>
      <c r="G708" t="s">
        <v>11</v>
      </c>
      <c r="H708" s="8">
        <v>173</v>
      </c>
      <c r="I708" s="9">
        <v>108567.66</v>
      </c>
      <c r="J708" s="9">
        <v>5173.29</v>
      </c>
      <c r="K708" s="9">
        <v>1473.66</v>
      </c>
      <c r="L708" s="9">
        <v>101920.71</v>
      </c>
      <c r="M708" s="9">
        <v>108047.15</v>
      </c>
      <c r="N708" s="6" t="str">
        <f>_xlfn.XLOOKUP(tblSales[[#This Row],[ProductID]],tblProducts[ProductID],tblProducts[ProductName],"Not Found")</f>
        <v>RespiraX</v>
      </c>
      <c r="O708" s="8">
        <f>YEAR(tblSales[[#This Row],[Month]])</f>
        <v>2025</v>
      </c>
      <c r="P708" s="8">
        <f>MONTH(tblSales[[#This Row],[Month]])</f>
        <v>3</v>
      </c>
      <c r="Q708" s="6">
        <f>IFERROR(tblSales[[#This Row],[NetSalesTRY]]/tblSales[[#This Row],[Units]],0)</f>
        <v>589.13705202312144</v>
      </c>
      <c r="R708" s="17">
        <f>IFERROR(tblSales[[#This Row],[NetSalesTRY]]/tblSales[[#This Row],[TargetTRY]],0)</f>
        <v>0.94329845812684565</v>
      </c>
      <c r="S708" s="6">
        <f>tblSales[[#This Row],[NetSalesTRY]]-tblSales[[#This Row],[TargetTRY]]</f>
        <v>-6126.4399999999878</v>
      </c>
      <c r="T708" s="6">
        <f>MAX(tblSales[[#This Row],[TargetTRY]]-tblSales[[#This Row],[NetSalesTRY]],0)</f>
        <v>6126.4399999999878</v>
      </c>
    </row>
    <row r="709" spans="1:20">
      <c r="A709" t="s">
        <v>1097</v>
      </c>
      <c r="B709" s="15">
        <v>45717</v>
      </c>
      <c r="C709" t="s">
        <v>23</v>
      </c>
      <c r="D709" t="s">
        <v>24</v>
      </c>
      <c r="E709" t="s">
        <v>58</v>
      </c>
      <c r="F709" t="s">
        <v>56</v>
      </c>
      <c r="G709" t="s">
        <v>14</v>
      </c>
      <c r="H709" s="8">
        <v>99</v>
      </c>
      <c r="I709" s="9">
        <v>109561.46</v>
      </c>
      <c r="J709" s="9">
        <v>6347.22</v>
      </c>
      <c r="K709" s="9">
        <v>963.56</v>
      </c>
      <c r="L709" s="9">
        <v>102250.68</v>
      </c>
      <c r="M709" s="9">
        <v>103865.61</v>
      </c>
      <c r="N709" s="6" t="str">
        <f>_xlfn.XLOOKUP(tblSales[[#This Row],[ProductID]],tblProducts[ProductID],tblProducts[ProductName],"Not Found")</f>
        <v>NeuroCalm</v>
      </c>
      <c r="O709" s="8">
        <f>YEAR(tblSales[[#This Row],[Month]])</f>
        <v>2025</v>
      </c>
      <c r="P709" s="8">
        <f>MONTH(tblSales[[#This Row],[Month]])</f>
        <v>3</v>
      </c>
      <c r="Q709" s="6">
        <f>IFERROR(tblSales[[#This Row],[NetSalesTRY]]/tblSales[[#This Row],[Units]],0)</f>
        <v>1032.8351515151514</v>
      </c>
      <c r="R709" s="17">
        <f>IFERROR(tblSales[[#This Row],[NetSalesTRY]]/tblSales[[#This Row],[TargetTRY]],0)</f>
        <v>0.98445173527599739</v>
      </c>
      <c r="S709" s="6">
        <f>tblSales[[#This Row],[NetSalesTRY]]-tblSales[[#This Row],[TargetTRY]]</f>
        <v>-1614.9300000000076</v>
      </c>
      <c r="T709" s="6">
        <f>MAX(tblSales[[#This Row],[TargetTRY]]-tblSales[[#This Row],[NetSalesTRY]],0)</f>
        <v>1614.9300000000076</v>
      </c>
    </row>
    <row r="710" spans="1:20">
      <c r="A710" t="s">
        <v>1098</v>
      </c>
      <c r="B710" s="15">
        <v>45717</v>
      </c>
      <c r="C710" t="s">
        <v>25</v>
      </c>
      <c r="D710" t="s">
        <v>26</v>
      </c>
      <c r="E710" t="s">
        <v>61</v>
      </c>
      <c r="F710" t="s">
        <v>59</v>
      </c>
      <c r="G710" t="s">
        <v>5</v>
      </c>
      <c r="H710" s="8">
        <v>97</v>
      </c>
      <c r="I710" s="9">
        <v>93675.03</v>
      </c>
      <c r="J710" s="9">
        <v>4763.8100000000004</v>
      </c>
      <c r="K710" s="9">
        <v>1153.32</v>
      </c>
      <c r="L710" s="9">
        <v>87757.9</v>
      </c>
      <c r="M710" s="9">
        <v>98055.19</v>
      </c>
      <c r="N710" s="6" t="str">
        <f>_xlfn.XLOOKUP(tblSales[[#This Row],[ProductID]],tblProducts[ProductID],tblProducts[ProductName],"Not Found")</f>
        <v>Cardiovan</v>
      </c>
      <c r="O710" s="8">
        <f>YEAR(tblSales[[#This Row],[Month]])</f>
        <v>2025</v>
      </c>
      <c r="P710" s="8">
        <f>MONTH(tblSales[[#This Row],[Month]])</f>
        <v>3</v>
      </c>
      <c r="Q710" s="6">
        <f>IFERROR(tblSales[[#This Row],[NetSalesTRY]]/tblSales[[#This Row],[Units]],0)</f>
        <v>904.72061855670097</v>
      </c>
      <c r="R710" s="17">
        <f>IFERROR(tblSales[[#This Row],[NetSalesTRY]]/tblSales[[#This Row],[TargetTRY]],0)</f>
        <v>0.89498475297431979</v>
      </c>
      <c r="S710" s="6">
        <f>tblSales[[#This Row],[NetSalesTRY]]-tblSales[[#This Row],[TargetTRY]]</f>
        <v>-10297.290000000008</v>
      </c>
      <c r="T710" s="6">
        <f>MAX(tblSales[[#This Row],[TargetTRY]]-tblSales[[#This Row],[NetSalesTRY]],0)</f>
        <v>10297.290000000008</v>
      </c>
    </row>
    <row r="711" spans="1:20">
      <c r="A711" t="s">
        <v>1099</v>
      </c>
      <c r="B711" s="15">
        <v>45717</v>
      </c>
      <c r="C711" t="s">
        <v>25</v>
      </c>
      <c r="D711" t="s">
        <v>26</v>
      </c>
      <c r="E711" t="s">
        <v>61</v>
      </c>
      <c r="F711" t="s">
        <v>59</v>
      </c>
      <c r="G711" t="s">
        <v>8</v>
      </c>
      <c r="H711" s="8">
        <v>122</v>
      </c>
      <c r="I711" s="9">
        <v>92686.57</v>
      </c>
      <c r="J711" s="9">
        <v>5910.16</v>
      </c>
      <c r="K711" s="9">
        <v>1287.5</v>
      </c>
      <c r="L711" s="9">
        <v>85488.91</v>
      </c>
      <c r="M711" s="9">
        <v>89446.51</v>
      </c>
      <c r="N711" s="6" t="str">
        <f>_xlfn.XLOOKUP(tblSales[[#This Row],[ProductID]],tblProducts[ProductID],tblProducts[ProductName],"Not Found")</f>
        <v>GlucoRelief</v>
      </c>
      <c r="O711" s="8">
        <f>YEAR(tblSales[[#This Row],[Month]])</f>
        <v>2025</v>
      </c>
      <c r="P711" s="8">
        <f>MONTH(tblSales[[#This Row],[Month]])</f>
        <v>3</v>
      </c>
      <c r="Q711" s="6">
        <f>IFERROR(tblSales[[#This Row],[NetSalesTRY]]/tblSales[[#This Row],[Units]],0)</f>
        <v>700.72877049180329</v>
      </c>
      <c r="R711" s="17">
        <f>IFERROR(tblSales[[#This Row],[NetSalesTRY]]/tblSales[[#This Row],[TargetTRY]],0)</f>
        <v>0.95575456213998744</v>
      </c>
      <c r="S711" s="6">
        <f>tblSales[[#This Row],[NetSalesTRY]]-tblSales[[#This Row],[TargetTRY]]</f>
        <v>-3957.5999999999913</v>
      </c>
      <c r="T711" s="6">
        <f>MAX(tblSales[[#This Row],[TargetTRY]]-tblSales[[#This Row],[NetSalesTRY]],0)</f>
        <v>3957.5999999999913</v>
      </c>
    </row>
    <row r="712" spans="1:20">
      <c r="A712" t="s">
        <v>1100</v>
      </c>
      <c r="B712" s="15">
        <v>45717</v>
      </c>
      <c r="C712" t="s">
        <v>25</v>
      </c>
      <c r="D712" t="s">
        <v>26</v>
      </c>
      <c r="E712" t="s">
        <v>61</v>
      </c>
      <c r="F712" t="s">
        <v>59</v>
      </c>
      <c r="G712" t="s">
        <v>11</v>
      </c>
      <c r="H712" s="8">
        <v>134</v>
      </c>
      <c r="I712" s="9">
        <v>82314.75</v>
      </c>
      <c r="J712" s="9">
        <v>3571.35</v>
      </c>
      <c r="K712" s="9">
        <v>718.7</v>
      </c>
      <c r="L712" s="9">
        <v>78024.7</v>
      </c>
      <c r="M712" s="9">
        <v>83201.31</v>
      </c>
      <c r="N712" s="6" t="str">
        <f>_xlfn.XLOOKUP(tblSales[[#This Row],[ProductID]],tblProducts[ProductID],tblProducts[ProductName],"Not Found")</f>
        <v>RespiraX</v>
      </c>
      <c r="O712" s="8">
        <f>YEAR(tblSales[[#This Row],[Month]])</f>
        <v>2025</v>
      </c>
      <c r="P712" s="8">
        <f>MONTH(tblSales[[#This Row],[Month]])</f>
        <v>3</v>
      </c>
      <c r="Q712" s="6">
        <f>IFERROR(tblSales[[#This Row],[NetSalesTRY]]/tblSales[[#This Row],[Units]],0)</f>
        <v>582.27388059701491</v>
      </c>
      <c r="R712" s="17">
        <f>IFERROR(tblSales[[#This Row],[NetSalesTRY]]/tblSales[[#This Row],[TargetTRY]],0)</f>
        <v>0.93778210944034412</v>
      </c>
      <c r="S712" s="6">
        <f>tblSales[[#This Row],[NetSalesTRY]]-tblSales[[#This Row],[TargetTRY]]</f>
        <v>-5176.6100000000006</v>
      </c>
      <c r="T712" s="6">
        <f>MAX(tblSales[[#This Row],[TargetTRY]]-tblSales[[#This Row],[NetSalesTRY]],0)</f>
        <v>5176.6100000000006</v>
      </c>
    </row>
    <row r="713" spans="1:20">
      <c r="A713" t="s">
        <v>1101</v>
      </c>
      <c r="B713" s="15">
        <v>45717</v>
      </c>
      <c r="C713" t="s">
        <v>25</v>
      </c>
      <c r="D713" t="s">
        <v>26</v>
      </c>
      <c r="E713" t="s">
        <v>61</v>
      </c>
      <c r="F713" t="s">
        <v>59</v>
      </c>
      <c r="G713" t="s">
        <v>14</v>
      </c>
      <c r="H713" s="8">
        <v>79</v>
      </c>
      <c r="I713" s="9">
        <v>86699.29</v>
      </c>
      <c r="J713" s="9">
        <v>3112.67</v>
      </c>
      <c r="K713" s="9">
        <v>385.24</v>
      </c>
      <c r="L713" s="9">
        <v>83201.38</v>
      </c>
      <c r="M713" s="9">
        <v>80777.27</v>
      </c>
      <c r="N713" s="6" t="str">
        <f>_xlfn.XLOOKUP(tblSales[[#This Row],[ProductID]],tblProducts[ProductID],tblProducts[ProductName],"Not Found")</f>
        <v>NeuroCalm</v>
      </c>
      <c r="O713" s="8">
        <f>YEAR(tblSales[[#This Row],[Month]])</f>
        <v>2025</v>
      </c>
      <c r="P713" s="8">
        <f>MONTH(tblSales[[#This Row],[Month]])</f>
        <v>3</v>
      </c>
      <c r="Q713" s="6">
        <f>IFERROR(tblSales[[#This Row],[NetSalesTRY]]/tblSales[[#This Row],[Units]],0)</f>
        <v>1053.1820253164558</v>
      </c>
      <c r="R713" s="17">
        <f>IFERROR(tblSales[[#This Row],[NetSalesTRY]]/tblSales[[#This Row],[TargetTRY]],0)</f>
        <v>1.0300098035004155</v>
      </c>
      <c r="S713" s="6">
        <f>tblSales[[#This Row],[NetSalesTRY]]-tblSales[[#This Row],[TargetTRY]]</f>
        <v>2424.1100000000006</v>
      </c>
      <c r="T713" s="6">
        <f>MAX(tblSales[[#This Row],[TargetTRY]]-tblSales[[#This Row],[NetSalesTRY]],0)</f>
        <v>0</v>
      </c>
    </row>
    <row r="714" spans="1:20">
      <c r="A714" t="s">
        <v>1102</v>
      </c>
      <c r="B714" s="15">
        <v>45717</v>
      </c>
      <c r="C714" t="s">
        <v>25</v>
      </c>
      <c r="D714" t="s">
        <v>26</v>
      </c>
      <c r="E714" t="s">
        <v>64</v>
      </c>
      <c r="F714" t="s">
        <v>62</v>
      </c>
      <c r="G714" t="s">
        <v>5</v>
      </c>
      <c r="H714" s="8">
        <v>101</v>
      </c>
      <c r="I714" s="9">
        <v>99892.61</v>
      </c>
      <c r="J714" s="9">
        <v>5326.1</v>
      </c>
      <c r="K714" s="9">
        <v>1320.91</v>
      </c>
      <c r="L714" s="9">
        <v>93245.61</v>
      </c>
      <c r="M714" s="9">
        <v>98739.48</v>
      </c>
      <c r="N714" s="6" t="str">
        <f>_xlfn.XLOOKUP(tblSales[[#This Row],[ProductID]],tblProducts[ProductID],tblProducts[ProductName],"Not Found")</f>
        <v>Cardiovan</v>
      </c>
      <c r="O714" s="8">
        <f>YEAR(tblSales[[#This Row],[Month]])</f>
        <v>2025</v>
      </c>
      <c r="P714" s="8">
        <f>MONTH(tblSales[[#This Row],[Month]])</f>
        <v>3</v>
      </c>
      <c r="Q714" s="6">
        <f>IFERROR(tblSales[[#This Row],[NetSalesTRY]]/tblSales[[#This Row],[Units]],0)</f>
        <v>923.22386138613865</v>
      </c>
      <c r="R714" s="17">
        <f>IFERROR(tblSales[[#This Row],[NetSalesTRY]]/tblSales[[#This Row],[TargetTRY]],0)</f>
        <v>0.94435994599120843</v>
      </c>
      <c r="S714" s="6">
        <f>tblSales[[#This Row],[NetSalesTRY]]-tblSales[[#This Row],[TargetTRY]]</f>
        <v>-5493.8699999999953</v>
      </c>
      <c r="T714" s="6">
        <f>MAX(tblSales[[#This Row],[TargetTRY]]-tblSales[[#This Row],[NetSalesTRY]],0)</f>
        <v>5493.8699999999953</v>
      </c>
    </row>
    <row r="715" spans="1:20">
      <c r="A715" t="s">
        <v>1103</v>
      </c>
      <c r="B715" s="15">
        <v>45717</v>
      </c>
      <c r="C715" t="s">
        <v>25</v>
      </c>
      <c r="D715" t="s">
        <v>26</v>
      </c>
      <c r="E715" t="s">
        <v>64</v>
      </c>
      <c r="F715" t="s">
        <v>62</v>
      </c>
      <c r="G715" t="s">
        <v>8</v>
      </c>
      <c r="H715" s="8">
        <v>126</v>
      </c>
      <c r="I715" s="9">
        <v>95457.42</v>
      </c>
      <c r="J715" s="9">
        <v>3475.89</v>
      </c>
      <c r="K715" s="9">
        <v>942.48</v>
      </c>
      <c r="L715" s="9">
        <v>91039.039999999994</v>
      </c>
      <c r="M715" s="9">
        <v>89415.7</v>
      </c>
      <c r="N715" s="6" t="str">
        <f>_xlfn.XLOOKUP(tblSales[[#This Row],[ProductID]],tblProducts[ProductID],tblProducts[ProductName],"Not Found")</f>
        <v>GlucoRelief</v>
      </c>
      <c r="O715" s="8">
        <f>YEAR(tblSales[[#This Row],[Month]])</f>
        <v>2025</v>
      </c>
      <c r="P715" s="8">
        <f>MONTH(tblSales[[#This Row],[Month]])</f>
        <v>3</v>
      </c>
      <c r="Q715" s="6">
        <f>IFERROR(tblSales[[#This Row],[NetSalesTRY]]/tblSales[[#This Row],[Units]],0)</f>
        <v>722.53206349206346</v>
      </c>
      <c r="R715" s="17">
        <f>IFERROR(tblSales[[#This Row],[NetSalesTRY]]/tblSales[[#This Row],[TargetTRY]],0)</f>
        <v>1.0181549772579088</v>
      </c>
      <c r="S715" s="6">
        <f>tblSales[[#This Row],[NetSalesTRY]]-tblSales[[#This Row],[TargetTRY]]</f>
        <v>1623.3399999999965</v>
      </c>
      <c r="T715" s="6">
        <f>MAX(tblSales[[#This Row],[TargetTRY]]-tblSales[[#This Row],[NetSalesTRY]],0)</f>
        <v>0</v>
      </c>
    </row>
    <row r="716" spans="1:20">
      <c r="A716" t="s">
        <v>1104</v>
      </c>
      <c r="B716" s="15">
        <v>45717</v>
      </c>
      <c r="C716" t="s">
        <v>25</v>
      </c>
      <c r="D716" t="s">
        <v>26</v>
      </c>
      <c r="E716" t="s">
        <v>64</v>
      </c>
      <c r="F716" t="s">
        <v>62</v>
      </c>
      <c r="G716" t="s">
        <v>11</v>
      </c>
      <c r="H716" s="8">
        <v>143</v>
      </c>
      <c r="I716" s="9">
        <v>87871.86</v>
      </c>
      <c r="J716" s="9">
        <v>5181.97</v>
      </c>
      <c r="K716" s="9">
        <v>553.64</v>
      </c>
      <c r="L716" s="9">
        <v>82136.25</v>
      </c>
      <c r="M716" s="9">
        <v>83371.77</v>
      </c>
      <c r="N716" s="6" t="str">
        <f>_xlfn.XLOOKUP(tblSales[[#This Row],[ProductID]],tblProducts[ProductID],tblProducts[ProductName],"Not Found")</f>
        <v>RespiraX</v>
      </c>
      <c r="O716" s="8">
        <f>YEAR(tblSales[[#This Row],[Month]])</f>
        <v>2025</v>
      </c>
      <c r="P716" s="8">
        <f>MONTH(tblSales[[#This Row],[Month]])</f>
        <v>3</v>
      </c>
      <c r="Q716" s="6">
        <f>IFERROR(tblSales[[#This Row],[NetSalesTRY]]/tblSales[[#This Row],[Units]],0)</f>
        <v>574.37937062937067</v>
      </c>
      <c r="R716" s="17">
        <f>IFERROR(tblSales[[#This Row],[NetSalesTRY]]/tblSales[[#This Row],[TargetTRY]],0)</f>
        <v>0.98518059530222279</v>
      </c>
      <c r="S716" s="6">
        <f>tblSales[[#This Row],[NetSalesTRY]]-tblSales[[#This Row],[TargetTRY]]</f>
        <v>-1235.5200000000041</v>
      </c>
      <c r="T716" s="6">
        <f>MAX(tblSales[[#This Row],[TargetTRY]]-tblSales[[#This Row],[NetSalesTRY]],0)</f>
        <v>1235.5200000000041</v>
      </c>
    </row>
    <row r="717" spans="1:20">
      <c r="A717" t="s">
        <v>1105</v>
      </c>
      <c r="B717" s="15">
        <v>45717</v>
      </c>
      <c r="C717" t="s">
        <v>25</v>
      </c>
      <c r="D717" t="s">
        <v>26</v>
      </c>
      <c r="E717" t="s">
        <v>64</v>
      </c>
      <c r="F717" t="s">
        <v>62</v>
      </c>
      <c r="G717" t="s">
        <v>14</v>
      </c>
      <c r="H717" s="8">
        <v>80</v>
      </c>
      <c r="I717" s="9">
        <v>88903.12</v>
      </c>
      <c r="J717" s="9">
        <v>4280.08</v>
      </c>
      <c r="K717" s="9">
        <v>1086.67</v>
      </c>
      <c r="L717" s="9">
        <v>83536.36</v>
      </c>
      <c r="M717" s="9">
        <v>81541.61</v>
      </c>
      <c r="N717" s="6" t="str">
        <f>_xlfn.XLOOKUP(tblSales[[#This Row],[ProductID]],tblProducts[ProductID],tblProducts[ProductName],"Not Found")</f>
        <v>NeuroCalm</v>
      </c>
      <c r="O717" s="8">
        <f>YEAR(tblSales[[#This Row],[Month]])</f>
        <v>2025</v>
      </c>
      <c r="P717" s="8">
        <f>MONTH(tblSales[[#This Row],[Month]])</f>
        <v>3</v>
      </c>
      <c r="Q717" s="6">
        <f>IFERROR(tblSales[[#This Row],[NetSalesTRY]]/tblSales[[#This Row],[Units]],0)</f>
        <v>1044.2045000000001</v>
      </c>
      <c r="R717" s="17">
        <f>IFERROR(tblSales[[#This Row],[NetSalesTRY]]/tblSales[[#This Row],[TargetTRY]],0)</f>
        <v>1.0244629705005825</v>
      </c>
      <c r="S717" s="6">
        <f>tblSales[[#This Row],[NetSalesTRY]]-tblSales[[#This Row],[TargetTRY]]</f>
        <v>1994.75</v>
      </c>
      <c r="T717" s="6">
        <f>MAX(tblSales[[#This Row],[TargetTRY]]-tblSales[[#This Row],[NetSalesTRY]],0)</f>
        <v>0</v>
      </c>
    </row>
    <row r="718" spans="1:20">
      <c r="A718" t="s">
        <v>1106</v>
      </c>
      <c r="B718" s="15">
        <v>45717</v>
      </c>
      <c r="C718" t="s">
        <v>25</v>
      </c>
      <c r="D718" t="s">
        <v>26</v>
      </c>
      <c r="E718" t="s">
        <v>67</v>
      </c>
      <c r="F718" t="s">
        <v>65</v>
      </c>
      <c r="G718" t="s">
        <v>5</v>
      </c>
      <c r="H718" s="8">
        <v>121</v>
      </c>
      <c r="I718" s="9">
        <v>118561.4</v>
      </c>
      <c r="J718" s="9">
        <v>5953.18</v>
      </c>
      <c r="K718" s="9">
        <v>1491.86</v>
      </c>
      <c r="L718" s="9">
        <v>111116.36</v>
      </c>
      <c r="M718" s="9">
        <v>110032.86</v>
      </c>
      <c r="N718" s="6" t="str">
        <f>_xlfn.XLOOKUP(tblSales[[#This Row],[ProductID]],tblProducts[ProductID],tblProducts[ProductName],"Not Found")</f>
        <v>Cardiovan</v>
      </c>
      <c r="O718" s="8">
        <f>YEAR(tblSales[[#This Row],[Month]])</f>
        <v>2025</v>
      </c>
      <c r="P718" s="8">
        <f>MONTH(tblSales[[#This Row],[Month]])</f>
        <v>3</v>
      </c>
      <c r="Q718" s="6">
        <f>IFERROR(tblSales[[#This Row],[NetSalesTRY]]/tblSales[[#This Row],[Units]],0)</f>
        <v>918.31702479338844</v>
      </c>
      <c r="R718" s="17">
        <f>IFERROR(tblSales[[#This Row],[NetSalesTRY]]/tblSales[[#This Row],[TargetTRY]],0)</f>
        <v>1.0098470584150954</v>
      </c>
      <c r="S718" s="6">
        <f>tblSales[[#This Row],[NetSalesTRY]]-tblSales[[#This Row],[TargetTRY]]</f>
        <v>1083.5</v>
      </c>
      <c r="T718" s="6">
        <f>MAX(tblSales[[#This Row],[TargetTRY]]-tblSales[[#This Row],[NetSalesTRY]],0)</f>
        <v>0</v>
      </c>
    </row>
    <row r="719" spans="1:20">
      <c r="A719" t="s">
        <v>1107</v>
      </c>
      <c r="B719" s="15">
        <v>45717</v>
      </c>
      <c r="C719" t="s">
        <v>25</v>
      </c>
      <c r="D719" t="s">
        <v>26</v>
      </c>
      <c r="E719" t="s">
        <v>67</v>
      </c>
      <c r="F719" t="s">
        <v>65</v>
      </c>
      <c r="G719" t="s">
        <v>8</v>
      </c>
      <c r="H719" s="8">
        <v>143</v>
      </c>
      <c r="I719" s="9">
        <v>107976.83</v>
      </c>
      <c r="J719" s="9">
        <v>7638.13</v>
      </c>
      <c r="K719" s="9">
        <v>630.1</v>
      </c>
      <c r="L719" s="9">
        <v>99708.59</v>
      </c>
      <c r="M719" s="9">
        <v>101813.05</v>
      </c>
      <c r="N719" s="6" t="str">
        <f>_xlfn.XLOOKUP(tblSales[[#This Row],[ProductID]],tblProducts[ProductID],tblProducts[ProductName],"Not Found")</f>
        <v>GlucoRelief</v>
      </c>
      <c r="O719" s="8">
        <f>YEAR(tblSales[[#This Row],[Month]])</f>
        <v>2025</v>
      </c>
      <c r="P719" s="8">
        <f>MONTH(tblSales[[#This Row],[Month]])</f>
        <v>3</v>
      </c>
      <c r="Q719" s="6">
        <f>IFERROR(tblSales[[#This Row],[NetSalesTRY]]/tblSales[[#This Row],[Units]],0)</f>
        <v>697.26286713286709</v>
      </c>
      <c r="R719" s="17">
        <f>IFERROR(tblSales[[#This Row],[NetSalesTRY]]/tblSales[[#This Row],[TargetTRY]],0)</f>
        <v>0.97933015463145434</v>
      </c>
      <c r="S719" s="6">
        <f>tblSales[[#This Row],[NetSalesTRY]]-tblSales[[#This Row],[TargetTRY]]</f>
        <v>-2104.4600000000064</v>
      </c>
      <c r="T719" s="6">
        <f>MAX(tblSales[[#This Row],[TargetTRY]]-tblSales[[#This Row],[NetSalesTRY]],0)</f>
        <v>2104.4600000000064</v>
      </c>
    </row>
    <row r="720" spans="1:20">
      <c r="A720" t="s">
        <v>1108</v>
      </c>
      <c r="B720" s="15">
        <v>45717</v>
      </c>
      <c r="C720" t="s">
        <v>25</v>
      </c>
      <c r="D720" t="s">
        <v>26</v>
      </c>
      <c r="E720" t="s">
        <v>67</v>
      </c>
      <c r="F720" t="s">
        <v>65</v>
      </c>
      <c r="G720" t="s">
        <v>11</v>
      </c>
      <c r="H720" s="8">
        <v>165</v>
      </c>
      <c r="I720" s="9">
        <v>102968.09</v>
      </c>
      <c r="J720" s="9">
        <v>6480.71</v>
      </c>
      <c r="K720" s="9">
        <v>1299.21</v>
      </c>
      <c r="L720" s="9">
        <v>95188.17</v>
      </c>
      <c r="M720" s="9">
        <v>93753.22</v>
      </c>
      <c r="N720" s="6" t="str">
        <f>_xlfn.XLOOKUP(tblSales[[#This Row],[ProductID]],tblProducts[ProductID],tblProducts[ProductName],"Not Found")</f>
        <v>RespiraX</v>
      </c>
      <c r="O720" s="8">
        <f>YEAR(tblSales[[#This Row],[Month]])</f>
        <v>2025</v>
      </c>
      <c r="P720" s="8">
        <f>MONTH(tblSales[[#This Row],[Month]])</f>
        <v>3</v>
      </c>
      <c r="Q720" s="6">
        <f>IFERROR(tblSales[[#This Row],[NetSalesTRY]]/tblSales[[#This Row],[Units]],0)</f>
        <v>576.89800000000002</v>
      </c>
      <c r="R720" s="17">
        <f>IFERROR(tblSales[[#This Row],[NetSalesTRY]]/tblSales[[#This Row],[TargetTRY]],0)</f>
        <v>1.0153056076367297</v>
      </c>
      <c r="S720" s="6">
        <f>tblSales[[#This Row],[NetSalesTRY]]-tblSales[[#This Row],[TargetTRY]]</f>
        <v>1434.9499999999971</v>
      </c>
      <c r="T720" s="6">
        <f>MAX(tblSales[[#This Row],[TargetTRY]]-tblSales[[#This Row],[NetSalesTRY]],0)</f>
        <v>0</v>
      </c>
    </row>
    <row r="721" spans="1:20">
      <c r="A721" t="s">
        <v>1109</v>
      </c>
      <c r="B721" s="15">
        <v>45717</v>
      </c>
      <c r="C721" t="s">
        <v>25</v>
      </c>
      <c r="D721" t="s">
        <v>26</v>
      </c>
      <c r="E721" t="s">
        <v>67</v>
      </c>
      <c r="F721" t="s">
        <v>65</v>
      </c>
      <c r="G721" t="s">
        <v>14</v>
      </c>
      <c r="H721" s="8">
        <v>92</v>
      </c>
      <c r="I721" s="9">
        <v>100447.1</v>
      </c>
      <c r="J721" s="9">
        <v>6838.15</v>
      </c>
      <c r="K721" s="9">
        <v>637.9</v>
      </c>
      <c r="L721" s="9">
        <v>92971.06</v>
      </c>
      <c r="M721" s="9">
        <v>93079.08</v>
      </c>
      <c r="N721" s="6" t="str">
        <f>_xlfn.XLOOKUP(tblSales[[#This Row],[ProductID]],tblProducts[ProductID],tblProducts[ProductName],"Not Found")</f>
        <v>NeuroCalm</v>
      </c>
      <c r="O721" s="8">
        <f>YEAR(tblSales[[#This Row],[Month]])</f>
        <v>2025</v>
      </c>
      <c r="P721" s="8">
        <f>MONTH(tblSales[[#This Row],[Month]])</f>
        <v>3</v>
      </c>
      <c r="Q721" s="6">
        <f>IFERROR(tblSales[[#This Row],[NetSalesTRY]]/tblSales[[#This Row],[Units]],0)</f>
        <v>1010.5549999999999</v>
      </c>
      <c r="R721" s="17">
        <f>IFERROR(tblSales[[#This Row],[NetSalesTRY]]/tblSales[[#This Row],[TargetTRY]],0)</f>
        <v>0.99883948143879375</v>
      </c>
      <c r="S721" s="6">
        <f>tblSales[[#This Row],[NetSalesTRY]]-tblSales[[#This Row],[TargetTRY]]</f>
        <v>-108.02000000000407</v>
      </c>
      <c r="T721" s="6">
        <f>MAX(tblSales[[#This Row],[TargetTRY]]-tblSales[[#This Row],[NetSalesTRY]],0)</f>
        <v>108.02000000000407</v>
      </c>
    </row>
    <row r="722" spans="1:20">
      <c r="A722" t="s">
        <v>1110</v>
      </c>
      <c r="B722" s="15">
        <v>45748</v>
      </c>
      <c r="C722" t="s">
        <v>19</v>
      </c>
      <c r="D722" t="s">
        <v>20</v>
      </c>
      <c r="E722" t="s">
        <v>34</v>
      </c>
      <c r="F722" t="s">
        <v>32</v>
      </c>
      <c r="G722" t="s">
        <v>5</v>
      </c>
      <c r="H722" s="8">
        <v>154</v>
      </c>
      <c r="I722" s="9">
        <v>150633</v>
      </c>
      <c r="J722" s="9">
        <v>5297.4</v>
      </c>
      <c r="K722" s="9">
        <v>1406.21</v>
      </c>
      <c r="L722" s="9">
        <v>143929.38</v>
      </c>
      <c r="M722" s="9">
        <v>158000.63</v>
      </c>
      <c r="N722" s="6" t="str">
        <f>_xlfn.XLOOKUP(tblSales[[#This Row],[ProductID]],tblProducts[ProductID],tblProducts[ProductName],"Not Found")</f>
        <v>Cardiovan</v>
      </c>
      <c r="O722" s="8">
        <f>YEAR(tblSales[[#This Row],[Month]])</f>
        <v>2025</v>
      </c>
      <c r="P722" s="8">
        <f>MONTH(tblSales[[#This Row],[Month]])</f>
        <v>4</v>
      </c>
      <c r="Q722" s="6">
        <f>IFERROR(tblSales[[#This Row],[NetSalesTRY]]/tblSales[[#This Row],[Units]],0)</f>
        <v>934.60636363636365</v>
      </c>
      <c r="R722" s="17">
        <f>IFERROR(tblSales[[#This Row],[NetSalesTRY]]/tblSales[[#This Row],[TargetTRY]],0)</f>
        <v>0.91094181080164049</v>
      </c>
      <c r="S722" s="6">
        <f>tblSales[[#This Row],[NetSalesTRY]]-tblSales[[#This Row],[TargetTRY]]</f>
        <v>-14071.25</v>
      </c>
      <c r="T722" s="6">
        <f>MAX(tblSales[[#This Row],[TargetTRY]]-tblSales[[#This Row],[NetSalesTRY]],0)</f>
        <v>14071.25</v>
      </c>
    </row>
    <row r="723" spans="1:20">
      <c r="A723" t="s">
        <v>1111</v>
      </c>
      <c r="B723" s="15">
        <v>45748</v>
      </c>
      <c r="C723" t="s">
        <v>19</v>
      </c>
      <c r="D723" t="s">
        <v>20</v>
      </c>
      <c r="E723" t="s">
        <v>34</v>
      </c>
      <c r="F723" t="s">
        <v>32</v>
      </c>
      <c r="G723" t="s">
        <v>8</v>
      </c>
      <c r="H723" s="8">
        <v>193</v>
      </c>
      <c r="I723" s="9">
        <v>146106.71</v>
      </c>
      <c r="J723" s="9">
        <v>7147.46</v>
      </c>
      <c r="K723" s="9">
        <v>637.65</v>
      </c>
      <c r="L723" s="9">
        <v>138321.60000000001</v>
      </c>
      <c r="M723" s="9">
        <v>140737.19</v>
      </c>
      <c r="N723" s="6" t="str">
        <f>_xlfn.XLOOKUP(tblSales[[#This Row],[ProductID]],tblProducts[ProductID],tblProducts[ProductName],"Not Found")</f>
        <v>GlucoRelief</v>
      </c>
      <c r="O723" s="8">
        <f>YEAR(tblSales[[#This Row],[Month]])</f>
        <v>2025</v>
      </c>
      <c r="P723" s="8">
        <f>MONTH(tblSales[[#This Row],[Month]])</f>
        <v>4</v>
      </c>
      <c r="Q723" s="6">
        <f>IFERROR(tblSales[[#This Row],[NetSalesTRY]]/tblSales[[#This Row],[Units]],0)</f>
        <v>716.69222797927466</v>
      </c>
      <c r="R723" s="17">
        <f>IFERROR(tblSales[[#This Row],[NetSalesTRY]]/tblSales[[#This Row],[TargetTRY]],0)</f>
        <v>0.98283616434291465</v>
      </c>
      <c r="S723" s="6">
        <f>tblSales[[#This Row],[NetSalesTRY]]-tblSales[[#This Row],[TargetTRY]]</f>
        <v>-2415.5899999999965</v>
      </c>
      <c r="T723" s="6">
        <f>MAX(tblSales[[#This Row],[TargetTRY]]-tblSales[[#This Row],[NetSalesTRY]],0)</f>
        <v>2415.5899999999965</v>
      </c>
    </row>
    <row r="724" spans="1:20">
      <c r="A724" t="s">
        <v>1112</v>
      </c>
      <c r="B724" s="15">
        <v>45748</v>
      </c>
      <c r="C724" t="s">
        <v>19</v>
      </c>
      <c r="D724" t="s">
        <v>20</v>
      </c>
      <c r="E724" t="s">
        <v>34</v>
      </c>
      <c r="F724" t="s">
        <v>32</v>
      </c>
      <c r="G724" t="s">
        <v>11</v>
      </c>
      <c r="H724" s="8">
        <v>237</v>
      </c>
      <c r="I724" s="9">
        <v>145719.98000000001</v>
      </c>
      <c r="J724" s="9">
        <v>10634.18</v>
      </c>
      <c r="K724" s="9">
        <v>1875.57</v>
      </c>
      <c r="L724" s="9">
        <v>133210.22</v>
      </c>
      <c r="M724" s="9">
        <v>131470.19</v>
      </c>
      <c r="N724" s="6" t="str">
        <f>_xlfn.XLOOKUP(tblSales[[#This Row],[ProductID]],tblProducts[ProductID],tblProducts[ProductName],"Not Found")</f>
        <v>RespiraX</v>
      </c>
      <c r="O724" s="8">
        <f>YEAR(tblSales[[#This Row],[Month]])</f>
        <v>2025</v>
      </c>
      <c r="P724" s="8">
        <f>MONTH(tblSales[[#This Row],[Month]])</f>
        <v>4</v>
      </c>
      <c r="Q724" s="6">
        <f>IFERROR(tblSales[[#This Row],[NetSalesTRY]]/tblSales[[#This Row],[Units]],0)</f>
        <v>562.06843881856537</v>
      </c>
      <c r="R724" s="17">
        <f>IFERROR(tblSales[[#This Row],[NetSalesTRY]]/tblSales[[#This Row],[TargetTRY]],0)</f>
        <v>1.0132351676071967</v>
      </c>
      <c r="S724" s="6">
        <f>tblSales[[#This Row],[NetSalesTRY]]-tblSales[[#This Row],[TargetTRY]]</f>
        <v>1740.0299999999988</v>
      </c>
      <c r="T724" s="6">
        <f>MAX(tblSales[[#This Row],[TargetTRY]]-tblSales[[#This Row],[NetSalesTRY]],0)</f>
        <v>0</v>
      </c>
    </row>
    <row r="725" spans="1:20">
      <c r="A725" t="s">
        <v>1113</v>
      </c>
      <c r="B725" s="15">
        <v>45748</v>
      </c>
      <c r="C725" t="s">
        <v>19</v>
      </c>
      <c r="D725" t="s">
        <v>20</v>
      </c>
      <c r="E725" t="s">
        <v>34</v>
      </c>
      <c r="F725" t="s">
        <v>32</v>
      </c>
      <c r="G725" t="s">
        <v>14</v>
      </c>
      <c r="H725" s="8">
        <v>128</v>
      </c>
      <c r="I725" s="9">
        <v>142714.64000000001</v>
      </c>
      <c r="J725" s="9">
        <v>10228.65</v>
      </c>
      <c r="K725" s="9">
        <v>1871.69</v>
      </c>
      <c r="L725" s="9">
        <v>130614.31</v>
      </c>
      <c r="M725" s="9">
        <v>128705.05</v>
      </c>
      <c r="N725" s="6" t="str">
        <f>_xlfn.XLOOKUP(tblSales[[#This Row],[ProductID]],tblProducts[ProductID],tblProducts[ProductName],"Not Found")</f>
        <v>NeuroCalm</v>
      </c>
      <c r="O725" s="8">
        <f>YEAR(tblSales[[#This Row],[Month]])</f>
        <v>2025</v>
      </c>
      <c r="P725" s="8">
        <f>MONTH(tblSales[[#This Row],[Month]])</f>
        <v>4</v>
      </c>
      <c r="Q725" s="6">
        <f>IFERROR(tblSales[[#This Row],[NetSalesTRY]]/tblSales[[#This Row],[Units]],0)</f>
        <v>1020.424296875</v>
      </c>
      <c r="R725" s="17">
        <f>IFERROR(tblSales[[#This Row],[NetSalesTRY]]/tblSales[[#This Row],[TargetTRY]],0)</f>
        <v>1.0148343829554474</v>
      </c>
      <c r="S725" s="6">
        <f>tblSales[[#This Row],[NetSalesTRY]]-tblSales[[#This Row],[TargetTRY]]</f>
        <v>1909.2599999999948</v>
      </c>
      <c r="T725" s="6">
        <f>MAX(tblSales[[#This Row],[TargetTRY]]-tblSales[[#This Row],[NetSalesTRY]],0)</f>
        <v>0</v>
      </c>
    </row>
    <row r="726" spans="1:20">
      <c r="A726" t="s">
        <v>1114</v>
      </c>
      <c r="B726" s="15">
        <v>45748</v>
      </c>
      <c r="C726" t="s">
        <v>19</v>
      </c>
      <c r="D726" t="s">
        <v>20</v>
      </c>
      <c r="E726" t="s">
        <v>37</v>
      </c>
      <c r="F726" t="s">
        <v>35</v>
      </c>
      <c r="G726" t="s">
        <v>5</v>
      </c>
      <c r="H726" s="8">
        <v>166</v>
      </c>
      <c r="I726" s="9">
        <v>161749.22</v>
      </c>
      <c r="J726" s="9">
        <v>7641.47</v>
      </c>
      <c r="K726" s="9">
        <v>1602.75</v>
      </c>
      <c r="L726" s="9">
        <v>152505.01</v>
      </c>
      <c r="M726" s="9">
        <v>156049.57</v>
      </c>
      <c r="N726" s="6" t="str">
        <f>_xlfn.XLOOKUP(tblSales[[#This Row],[ProductID]],tblProducts[ProductID],tblProducts[ProductName],"Not Found")</f>
        <v>Cardiovan</v>
      </c>
      <c r="O726" s="8">
        <f>YEAR(tblSales[[#This Row],[Month]])</f>
        <v>2025</v>
      </c>
      <c r="P726" s="8">
        <f>MONTH(tblSales[[#This Row],[Month]])</f>
        <v>4</v>
      </c>
      <c r="Q726" s="6">
        <f>IFERROR(tblSales[[#This Row],[NetSalesTRY]]/tblSales[[#This Row],[Units]],0)</f>
        <v>918.70487951807229</v>
      </c>
      <c r="R726" s="17">
        <f>IFERROR(tblSales[[#This Row],[NetSalesTRY]]/tblSales[[#This Row],[TargetTRY]],0)</f>
        <v>0.97728567915951325</v>
      </c>
      <c r="S726" s="6">
        <f>tblSales[[#This Row],[NetSalesTRY]]-tblSales[[#This Row],[TargetTRY]]</f>
        <v>-3544.5599999999977</v>
      </c>
      <c r="T726" s="6">
        <f>MAX(tblSales[[#This Row],[TargetTRY]]-tblSales[[#This Row],[NetSalesTRY]],0)</f>
        <v>3544.5599999999977</v>
      </c>
    </row>
    <row r="727" spans="1:20">
      <c r="A727" t="s">
        <v>1115</v>
      </c>
      <c r="B727" s="15">
        <v>45748</v>
      </c>
      <c r="C727" t="s">
        <v>19</v>
      </c>
      <c r="D727" t="s">
        <v>20</v>
      </c>
      <c r="E727" t="s">
        <v>37</v>
      </c>
      <c r="F727" t="s">
        <v>35</v>
      </c>
      <c r="G727" t="s">
        <v>8</v>
      </c>
      <c r="H727" s="8">
        <v>195</v>
      </c>
      <c r="I727" s="9">
        <v>147628.26</v>
      </c>
      <c r="J727" s="9">
        <v>9460.57</v>
      </c>
      <c r="K727" s="9">
        <v>1194.3599999999999</v>
      </c>
      <c r="L727" s="9">
        <v>136973.32999999999</v>
      </c>
      <c r="M727" s="9">
        <v>143988.09</v>
      </c>
      <c r="N727" s="6" t="str">
        <f>_xlfn.XLOOKUP(tblSales[[#This Row],[ProductID]],tblProducts[ProductID],tblProducts[ProductName],"Not Found")</f>
        <v>GlucoRelief</v>
      </c>
      <c r="O727" s="8">
        <f>YEAR(tblSales[[#This Row],[Month]])</f>
        <v>2025</v>
      </c>
      <c r="P727" s="8">
        <f>MONTH(tblSales[[#This Row],[Month]])</f>
        <v>4</v>
      </c>
      <c r="Q727" s="6">
        <f>IFERROR(tblSales[[#This Row],[NetSalesTRY]]/tblSales[[#This Row],[Units]],0)</f>
        <v>702.42733333333331</v>
      </c>
      <c r="R727" s="17">
        <f>IFERROR(tblSales[[#This Row],[NetSalesTRY]]/tblSales[[#This Row],[TargetTRY]],0)</f>
        <v>0.95128235953404194</v>
      </c>
      <c r="S727" s="6">
        <f>tblSales[[#This Row],[NetSalesTRY]]-tblSales[[#This Row],[TargetTRY]]</f>
        <v>-7014.7600000000093</v>
      </c>
      <c r="T727" s="6">
        <f>MAX(tblSales[[#This Row],[TargetTRY]]-tblSales[[#This Row],[NetSalesTRY]],0)</f>
        <v>7014.7600000000093</v>
      </c>
    </row>
    <row r="728" spans="1:20">
      <c r="A728" t="s">
        <v>1116</v>
      </c>
      <c r="B728" s="15">
        <v>45748</v>
      </c>
      <c r="C728" t="s">
        <v>19</v>
      </c>
      <c r="D728" t="s">
        <v>20</v>
      </c>
      <c r="E728" t="s">
        <v>37</v>
      </c>
      <c r="F728" t="s">
        <v>35</v>
      </c>
      <c r="G728" t="s">
        <v>11</v>
      </c>
      <c r="H728" s="8">
        <v>226</v>
      </c>
      <c r="I728" s="9">
        <v>142062.19</v>
      </c>
      <c r="J728" s="9">
        <v>7656.79</v>
      </c>
      <c r="K728" s="9">
        <v>1663.29</v>
      </c>
      <c r="L728" s="9">
        <v>132742.1</v>
      </c>
      <c r="M728" s="9">
        <v>133874.23000000001</v>
      </c>
      <c r="N728" s="6" t="str">
        <f>_xlfn.XLOOKUP(tblSales[[#This Row],[ProductID]],tblProducts[ProductID],tblProducts[ProductName],"Not Found")</f>
        <v>RespiraX</v>
      </c>
      <c r="O728" s="8">
        <f>YEAR(tblSales[[#This Row],[Month]])</f>
        <v>2025</v>
      </c>
      <c r="P728" s="8">
        <f>MONTH(tblSales[[#This Row],[Month]])</f>
        <v>4</v>
      </c>
      <c r="Q728" s="6">
        <f>IFERROR(tblSales[[#This Row],[NetSalesTRY]]/tblSales[[#This Row],[Units]],0)</f>
        <v>587.35442477876109</v>
      </c>
      <c r="R728" s="17">
        <f>IFERROR(tblSales[[#This Row],[NetSalesTRY]]/tblSales[[#This Row],[TargetTRY]],0)</f>
        <v>0.99154333137901141</v>
      </c>
      <c r="S728" s="6">
        <f>tblSales[[#This Row],[NetSalesTRY]]-tblSales[[#This Row],[TargetTRY]]</f>
        <v>-1132.1300000000047</v>
      </c>
      <c r="T728" s="6">
        <f>MAX(tblSales[[#This Row],[TargetTRY]]-tblSales[[#This Row],[NetSalesTRY]],0)</f>
        <v>1132.1300000000047</v>
      </c>
    </row>
    <row r="729" spans="1:20">
      <c r="A729" t="s">
        <v>1117</v>
      </c>
      <c r="B729" s="15">
        <v>45748</v>
      </c>
      <c r="C729" t="s">
        <v>19</v>
      </c>
      <c r="D729" t="s">
        <v>20</v>
      </c>
      <c r="E729" t="s">
        <v>37</v>
      </c>
      <c r="F729" t="s">
        <v>35</v>
      </c>
      <c r="G729" t="s">
        <v>14</v>
      </c>
      <c r="H729" s="8">
        <v>124</v>
      </c>
      <c r="I729" s="9">
        <v>135382.51999999999</v>
      </c>
      <c r="J729" s="9">
        <v>8711.11</v>
      </c>
      <c r="K729" s="9">
        <v>1735.04</v>
      </c>
      <c r="L729" s="9">
        <v>124936.37</v>
      </c>
      <c r="M729" s="9">
        <v>129132.46</v>
      </c>
      <c r="N729" s="6" t="str">
        <f>_xlfn.XLOOKUP(tblSales[[#This Row],[ProductID]],tblProducts[ProductID],tblProducts[ProductName],"Not Found")</f>
        <v>NeuroCalm</v>
      </c>
      <c r="O729" s="8">
        <f>YEAR(tblSales[[#This Row],[Month]])</f>
        <v>2025</v>
      </c>
      <c r="P729" s="8">
        <f>MONTH(tblSales[[#This Row],[Month]])</f>
        <v>4</v>
      </c>
      <c r="Q729" s="6">
        <f>IFERROR(tblSales[[#This Row],[NetSalesTRY]]/tblSales[[#This Row],[Units]],0)</f>
        <v>1007.5513709677419</v>
      </c>
      <c r="R729" s="17">
        <f>IFERROR(tblSales[[#This Row],[NetSalesTRY]]/tblSales[[#This Row],[TargetTRY]],0)</f>
        <v>0.96750553656299887</v>
      </c>
      <c r="S729" s="6">
        <f>tblSales[[#This Row],[NetSalesTRY]]-tblSales[[#This Row],[TargetTRY]]</f>
        <v>-4196.0900000000111</v>
      </c>
      <c r="T729" s="6">
        <f>MAX(tblSales[[#This Row],[TargetTRY]]-tblSales[[#This Row],[NetSalesTRY]],0)</f>
        <v>4196.0900000000111</v>
      </c>
    </row>
    <row r="730" spans="1:20">
      <c r="A730" t="s">
        <v>1118</v>
      </c>
      <c r="B730" s="15">
        <v>45748</v>
      </c>
      <c r="C730" t="s">
        <v>19</v>
      </c>
      <c r="D730" t="s">
        <v>20</v>
      </c>
      <c r="E730" t="s">
        <v>40</v>
      </c>
      <c r="F730" t="s">
        <v>38</v>
      </c>
      <c r="G730" t="s">
        <v>5</v>
      </c>
      <c r="H730" s="8">
        <v>174</v>
      </c>
      <c r="I730" s="9">
        <v>170841.15</v>
      </c>
      <c r="J730" s="9">
        <v>9351.2099999999991</v>
      </c>
      <c r="K730" s="9">
        <v>1834.55</v>
      </c>
      <c r="L730" s="9">
        <v>159655.39000000001</v>
      </c>
      <c r="M730" s="9">
        <v>174647.21</v>
      </c>
      <c r="N730" s="6" t="str">
        <f>_xlfn.XLOOKUP(tblSales[[#This Row],[ProductID]],tblProducts[ProductID],tblProducts[ProductName],"Not Found")</f>
        <v>Cardiovan</v>
      </c>
      <c r="O730" s="8">
        <f>YEAR(tblSales[[#This Row],[Month]])</f>
        <v>2025</v>
      </c>
      <c r="P730" s="8">
        <f>MONTH(tblSales[[#This Row],[Month]])</f>
        <v>4</v>
      </c>
      <c r="Q730" s="6">
        <f>IFERROR(tblSales[[#This Row],[NetSalesTRY]]/tblSales[[#This Row],[Units]],0)</f>
        <v>917.55971264367827</v>
      </c>
      <c r="R730" s="17">
        <f>IFERROR(tblSales[[#This Row],[NetSalesTRY]]/tblSales[[#This Row],[TargetTRY]],0)</f>
        <v>0.91415940741337931</v>
      </c>
      <c r="S730" s="6">
        <f>tblSales[[#This Row],[NetSalesTRY]]-tblSales[[#This Row],[TargetTRY]]</f>
        <v>-14991.819999999978</v>
      </c>
      <c r="T730" s="6">
        <f>MAX(tblSales[[#This Row],[TargetTRY]]-tblSales[[#This Row],[NetSalesTRY]],0)</f>
        <v>14991.819999999978</v>
      </c>
    </row>
    <row r="731" spans="1:20">
      <c r="A731" t="s">
        <v>1119</v>
      </c>
      <c r="B731" s="15">
        <v>45748</v>
      </c>
      <c r="C731" t="s">
        <v>19</v>
      </c>
      <c r="D731" t="s">
        <v>20</v>
      </c>
      <c r="E731" t="s">
        <v>40</v>
      </c>
      <c r="F731" t="s">
        <v>38</v>
      </c>
      <c r="G731" t="s">
        <v>8</v>
      </c>
      <c r="H731" s="8">
        <v>217</v>
      </c>
      <c r="I731" s="9">
        <v>164429.24</v>
      </c>
      <c r="J731" s="9">
        <v>11636.38</v>
      </c>
      <c r="K731" s="9">
        <v>1875.22</v>
      </c>
      <c r="L731" s="9">
        <v>150917.65</v>
      </c>
      <c r="M731" s="9">
        <v>155695.56</v>
      </c>
      <c r="N731" s="6" t="str">
        <f>_xlfn.XLOOKUP(tblSales[[#This Row],[ProductID]],tblProducts[ProductID],tblProducts[ProductName],"Not Found")</f>
        <v>GlucoRelief</v>
      </c>
      <c r="O731" s="8">
        <f>YEAR(tblSales[[#This Row],[Month]])</f>
        <v>2025</v>
      </c>
      <c r="P731" s="8">
        <f>MONTH(tblSales[[#This Row],[Month]])</f>
        <v>4</v>
      </c>
      <c r="Q731" s="6">
        <f>IFERROR(tblSales[[#This Row],[NetSalesTRY]]/tblSales[[#This Row],[Units]],0)</f>
        <v>695.47304147465434</v>
      </c>
      <c r="R731" s="17">
        <f>IFERROR(tblSales[[#This Row],[NetSalesTRY]]/tblSales[[#This Row],[TargetTRY]],0)</f>
        <v>0.96931248392696612</v>
      </c>
      <c r="S731" s="6">
        <f>tblSales[[#This Row],[NetSalesTRY]]-tblSales[[#This Row],[TargetTRY]]</f>
        <v>-4777.9100000000035</v>
      </c>
      <c r="T731" s="6">
        <f>MAX(tblSales[[#This Row],[TargetTRY]]-tblSales[[#This Row],[NetSalesTRY]],0)</f>
        <v>4777.9100000000035</v>
      </c>
    </row>
    <row r="732" spans="1:20">
      <c r="A732" t="s">
        <v>1120</v>
      </c>
      <c r="B732" s="15">
        <v>45748</v>
      </c>
      <c r="C732" t="s">
        <v>19</v>
      </c>
      <c r="D732" t="s">
        <v>20</v>
      </c>
      <c r="E732" t="s">
        <v>40</v>
      </c>
      <c r="F732" t="s">
        <v>38</v>
      </c>
      <c r="G732" t="s">
        <v>11</v>
      </c>
      <c r="H732" s="8">
        <v>261</v>
      </c>
      <c r="I732" s="9">
        <v>160553.73000000001</v>
      </c>
      <c r="J732" s="9">
        <v>6231.61</v>
      </c>
      <c r="K732" s="9">
        <v>1903.62</v>
      </c>
      <c r="L732" s="9">
        <v>152418.49</v>
      </c>
      <c r="M732" s="9">
        <v>145743.13</v>
      </c>
      <c r="N732" s="6" t="str">
        <f>_xlfn.XLOOKUP(tblSales[[#This Row],[ProductID]],tblProducts[ProductID],tblProducts[ProductName],"Not Found")</f>
        <v>RespiraX</v>
      </c>
      <c r="O732" s="8">
        <f>YEAR(tblSales[[#This Row],[Month]])</f>
        <v>2025</v>
      </c>
      <c r="P732" s="8">
        <f>MONTH(tblSales[[#This Row],[Month]])</f>
        <v>4</v>
      </c>
      <c r="Q732" s="6">
        <f>IFERROR(tblSales[[#This Row],[NetSalesTRY]]/tblSales[[#This Row],[Units]],0)</f>
        <v>583.97888888888883</v>
      </c>
      <c r="R732" s="17">
        <f>IFERROR(tblSales[[#This Row],[NetSalesTRY]]/tblSales[[#This Row],[TargetTRY]],0)</f>
        <v>1.0458022275218049</v>
      </c>
      <c r="S732" s="6">
        <f>tblSales[[#This Row],[NetSalesTRY]]-tblSales[[#This Row],[TargetTRY]]</f>
        <v>6675.359999999986</v>
      </c>
      <c r="T732" s="6">
        <f>MAX(tblSales[[#This Row],[TargetTRY]]-tblSales[[#This Row],[NetSalesTRY]],0)</f>
        <v>0</v>
      </c>
    </row>
    <row r="733" spans="1:20">
      <c r="A733" t="s">
        <v>1121</v>
      </c>
      <c r="B733" s="15">
        <v>45748</v>
      </c>
      <c r="C733" t="s">
        <v>19</v>
      </c>
      <c r="D733" t="s">
        <v>20</v>
      </c>
      <c r="E733" t="s">
        <v>40</v>
      </c>
      <c r="F733" t="s">
        <v>38</v>
      </c>
      <c r="G733" t="s">
        <v>14</v>
      </c>
      <c r="H733" s="8">
        <v>138</v>
      </c>
      <c r="I733" s="9">
        <v>152283.5</v>
      </c>
      <c r="J733" s="9">
        <v>11155.85</v>
      </c>
      <c r="K733" s="9">
        <v>1828.45</v>
      </c>
      <c r="L733" s="9">
        <v>139299.19</v>
      </c>
      <c r="M733" s="9">
        <v>143513.25</v>
      </c>
      <c r="N733" s="6" t="str">
        <f>_xlfn.XLOOKUP(tblSales[[#This Row],[ProductID]],tblProducts[ProductID],tblProducts[ProductName],"Not Found")</f>
        <v>NeuroCalm</v>
      </c>
      <c r="O733" s="8">
        <f>YEAR(tblSales[[#This Row],[Month]])</f>
        <v>2025</v>
      </c>
      <c r="P733" s="8">
        <f>MONTH(tblSales[[#This Row],[Month]])</f>
        <v>4</v>
      </c>
      <c r="Q733" s="6">
        <f>IFERROR(tblSales[[#This Row],[NetSalesTRY]]/tblSales[[#This Row],[Units]],0)</f>
        <v>1009.4144202898551</v>
      </c>
      <c r="R733" s="17">
        <f>IFERROR(tblSales[[#This Row],[NetSalesTRY]]/tblSales[[#This Row],[TargetTRY]],0)</f>
        <v>0.97063643949252076</v>
      </c>
      <c r="S733" s="6">
        <f>tblSales[[#This Row],[NetSalesTRY]]-tblSales[[#This Row],[TargetTRY]]</f>
        <v>-4214.0599999999977</v>
      </c>
      <c r="T733" s="6">
        <f>MAX(tblSales[[#This Row],[TargetTRY]]-tblSales[[#This Row],[NetSalesTRY]],0)</f>
        <v>4214.0599999999977</v>
      </c>
    </row>
    <row r="734" spans="1:20">
      <c r="A734" t="s">
        <v>1122</v>
      </c>
      <c r="B734" s="15">
        <v>45748</v>
      </c>
      <c r="C734" t="s">
        <v>21</v>
      </c>
      <c r="D734" t="s">
        <v>22</v>
      </c>
      <c r="E734" t="s">
        <v>43</v>
      </c>
      <c r="F734" t="s">
        <v>41</v>
      </c>
      <c r="G734" t="s">
        <v>5</v>
      </c>
      <c r="H734" s="8">
        <v>111</v>
      </c>
      <c r="I734" s="9">
        <v>109070.8</v>
      </c>
      <c r="J734" s="9">
        <v>7004.28</v>
      </c>
      <c r="K734" s="9">
        <v>1118</v>
      </c>
      <c r="L734" s="9">
        <v>100948.53</v>
      </c>
      <c r="M734" s="9">
        <v>125850.84</v>
      </c>
      <c r="N734" s="6" t="str">
        <f>_xlfn.XLOOKUP(tblSales[[#This Row],[ProductID]],tblProducts[ProductID],tblProducts[ProductName],"Not Found")</f>
        <v>Cardiovan</v>
      </c>
      <c r="O734" s="8">
        <f>YEAR(tblSales[[#This Row],[Month]])</f>
        <v>2025</v>
      </c>
      <c r="P734" s="8">
        <f>MONTH(tblSales[[#This Row],[Month]])</f>
        <v>4</v>
      </c>
      <c r="Q734" s="6">
        <f>IFERROR(tblSales[[#This Row],[NetSalesTRY]]/tblSales[[#This Row],[Units]],0)</f>
        <v>909.44621621621616</v>
      </c>
      <c r="R734" s="17">
        <f>IFERROR(tblSales[[#This Row],[NetSalesTRY]]/tblSales[[#This Row],[TargetTRY]],0)</f>
        <v>0.80212837673550685</v>
      </c>
      <c r="S734" s="6">
        <f>tblSales[[#This Row],[NetSalesTRY]]-tblSales[[#This Row],[TargetTRY]]</f>
        <v>-24902.309999999998</v>
      </c>
      <c r="T734" s="6">
        <f>MAX(tblSales[[#This Row],[TargetTRY]]-tblSales[[#This Row],[NetSalesTRY]],0)</f>
        <v>24902.309999999998</v>
      </c>
    </row>
    <row r="735" spans="1:20">
      <c r="A735" t="s">
        <v>1123</v>
      </c>
      <c r="B735" s="15">
        <v>45748</v>
      </c>
      <c r="C735" t="s">
        <v>21</v>
      </c>
      <c r="D735" t="s">
        <v>22</v>
      </c>
      <c r="E735" t="s">
        <v>43</v>
      </c>
      <c r="F735" t="s">
        <v>41</v>
      </c>
      <c r="G735" t="s">
        <v>8</v>
      </c>
      <c r="H735" s="8">
        <v>162</v>
      </c>
      <c r="I735" s="9">
        <v>123944.26</v>
      </c>
      <c r="J735" s="9">
        <v>8439.08</v>
      </c>
      <c r="K735" s="9">
        <v>948.03</v>
      </c>
      <c r="L735" s="9">
        <v>114557.15</v>
      </c>
      <c r="M735" s="9">
        <v>113839.32</v>
      </c>
      <c r="N735" s="6" t="str">
        <f>_xlfn.XLOOKUP(tblSales[[#This Row],[ProductID]],tblProducts[ProductID],tblProducts[ProductName],"Not Found")</f>
        <v>GlucoRelief</v>
      </c>
      <c r="O735" s="8">
        <f>YEAR(tblSales[[#This Row],[Month]])</f>
        <v>2025</v>
      </c>
      <c r="P735" s="8">
        <f>MONTH(tblSales[[#This Row],[Month]])</f>
        <v>4</v>
      </c>
      <c r="Q735" s="6">
        <f>IFERROR(tblSales[[#This Row],[NetSalesTRY]]/tblSales[[#This Row],[Units]],0)</f>
        <v>707.14290123456783</v>
      </c>
      <c r="R735" s="17">
        <f>IFERROR(tblSales[[#This Row],[NetSalesTRY]]/tblSales[[#This Row],[TargetTRY]],0)</f>
        <v>1.0063056420224574</v>
      </c>
      <c r="S735" s="6">
        <f>tblSales[[#This Row],[NetSalesTRY]]-tblSales[[#This Row],[TargetTRY]]</f>
        <v>717.82999999998719</v>
      </c>
      <c r="T735" s="6">
        <f>MAX(tblSales[[#This Row],[TargetTRY]]-tblSales[[#This Row],[NetSalesTRY]],0)</f>
        <v>0</v>
      </c>
    </row>
    <row r="736" spans="1:20">
      <c r="A736" t="s">
        <v>1124</v>
      </c>
      <c r="B736" s="15">
        <v>45748</v>
      </c>
      <c r="C736" t="s">
        <v>21</v>
      </c>
      <c r="D736" t="s">
        <v>22</v>
      </c>
      <c r="E736" t="s">
        <v>43</v>
      </c>
      <c r="F736" t="s">
        <v>41</v>
      </c>
      <c r="G736" t="s">
        <v>11</v>
      </c>
      <c r="H736" s="8">
        <v>182</v>
      </c>
      <c r="I736" s="9">
        <v>113317.15</v>
      </c>
      <c r="J736" s="9">
        <v>4058.09</v>
      </c>
      <c r="K736" s="9">
        <v>585.22</v>
      </c>
      <c r="L736" s="9">
        <v>108673.84</v>
      </c>
      <c r="M736" s="9">
        <v>107949.58</v>
      </c>
      <c r="N736" s="6" t="str">
        <f>_xlfn.XLOOKUP(tblSales[[#This Row],[ProductID]],tblProducts[ProductID],tblProducts[ProductName],"Not Found")</f>
        <v>RespiraX</v>
      </c>
      <c r="O736" s="8">
        <f>YEAR(tblSales[[#This Row],[Month]])</f>
        <v>2025</v>
      </c>
      <c r="P736" s="8">
        <f>MONTH(tblSales[[#This Row],[Month]])</f>
        <v>4</v>
      </c>
      <c r="Q736" s="6">
        <f>IFERROR(tblSales[[#This Row],[NetSalesTRY]]/tblSales[[#This Row],[Units]],0)</f>
        <v>597.10901098901093</v>
      </c>
      <c r="R736" s="17">
        <f>IFERROR(tblSales[[#This Row],[NetSalesTRY]]/tblSales[[#This Row],[TargetTRY]],0)</f>
        <v>1.0067092433337859</v>
      </c>
      <c r="S736" s="6">
        <f>tblSales[[#This Row],[NetSalesTRY]]-tblSales[[#This Row],[TargetTRY]]</f>
        <v>724.25999999999476</v>
      </c>
      <c r="T736" s="6">
        <f>MAX(tblSales[[#This Row],[TargetTRY]]-tblSales[[#This Row],[NetSalesTRY]],0)</f>
        <v>0</v>
      </c>
    </row>
    <row r="737" spans="1:20">
      <c r="A737" t="s">
        <v>1125</v>
      </c>
      <c r="B737" s="15">
        <v>45748</v>
      </c>
      <c r="C737" t="s">
        <v>21</v>
      </c>
      <c r="D737" t="s">
        <v>22</v>
      </c>
      <c r="E737" t="s">
        <v>43</v>
      </c>
      <c r="F737" t="s">
        <v>41</v>
      </c>
      <c r="G737" t="s">
        <v>14</v>
      </c>
      <c r="H737" s="8">
        <v>96</v>
      </c>
      <c r="I737" s="9">
        <v>105950.5</v>
      </c>
      <c r="J737" s="9">
        <v>4796.92</v>
      </c>
      <c r="K737" s="9">
        <v>834.06</v>
      </c>
      <c r="L737" s="9">
        <v>100319.53</v>
      </c>
      <c r="M737" s="9">
        <v>102974.87</v>
      </c>
      <c r="N737" s="6" t="str">
        <f>_xlfn.XLOOKUP(tblSales[[#This Row],[ProductID]],tblProducts[ProductID],tblProducts[ProductName],"Not Found")</f>
        <v>NeuroCalm</v>
      </c>
      <c r="O737" s="8">
        <f>YEAR(tblSales[[#This Row],[Month]])</f>
        <v>2025</v>
      </c>
      <c r="P737" s="8">
        <f>MONTH(tblSales[[#This Row],[Month]])</f>
        <v>4</v>
      </c>
      <c r="Q737" s="6">
        <f>IFERROR(tblSales[[#This Row],[NetSalesTRY]]/tblSales[[#This Row],[Units]],0)</f>
        <v>1044.9951041666666</v>
      </c>
      <c r="R737" s="17">
        <f>IFERROR(tblSales[[#This Row],[NetSalesTRY]]/tblSales[[#This Row],[TargetTRY]],0)</f>
        <v>0.9742137086456143</v>
      </c>
      <c r="S737" s="6">
        <f>tblSales[[#This Row],[NetSalesTRY]]-tblSales[[#This Row],[TargetTRY]]</f>
        <v>-2655.3399999999965</v>
      </c>
      <c r="T737" s="6">
        <f>MAX(tblSales[[#This Row],[TargetTRY]]-tblSales[[#This Row],[NetSalesTRY]],0)</f>
        <v>2655.3399999999965</v>
      </c>
    </row>
    <row r="738" spans="1:20">
      <c r="A738" t="s">
        <v>1126</v>
      </c>
      <c r="B738" s="15">
        <v>45748</v>
      </c>
      <c r="C738" t="s">
        <v>21</v>
      </c>
      <c r="D738" t="s">
        <v>22</v>
      </c>
      <c r="E738" t="s">
        <v>46</v>
      </c>
      <c r="F738" t="s">
        <v>44</v>
      </c>
      <c r="G738" t="s">
        <v>5</v>
      </c>
      <c r="H738" s="8">
        <v>94</v>
      </c>
      <c r="I738" s="9">
        <v>91165.2</v>
      </c>
      <c r="J738" s="9">
        <v>6170.32</v>
      </c>
      <c r="K738" s="9">
        <v>542.41999999999996</v>
      </c>
      <c r="L738" s="9">
        <v>84452.46</v>
      </c>
      <c r="M738" s="9">
        <v>111349.8</v>
      </c>
      <c r="N738" s="6" t="str">
        <f>_xlfn.XLOOKUP(tblSales[[#This Row],[ProductID]],tblProducts[ProductID],tblProducts[ProductName],"Not Found")</f>
        <v>Cardiovan</v>
      </c>
      <c r="O738" s="8">
        <f>YEAR(tblSales[[#This Row],[Month]])</f>
        <v>2025</v>
      </c>
      <c r="P738" s="8">
        <f>MONTH(tblSales[[#This Row],[Month]])</f>
        <v>4</v>
      </c>
      <c r="Q738" s="6">
        <f>IFERROR(tblSales[[#This Row],[NetSalesTRY]]/tblSales[[#This Row],[Units]],0)</f>
        <v>898.43042553191492</v>
      </c>
      <c r="R738" s="17">
        <f>IFERROR(tblSales[[#This Row],[NetSalesTRY]]/tblSales[[#This Row],[TargetTRY]],0)</f>
        <v>0.75844285306305004</v>
      </c>
      <c r="S738" s="6">
        <f>tblSales[[#This Row],[NetSalesTRY]]-tblSales[[#This Row],[TargetTRY]]</f>
        <v>-26897.339999999997</v>
      </c>
      <c r="T738" s="6">
        <f>MAX(tblSales[[#This Row],[TargetTRY]]-tblSales[[#This Row],[NetSalesTRY]],0)</f>
        <v>26897.339999999997</v>
      </c>
    </row>
    <row r="739" spans="1:20">
      <c r="A739" t="s">
        <v>1127</v>
      </c>
      <c r="B739" s="15">
        <v>45748</v>
      </c>
      <c r="C739" t="s">
        <v>21</v>
      </c>
      <c r="D739" t="s">
        <v>22</v>
      </c>
      <c r="E739" t="s">
        <v>46</v>
      </c>
      <c r="F739" t="s">
        <v>44</v>
      </c>
      <c r="G739" t="s">
        <v>8</v>
      </c>
      <c r="H739" s="8">
        <v>130</v>
      </c>
      <c r="I739" s="9">
        <v>97414.5</v>
      </c>
      <c r="J739" s="9">
        <v>4579.2700000000004</v>
      </c>
      <c r="K739" s="9">
        <v>584.63</v>
      </c>
      <c r="L739" s="9">
        <v>92250.6</v>
      </c>
      <c r="M739" s="9">
        <v>99619.3</v>
      </c>
      <c r="N739" s="6" t="str">
        <f>_xlfn.XLOOKUP(tblSales[[#This Row],[ProductID]],tblProducts[ProductID],tblProducts[ProductName],"Not Found")</f>
        <v>GlucoRelief</v>
      </c>
      <c r="O739" s="8">
        <f>YEAR(tblSales[[#This Row],[Month]])</f>
        <v>2025</v>
      </c>
      <c r="P739" s="8">
        <f>MONTH(tblSales[[#This Row],[Month]])</f>
        <v>4</v>
      </c>
      <c r="Q739" s="6">
        <f>IFERROR(tblSales[[#This Row],[NetSalesTRY]]/tblSales[[#This Row],[Units]],0)</f>
        <v>709.62</v>
      </c>
      <c r="R739" s="17">
        <f>IFERROR(tblSales[[#This Row],[NetSalesTRY]]/tblSales[[#This Row],[TargetTRY]],0)</f>
        <v>0.92603140154568442</v>
      </c>
      <c r="S739" s="6">
        <f>tblSales[[#This Row],[NetSalesTRY]]-tblSales[[#This Row],[TargetTRY]]</f>
        <v>-7368.6999999999971</v>
      </c>
      <c r="T739" s="6">
        <f>MAX(tblSales[[#This Row],[TargetTRY]]-tblSales[[#This Row],[NetSalesTRY]],0)</f>
        <v>7368.6999999999971</v>
      </c>
    </row>
    <row r="740" spans="1:20">
      <c r="A740" t="s">
        <v>1128</v>
      </c>
      <c r="B740" s="15">
        <v>45748</v>
      </c>
      <c r="C740" t="s">
        <v>21</v>
      </c>
      <c r="D740" t="s">
        <v>22</v>
      </c>
      <c r="E740" t="s">
        <v>46</v>
      </c>
      <c r="F740" t="s">
        <v>44</v>
      </c>
      <c r="G740" t="s">
        <v>11</v>
      </c>
      <c r="H740" s="8">
        <v>155</v>
      </c>
      <c r="I740" s="9">
        <v>94925.52</v>
      </c>
      <c r="J740" s="9">
        <v>3583.53</v>
      </c>
      <c r="K740" s="9">
        <v>662.9</v>
      </c>
      <c r="L740" s="9">
        <v>90679.09</v>
      </c>
      <c r="M740" s="9">
        <v>95497.77</v>
      </c>
      <c r="N740" s="6" t="str">
        <f>_xlfn.XLOOKUP(tblSales[[#This Row],[ProductID]],tblProducts[ProductID],tblProducts[ProductName],"Not Found")</f>
        <v>RespiraX</v>
      </c>
      <c r="O740" s="8">
        <f>YEAR(tblSales[[#This Row],[Month]])</f>
        <v>2025</v>
      </c>
      <c r="P740" s="8">
        <f>MONTH(tblSales[[#This Row],[Month]])</f>
        <v>4</v>
      </c>
      <c r="Q740" s="6">
        <f>IFERROR(tblSales[[#This Row],[NetSalesTRY]]/tblSales[[#This Row],[Units]],0)</f>
        <v>585.02638709677422</v>
      </c>
      <c r="R740" s="17">
        <f>IFERROR(tblSales[[#This Row],[NetSalesTRY]]/tblSales[[#This Row],[TargetTRY]],0)</f>
        <v>0.94954143955403347</v>
      </c>
      <c r="S740" s="6">
        <f>tblSales[[#This Row],[NetSalesTRY]]-tblSales[[#This Row],[TargetTRY]]</f>
        <v>-4818.6800000000076</v>
      </c>
      <c r="T740" s="6">
        <f>MAX(tblSales[[#This Row],[TargetTRY]]-tblSales[[#This Row],[NetSalesTRY]],0)</f>
        <v>4818.6800000000076</v>
      </c>
    </row>
    <row r="741" spans="1:20">
      <c r="A741" t="s">
        <v>1129</v>
      </c>
      <c r="B741" s="15">
        <v>45748</v>
      </c>
      <c r="C741" t="s">
        <v>21</v>
      </c>
      <c r="D741" t="s">
        <v>22</v>
      </c>
      <c r="E741" t="s">
        <v>46</v>
      </c>
      <c r="F741" t="s">
        <v>44</v>
      </c>
      <c r="G741" t="s">
        <v>14</v>
      </c>
      <c r="H741" s="8">
        <v>81</v>
      </c>
      <c r="I741" s="9">
        <v>88774.71</v>
      </c>
      <c r="J741" s="9">
        <v>3455.68</v>
      </c>
      <c r="K741" s="9">
        <v>608.54999999999995</v>
      </c>
      <c r="L741" s="9">
        <v>84710.48</v>
      </c>
      <c r="M741" s="9">
        <v>91532.62</v>
      </c>
      <c r="N741" s="6" t="str">
        <f>_xlfn.XLOOKUP(tblSales[[#This Row],[ProductID]],tblProducts[ProductID],tblProducts[ProductName],"Not Found")</f>
        <v>NeuroCalm</v>
      </c>
      <c r="O741" s="8">
        <f>YEAR(tblSales[[#This Row],[Month]])</f>
        <v>2025</v>
      </c>
      <c r="P741" s="8">
        <f>MONTH(tblSales[[#This Row],[Month]])</f>
        <v>4</v>
      </c>
      <c r="Q741" s="6">
        <f>IFERROR(tblSales[[#This Row],[NetSalesTRY]]/tblSales[[#This Row],[Units]],0)</f>
        <v>1045.8083950617283</v>
      </c>
      <c r="R741" s="17">
        <f>IFERROR(tblSales[[#This Row],[NetSalesTRY]]/tblSales[[#This Row],[TargetTRY]],0)</f>
        <v>0.92546766387764279</v>
      </c>
      <c r="S741" s="6">
        <f>tblSales[[#This Row],[NetSalesTRY]]-tblSales[[#This Row],[TargetTRY]]</f>
        <v>-6822.1399999999994</v>
      </c>
      <c r="T741" s="6">
        <f>MAX(tblSales[[#This Row],[TargetTRY]]-tblSales[[#This Row],[NetSalesTRY]],0)</f>
        <v>6822.1399999999994</v>
      </c>
    </row>
    <row r="742" spans="1:20">
      <c r="A742" t="s">
        <v>1130</v>
      </c>
      <c r="B742" s="15">
        <v>45748</v>
      </c>
      <c r="C742" t="s">
        <v>21</v>
      </c>
      <c r="D742" t="s">
        <v>22</v>
      </c>
      <c r="E742" t="s">
        <v>49</v>
      </c>
      <c r="F742" t="s">
        <v>47</v>
      </c>
      <c r="G742" t="s">
        <v>5</v>
      </c>
      <c r="H742" s="8">
        <v>112</v>
      </c>
      <c r="I742" s="9">
        <v>108255.05</v>
      </c>
      <c r="J742" s="9">
        <v>7244.09</v>
      </c>
      <c r="K742" s="9">
        <v>695.05</v>
      </c>
      <c r="L742" s="9">
        <v>100315.9</v>
      </c>
      <c r="M742" s="9">
        <v>126610.99</v>
      </c>
      <c r="N742" s="6" t="str">
        <f>_xlfn.XLOOKUP(tblSales[[#This Row],[ProductID]],tblProducts[ProductID],tblProducts[ProductName],"Not Found")</f>
        <v>Cardiovan</v>
      </c>
      <c r="O742" s="8">
        <f>YEAR(tblSales[[#This Row],[Month]])</f>
        <v>2025</v>
      </c>
      <c r="P742" s="8">
        <f>MONTH(tblSales[[#This Row],[Month]])</f>
        <v>4</v>
      </c>
      <c r="Q742" s="6">
        <f>IFERROR(tblSales[[#This Row],[NetSalesTRY]]/tblSales[[#This Row],[Units]],0)</f>
        <v>895.67767857142849</v>
      </c>
      <c r="R742" s="17">
        <f>IFERROR(tblSales[[#This Row],[NetSalesTRY]]/tblSales[[#This Row],[TargetTRY]],0)</f>
        <v>0.79231589611612696</v>
      </c>
      <c r="S742" s="6">
        <f>tblSales[[#This Row],[NetSalesTRY]]-tblSales[[#This Row],[TargetTRY]]</f>
        <v>-26295.090000000011</v>
      </c>
      <c r="T742" s="6">
        <f>MAX(tblSales[[#This Row],[TargetTRY]]-tblSales[[#This Row],[NetSalesTRY]],0)</f>
        <v>26295.090000000011</v>
      </c>
    </row>
    <row r="743" spans="1:20">
      <c r="A743" t="s">
        <v>1131</v>
      </c>
      <c r="B743" s="15">
        <v>45748</v>
      </c>
      <c r="C743" t="s">
        <v>21</v>
      </c>
      <c r="D743" t="s">
        <v>22</v>
      </c>
      <c r="E743" t="s">
        <v>49</v>
      </c>
      <c r="F743" t="s">
        <v>47</v>
      </c>
      <c r="G743" t="s">
        <v>8</v>
      </c>
      <c r="H743" s="8">
        <v>148</v>
      </c>
      <c r="I743" s="9">
        <v>111459.76</v>
      </c>
      <c r="J743" s="9">
        <v>4177.3999999999996</v>
      </c>
      <c r="K743" s="9">
        <v>1449.92</v>
      </c>
      <c r="L743" s="9">
        <v>105832.43</v>
      </c>
      <c r="M743" s="9">
        <v>115076.83</v>
      </c>
      <c r="N743" s="6" t="str">
        <f>_xlfn.XLOOKUP(tblSales[[#This Row],[ProductID]],tblProducts[ProductID],tblProducts[ProductName],"Not Found")</f>
        <v>GlucoRelief</v>
      </c>
      <c r="O743" s="8">
        <f>YEAR(tblSales[[#This Row],[Month]])</f>
        <v>2025</v>
      </c>
      <c r="P743" s="8">
        <f>MONTH(tblSales[[#This Row],[Month]])</f>
        <v>4</v>
      </c>
      <c r="Q743" s="6">
        <f>IFERROR(tblSales[[#This Row],[NetSalesTRY]]/tblSales[[#This Row],[Units]],0)</f>
        <v>715.08398648648642</v>
      </c>
      <c r="R743" s="17">
        <f>IFERROR(tblSales[[#This Row],[NetSalesTRY]]/tblSales[[#This Row],[TargetTRY]],0)</f>
        <v>0.91966758208407362</v>
      </c>
      <c r="S743" s="6">
        <f>tblSales[[#This Row],[NetSalesTRY]]-tblSales[[#This Row],[TargetTRY]]</f>
        <v>-9244.4000000000087</v>
      </c>
      <c r="T743" s="6">
        <f>MAX(tblSales[[#This Row],[TargetTRY]]-tblSales[[#This Row],[NetSalesTRY]],0)</f>
        <v>9244.4000000000087</v>
      </c>
    </row>
    <row r="744" spans="1:20">
      <c r="A744" t="s">
        <v>1132</v>
      </c>
      <c r="B744" s="15">
        <v>45748</v>
      </c>
      <c r="C744" t="s">
        <v>21</v>
      </c>
      <c r="D744" t="s">
        <v>22</v>
      </c>
      <c r="E744" t="s">
        <v>49</v>
      </c>
      <c r="F744" t="s">
        <v>47</v>
      </c>
      <c r="G744" t="s">
        <v>11</v>
      </c>
      <c r="H744" s="8">
        <v>174</v>
      </c>
      <c r="I744" s="9">
        <v>109413.63</v>
      </c>
      <c r="J744" s="9">
        <v>7760.09</v>
      </c>
      <c r="K744" s="9">
        <v>451.65</v>
      </c>
      <c r="L744" s="9">
        <v>101201.89</v>
      </c>
      <c r="M744" s="9">
        <v>106060.26</v>
      </c>
      <c r="N744" s="6" t="str">
        <f>_xlfn.XLOOKUP(tblSales[[#This Row],[ProductID]],tblProducts[ProductID],tblProducts[ProductName],"Not Found")</f>
        <v>RespiraX</v>
      </c>
      <c r="O744" s="8">
        <f>YEAR(tblSales[[#This Row],[Month]])</f>
        <v>2025</v>
      </c>
      <c r="P744" s="8">
        <f>MONTH(tblSales[[#This Row],[Month]])</f>
        <v>4</v>
      </c>
      <c r="Q744" s="6">
        <f>IFERROR(tblSales[[#This Row],[NetSalesTRY]]/tblSales[[#This Row],[Units]],0)</f>
        <v>581.62005747126432</v>
      </c>
      <c r="R744" s="17">
        <f>IFERROR(tblSales[[#This Row],[NetSalesTRY]]/tblSales[[#This Row],[TargetTRY]],0)</f>
        <v>0.95419236196479251</v>
      </c>
      <c r="S744" s="6">
        <f>tblSales[[#This Row],[NetSalesTRY]]-tblSales[[#This Row],[TargetTRY]]</f>
        <v>-4858.3699999999953</v>
      </c>
      <c r="T744" s="6">
        <f>MAX(tblSales[[#This Row],[TargetTRY]]-tblSales[[#This Row],[NetSalesTRY]],0)</f>
        <v>4858.3699999999953</v>
      </c>
    </row>
    <row r="745" spans="1:20">
      <c r="A745" t="s">
        <v>1133</v>
      </c>
      <c r="B745" s="15">
        <v>45748</v>
      </c>
      <c r="C745" t="s">
        <v>21</v>
      </c>
      <c r="D745" t="s">
        <v>22</v>
      </c>
      <c r="E745" t="s">
        <v>49</v>
      </c>
      <c r="F745" t="s">
        <v>47</v>
      </c>
      <c r="G745" t="s">
        <v>14</v>
      </c>
      <c r="H745" s="8">
        <v>100</v>
      </c>
      <c r="I745" s="9">
        <v>109973.2</v>
      </c>
      <c r="J745" s="9">
        <v>6171.39</v>
      </c>
      <c r="K745" s="9">
        <v>953.97</v>
      </c>
      <c r="L745" s="9">
        <v>102847.83</v>
      </c>
      <c r="M745" s="9">
        <v>102370.73</v>
      </c>
      <c r="N745" s="6" t="str">
        <f>_xlfn.XLOOKUP(tblSales[[#This Row],[ProductID]],tblProducts[ProductID],tblProducts[ProductName],"Not Found")</f>
        <v>NeuroCalm</v>
      </c>
      <c r="O745" s="8">
        <f>YEAR(tblSales[[#This Row],[Month]])</f>
        <v>2025</v>
      </c>
      <c r="P745" s="8">
        <f>MONTH(tblSales[[#This Row],[Month]])</f>
        <v>4</v>
      </c>
      <c r="Q745" s="6">
        <f>IFERROR(tblSales[[#This Row],[NetSalesTRY]]/tblSales[[#This Row],[Units]],0)</f>
        <v>1028.4783</v>
      </c>
      <c r="R745" s="17">
        <f>IFERROR(tblSales[[#This Row],[NetSalesTRY]]/tblSales[[#This Row],[TargetTRY]],0)</f>
        <v>1.0046605118474783</v>
      </c>
      <c r="S745" s="6">
        <f>tblSales[[#This Row],[NetSalesTRY]]-tblSales[[#This Row],[TargetTRY]]</f>
        <v>477.10000000000582</v>
      </c>
      <c r="T745" s="6">
        <f>MAX(tblSales[[#This Row],[TargetTRY]]-tblSales[[#This Row],[NetSalesTRY]],0)</f>
        <v>0</v>
      </c>
    </row>
    <row r="746" spans="1:20">
      <c r="A746" t="s">
        <v>1134</v>
      </c>
      <c r="B746" s="15">
        <v>45748</v>
      </c>
      <c r="C746" t="s">
        <v>23</v>
      </c>
      <c r="D746" t="s">
        <v>24</v>
      </c>
      <c r="E746" t="s">
        <v>52</v>
      </c>
      <c r="F746" t="s">
        <v>50</v>
      </c>
      <c r="G746" t="s">
        <v>5</v>
      </c>
      <c r="H746" s="8">
        <v>125</v>
      </c>
      <c r="I746" s="9">
        <v>123971.85</v>
      </c>
      <c r="J746" s="9">
        <v>8271.52</v>
      </c>
      <c r="K746" s="9">
        <v>761.8</v>
      </c>
      <c r="L746" s="9">
        <v>114938.53</v>
      </c>
      <c r="M746" s="9">
        <v>126633.94</v>
      </c>
      <c r="N746" s="6" t="str">
        <f>_xlfn.XLOOKUP(tblSales[[#This Row],[ProductID]],tblProducts[ProductID],tblProducts[ProductName],"Not Found")</f>
        <v>Cardiovan</v>
      </c>
      <c r="O746" s="8">
        <f>YEAR(tblSales[[#This Row],[Month]])</f>
        <v>2025</v>
      </c>
      <c r="P746" s="8">
        <f>MONTH(tblSales[[#This Row],[Month]])</f>
        <v>4</v>
      </c>
      <c r="Q746" s="6">
        <f>IFERROR(tblSales[[#This Row],[NetSalesTRY]]/tblSales[[#This Row],[Units]],0)</f>
        <v>919.50824</v>
      </c>
      <c r="R746" s="17">
        <f>IFERROR(tblSales[[#This Row],[NetSalesTRY]]/tblSales[[#This Row],[TargetTRY]],0)</f>
        <v>0.90764395390366903</v>
      </c>
      <c r="S746" s="6">
        <f>tblSales[[#This Row],[NetSalesTRY]]-tblSales[[#This Row],[TargetTRY]]</f>
        <v>-11695.410000000003</v>
      </c>
      <c r="T746" s="6">
        <f>MAX(tblSales[[#This Row],[TargetTRY]]-tblSales[[#This Row],[NetSalesTRY]],0)</f>
        <v>11695.410000000003</v>
      </c>
    </row>
    <row r="747" spans="1:20">
      <c r="A747" t="s">
        <v>1135</v>
      </c>
      <c r="B747" s="15">
        <v>45748</v>
      </c>
      <c r="C747" t="s">
        <v>23</v>
      </c>
      <c r="D747" t="s">
        <v>24</v>
      </c>
      <c r="E747" t="s">
        <v>52</v>
      </c>
      <c r="F747" t="s">
        <v>50</v>
      </c>
      <c r="G747" t="s">
        <v>8</v>
      </c>
      <c r="H747" s="8">
        <v>169</v>
      </c>
      <c r="I747" s="9">
        <v>127989.66</v>
      </c>
      <c r="J747" s="9">
        <v>9029.9599999999991</v>
      </c>
      <c r="K747" s="9">
        <v>594.70000000000005</v>
      </c>
      <c r="L747" s="9">
        <v>118365</v>
      </c>
      <c r="M747" s="9">
        <v>113534.71</v>
      </c>
      <c r="N747" s="6" t="str">
        <f>_xlfn.XLOOKUP(tblSales[[#This Row],[ProductID]],tblProducts[ProductID],tblProducts[ProductName],"Not Found")</f>
        <v>GlucoRelief</v>
      </c>
      <c r="O747" s="8">
        <f>YEAR(tblSales[[#This Row],[Month]])</f>
        <v>2025</v>
      </c>
      <c r="P747" s="8">
        <f>MONTH(tblSales[[#This Row],[Month]])</f>
        <v>4</v>
      </c>
      <c r="Q747" s="6">
        <f>IFERROR(tblSales[[#This Row],[NetSalesTRY]]/tblSales[[#This Row],[Units]],0)</f>
        <v>700.38461538461536</v>
      </c>
      <c r="R747" s="17">
        <f>IFERROR(tblSales[[#This Row],[NetSalesTRY]]/tblSales[[#This Row],[TargetTRY]],0)</f>
        <v>1.0425446103662923</v>
      </c>
      <c r="S747" s="6">
        <f>tblSales[[#This Row],[NetSalesTRY]]-tblSales[[#This Row],[TargetTRY]]</f>
        <v>4830.2899999999936</v>
      </c>
      <c r="T747" s="6">
        <f>MAX(tblSales[[#This Row],[TargetTRY]]-tblSales[[#This Row],[NetSalesTRY]],0)</f>
        <v>0</v>
      </c>
    </row>
    <row r="748" spans="1:20">
      <c r="A748" t="s">
        <v>1136</v>
      </c>
      <c r="B748" s="15">
        <v>45748</v>
      </c>
      <c r="C748" t="s">
        <v>23</v>
      </c>
      <c r="D748" t="s">
        <v>24</v>
      </c>
      <c r="E748" t="s">
        <v>52</v>
      </c>
      <c r="F748" t="s">
        <v>50</v>
      </c>
      <c r="G748" t="s">
        <v>11</v>
      </c>
      <c r="H748" s="8">
        <v>185</v>
      </c>
      <c r="I748" s="9">
        <v>115685.58</v>
      </c>
      <c r="J748" s="9">
        <v>6749.62</v>
      </c>
      <c r="K748" s="9">
        <v>1041.44</v>
      </c>
      <c r="L748" s="9">
        <v>107894.52</v>
      </c>
      <c r="M748" s="9">
        <v>105134.79</v>
      </c>
      <c r="N748" s="6" t="str">
        <f>_xlfn.XLOOKUP(tblSales[[#This Row],[ProductID]],tblProducts[ProductID],tblProducts[ProductName],"Not Found")</f>
        <v>RespiraX</v>
      </c>
      <c r="O748" s="8">
        <f>YEAR(tblSales[[#This Row],[Month]])</f>
        <v>2025</v>
      </c>
      <c r="P748" s="8">
        <f>MONTH(tblSales[[#This Row],[Month]])</f>
        <v>4</v>
      </c>
      <c r="Q748" s="6">
        <f>IFERROR(tblSales[[#This Row],[NetSalesTRY]]/tblSales[[#This Row],[Units]],0)</f>
        <v>583.21362162162166</v>
      </c>
      <c r="R748" s="17">
        <f>IFERROR(tblSales[[#This Row],[NetSalesTRY]]/tblSales[[#This Row],[TargetTRY]],0)</f>
        <v>1.026249446068233</v>
      </c>
      <c r="S748" s="6">
        <f>tblSales[[#This Row],[NetSalesTRY]]-tblSales[[#This Row],[TargetTRY]]</f>
        <v>2759.7300000000105</v>
      </c>
      <c r="T748" s="6">
        <f>MAX(tblSales[[#This Row],[TargetTRY]]-tblSales[[#This Row],[NetSalesTRY]],0)</f>
        <v>0</v>
      </c>
    </row>
    <row r="749" spans="1:20">
      <c r="A749" t="s">
        <v>1137</v>
      </c>
      <c r="B749" s="15">
        <v>45748</v>
      </c>
      <c r="C749" t="s">
        <v>23</v>
      </c>
      <c r="D749" t="s">
        <v>24</v>
      </c>
      <c r="E749" t="s">
        <v>52</v>
      </c>
      <c r="F749" t="s">
        <v>50</v>
      </c>
      <c r="G749" t="s">
        <v>14</v>
      </c>
      <c r="H749" s="8">
        <v>103</v>
      </c>
      <c r="I749" s="9">
        <v>114716.24</v>
      </c>
      <c r="J749" s="9">
        <v>4784.33</v>
      </c>
      <c r="K749" s="9">
        <v>819.06</v>
      </c>
      <c r="L749" s="9">
        <v>109112.85</v>
      </c>
      <c r="M749" s="9">
        <v>102941.43</v>
      </c>
      <c r="N749" s="6" t="str">
        <f>_xlfn.XLOOKUP(tblSales[[#This Row],[ProductID]],tblProducts[ProductID],tblProducts[ProductName],"Not Found")</f>
        <v>NeuroCalm</v>
      </c>
      <c r="O749" s="8">
        <f>YEAR(tblSales[[#This Row],[Month]])</f>
        <v>2025</v>
      </c>
      <c r="P749" s="8">
        <f>MONTH(tblSales[[#This Row],[Month]])</f>
        <v>4</v>
      </c>
      <c r="Q749" s="6">
        <f>IFERROR(tblSales[[#This Row],[NetSalesTRY]]/tblSales[[#This Row],[Units]],0)</f>
        <v>1059.3480582524273</v>
      </c>
      <c r="R749" s="17">
        <f>IFERROR(tblSales[[#This Row],[NetSalesTRY]]/tblSales[[#This Row],[TargetTRY]],0)</f>
        <v>1.0599507894926272</v>
      </c>
      <c r="S749" s="6">
        <f>tblSales[[#This Row],[NetSalesTRY]]-tblSales[[#This Row],[TargetTRY]]</f>
        <v>6171.4200000000128</v>
      </c>
      <c r="T749" s="6">
        <f>MAX(tblSales[[#This Row],[TargetTRY]]-tblSales[[#This Row],[NetSalesTRY]],0)</f>
        <v>0</v>
      </c>
    </row>
    <row r="750" spans="1:20">
      <c r="A750" t="s">
        <v>1138</v>
      </c>
      <c r="B750" s="15">
        <v>45748</v>
      </c>
      <c r="C750" t="s">
        <v>23</v>
      </c>
      <c r="D750" t="s">
        <v>24</v>
      </c>
      <c r="E750" t="s">
        <v>55</v>
      </c>
      <c r="F750" t="s">
        <v>53</v>
      </c>
      <c r="G750" t="s">
        <v>5</v>
      </c>
      <c r="H750" s="8">
        <v>126</v>
      </c>
      <c r="I750" s="9">
        <v>124366.56</v>
      </c>
      <c r="J750" s="9">
        <v>6728.92</v>
      </c>
      <c r="K750" s="9">
        <v>1723.52</v>
      </c>
      <c r="L750" s="9">
        <v>115914.12</v>
      </c>
      <c r="M750" s="9">
        <v>125785.5</v>
      </c>
      <c r="N750" s="6" t="str">
        <f>_xlfn.XLOOKUP(tblSales[[#This Row],[ProductID]],tblProducts[ProductID],tblProducts[ProductName],"Not Found")</f>
        <v>Cardiovan</v>
      </c>
      <c r="O750" s="8">
        <f>YEAR(tblSales[[#This Row],[Month]])</f>
        <v>2025</v>
      </c>
      <c r="P750" s="8">
        <f>MONTH(tblSales[[#This Row],[Month]])</f>
        <v>4</v>
      </c>
      <c r="Q750" s="6">
        <f>IFERROR(tblSales[[#This Row],[NetSalesTRY]]/tblSales[[#This Row],[Units]],0)</f>
        <v>919.95333333333326</v>
      </c>
      <c r="R750" s="17">
        <f>IFERROR(tblSales[[#This Row],[NetSalesTRY]]/tblSales[[#This Row],[TargetTRY]],0)</f>
        <v>0.92152211502915671</v>
      </c>
      <c r="S750" s="6">
        <f>tblSales[[#This Row],[NetSalesTRY]]-tblSales[[#This Row],[TargetTRY]]</f>
        <v>-9871.3800000000047</v>
      </c>
      <c r="T750" s="6">
        <f>MAX(tblSales[[#This Row],[TargetTRY]]-tblSales[[#This Row],[NetSalesTRY]],0)</f>
        <v>9871.3800000000047</v>
      </c>
    </row>
    <row r="751" spans="1:20">
      <c r="A751" t="s">
        <v>1139</v>
      </c>
      <c r="B751" s="15">
        <v>45748</v>
      </c>
      <c r="C751" t="s">
        <v>23</v>
      </c>
      <c r="D751" t="s">
        <v>24</v>
      </c>
      <c r="E751" t="s">
        <v>55</v>
      </c>
      <c r="F751" t="s">
        <v>53</v>
      </c>
      <c r="G751" t="s">
        <v>8</v>
      </c>
      <c r="H751" s="8">
        <v>157</v>
      </c>
      <c r="I751" s="9">
        <v>119027.13</v>
      </c>
      <c r="J751" s="9">
        <v>7684.81</v>
      </c>
      <c r="K751" s="9">
        <v>932</v>
      </c>
      <c r="L751" s="9">
        <v>110410.33</v>
      </c>
      <c r="M751" s="9">
        <v>114088.64</v>
      </c>
      <c r="N751" s="6" t="str">
        <f>_xlfn.XLOOKUP(tblSales[[#This Row],[ProductID]],tblProducts[ProductID],tblProducts[ProductName],"Not Found")</f>
        <v>GlucoRelief</v>
      </c>
      <c r="O751" s="8">
        <f>YEAR(tblSales[[#This Row],[Month]])</f>
        <v>2025</v>
      </c>
      <c r="P751" s="8">
        <f>MONTH(tblSales[[#This Row],[Month]])</f>
        <v>4</v>
      </c>
      <c r="Q751" s="6">
        <f>IFERROR(tblSales[[#This Row],[NetSalesTRY]]/tblSales[[#This Row],[Units]],0)</f>
        <v>703.25050955414019</v>
      </c>
      <c r="R751" s="17">
        <f>IFERROR(tblSales[[#This Row],[NetSalesTRY]]/tblSales[[#This Row],[TargetTRY]],0)</f>
        <v>0.96775919144973599</v>
      </c>
      <c r="S751" s="6">
        <f>tblSales[[#This Row],[NetSalesTRY]]-tblSales[[#This Row],[TargetTRY]]</f>
        <v>-3678.3099999999977</v>
      </c>
      <c r="T751" s="6">
        <f>MAX(tblSales[[#This Row],[TargetTRY]]-tblSales[[#This Row],[NetSalesTRY]],0)</f>
        <v>3678.3099999999977</v>
      </c>
    </row>
    <row r="752" spans="1:20">
      <c r="A752" t="s">
        <v>1140</v>
      </c>
      <c r="B752" s="15">
        <v>45748</v>
      </c>
      <c r="C752" t="s">
        <v>23</v>
      </c>
      <c r="D752" t="s">
        <v>24</v>
      </c>
      <c r="E752" t="s">
        <v>55</v>
      </c>
      <c r="F752" t="s">
        <v>53</v>
      </c>
      <c r="G752" t="s">
        <v>11</v>
      </c>
      <c r="H752" s="8">
        <v>180</v>
      </c>
      <c r="I752" s="9">
        <v>111861.18</v>
      </c>
      <c r="J752" s="9">
        <v>4046.2</v>
      </c>
      <c r="K752" s="9">
        <v>693.16</v>
      </c>
      <c r="L752" s="9">
        <v>107121.82</v>
      </c>
      <c r="M752" s="9">
        <v>108762.05</v>
      </c>
      <c r="N752" s="6" t="str">
        <f>_xlfn.XLOOKUP(tblSales[[#This Row],[ProductID]],tblProducts[ProductID],tblProducts[ProductName],"Not Found")</f>
        <v>RespiraX</v>
      </c>
      <c r="O752" s="8">
        <f>YEAR(tblSales[[#This Row],[Month]])</f>
        <v>2025</v>
      </c>
      <c r="P752" s="8">
        <f>MONTH(tblSales[[#This Row],[Month]])</f>
        <v>4</v>
      </c>
      <c r="Q752" s="6">
        <f>IFERROR(tblSales[[#This Row],[NetSalesTRY]]/tblSales[[#This Row],[Units]],0)</f>
        <v>595.12122222222229</v>
      </c>
      <c r="R752" s="17">
        <f>IFERROR(tblSales[[#This Row],[NetSalesTRY]]/tblSales[[#This Row],[TargetTRY]],0)</f>
        <v>0.98491909632082153</v>
      </c>
      <c r="S752" s="6">
        <f>tblSales[[#This Row],[NetSalesTRY]]-tblSales[[#This Row],[TargetTRY]]</f>
        <v>-1640.2299999999959</v>
      </c>
      <c r="T752" s="6">
        <f>MAX(tblSales[[#This Row],[TargetTRY]]-tblSales[[#This Row],[NetSalesTRY]],0)</f>
        <v>1640.2299999999959</v>
      </c>
    </row>
    <row r="753" spans="1:20">
      <c r="A753" t="s">
        <v>1141</v>
      </c>
      <c r="B753" s="15">
        <v>45748</v>
      </c>
      <c r="C753" t="s">
        <v>23</v>
      </c>
      <c r="D753" t="s">
        <v>24</v>
      </c>
      <c r="E753" t="s">
        <v>55</v>
      </c>
      <c r="F753" t="s">
        <v>53</v>
      </c>
      <c r="G753" t="s">
        <v>14</v>
      </c>
      <c r="H753" s="8">
        <v>102</v>
      </c>
      <c r="I753" s="9">
        <v>111449.68</v>
      </c>
      <c r="J753" s="9">
        <v>4792.62</v>
      </c>
      <c r="K753" s="9">
        <v>1140.3699999999999</v>
      </c>
      <c r="L753" s="9">
        <v>105516.69</v>
      </c>
      <c r="M753" s="9">
        <v>103810.78</v>
      </c>
      <c r="N753" s="6" t="str">
        <f>_xlfn.XLOOKUP(tblSales[[#This Row],[ProductID]],tblProducts[ProductID],tblProducts[ProductName],"Not Found")</f>
        <v>NeuroCalm</v>
      </c>
      <c r="O753" s="8">
        <f>YEAR(tblSales[[#This Row],[Month]])</f>
        <v>2025</v>
      </c>
      <c r="P753" s="8">
        <f>MONTH(tblSales[[#This Row],[Month]])</f>
        <v>4</v>
      </c>
      <c r="Q753" s="6">
        <f>IFERROR(tblSales[[#This Row],[NetSalesTRY]]/tblSales[[#This Row],[Units]],0)</f>
        <v>1034.4773529411766</v>
      </c>
      <c r="R753" s="17">
        <f>IFERROR(tblSales[[#This Row],[NetSalesTRY]]/tblSales[[#This Row],[TargetTRY]],0)</f>
        <v>1.0164328791287378</v>
      </c>
      <c r="S753" s="6">
        <f>tblSales[[#This Row],[NetSalesTRY]]-tblSales[[#This Row],[TargetTRY]]</f>
        <v>1705.9100000000035</v>
      </c>
      <c r="T753" s="6">
        <f>MAX(tblSales[[#This Row],[TargetTRY]]-tblSales[[#This Row],[NetSalesTRY]],0)</f>
        <v>0</v>
      </c>
    </row>
    <row r="754" spans="1:20">
      <c r="A754" t="s">
        <v>1142</v>
      </c>
      <c r="B754" s="15">
        <v>45748</v>
      </c>
      <c r="C754" t="s">
        <v>23</v>
      </c>
      <c r="D754" t="s">
        <v>24</v>
      </c>
      <c r="E754" t="s">
        <v>58</v>
      </c>
      <c r="F754" t="s">
        <v>56</v>
      </c>
      <c r="G754" t="s">
        <v>5</v>
      </c>
      <c r="H754" s="8">
        <v>133</v>
      </c>
      <c r="I754" s="9">
        <v>131281.35999999999</v>
      </c>
      <c r="J754" s="9">
        <v>5618.52</v>
      </c>
      <c r="K754" s="9">
        <v>1154.1300000000001</v>
      </c>
      <c r="L754" s="9">
        <v>124508.71</v>
      </c>
      <c r="M754" s="9">
        <v>129954.69</v>
      </c>
      <c r="N754" s="6" t="str">
        <f>_xlfn.XLOOKUP(tblSales[[#This Row],[ProductID]],tblProducts[ProductID],tblProducts[ProductName],"Not Found")</f>
        <v>Cardiovan</v>
      </c>
      <c r="O754" s="8">
        <f>YEAR(tblSales[[#This Row],[Month]])</f>
        <v>2025</v>
      </c>
      <c r="P754" s="8">
        <f>MONTH(tblSales[[#This Row],[Month]])</f>
        <v>4</v>
      </c>
      <c r="Q754" s="6">
        <f>IFERROR(tblSales[[#This Row],[NetSalesTRY]]/tblSales[[#This Row],[Units]],0)</f>
        <v>936.15571428571434</v>
      </c>
      <c r="R754" s="17">
        <f>IFERROR(tblSales[[#This Row],[NetSalesTRY]]/tblSales[[#This Row],[TargetTRY]],0)</f>
        <v>0.95809324003620033</v>
      </c>
      <c r="S754" s="6">
        <f>tblSales[[#This Row],[NetSalesTRY]]-tblSales[[#This Row],[TargetTRY]]</f>
        <v>-5445.9799999999959</v>
      </c>
      <c r="T754" s="6">
        <f>MAX(tblSales[[#This Row],[TargetTRY]]-tblSales[[#This Row],[NetSalesTRY]],0)</f>
        <v>5445.9799999999959</v>
      </c>
    </row>
    <row r="755" spans="1:20">
      <c r="A755" t="s">
        <v>1143</v>
      </c>
      <c r="B755" s="15">
        <v>45748</v>
      </c>
      <c r="C755" t="s">
        <v>23</v>
      </c>
      <c r="D755" t="s">
        <v>24</v>
      </c>
      <c r="E755" t="s">
        <v>58</v>
      </c>
      <c r="F755" t="s">
        <v>56</v>
      </c>
      <c r="G755" t="s">
        <v>8</v>
      </c>
      <c r="H755" s="8">
        <v>162</v>
      </c>
      <c r="I755" s="9">
        <v>123345.67</v>
      </c>
      <c r="J755" s="9">
        <v>5650.97</v>
      </c>
      <c r="K755" s="9">
        <v>1204.5899999999999</v>
      </c>
      <c r="L755" s="9">
        <v>116490.1</v>
      </c>
      <c r="M755" s="9">
        <v>116639.54</v>
      </c>
      <c r="N755" s="6" t="str">
        <f>_xlfn.XLOOKUP(tblSales[[#This Row],[ProductID]],tblProducts[ProductID],tblProducts[ProductName],"Not Found")</f>
        <v>GlucoRelief</v>
      </c>
      <c r="O755" s="8">
        <f>YEAR(tblSales[[#This Row],[Month]])</f>
        <v>2025</v>
      </c>
      <c r="P755" s="8">
        <f>MONTH(tblSales[[#This Row],[Month]])</f>
        <v>4</v>
      </c>
      <c r="Q755" s="6">
        <f>IFERROR(tblSales[[#This Row],[NetSalesTRY]]/tblSales[[#This Row],[Units]],0)</f>
        <v>719.07469135802478</v>
      </c>
      <c r="R755" s="17">
        <f>IFERROR(tblSales[[#This Row],[NetSalesTRY]]/tblSales[[#This Row],[TargetTRY]],0)</f>
        <v>0.99871878781414958</v>
      </c>
      <c r="S755" s="6">
        <f>tblSales[[#This Row],[NetSalesTRY]]-tblSales[[#This Row],[TargetTRY]]</f>
        <v>-149.43999999998778</v>
      </c>
      <c r="T755" s="6">
        <f>MAX(tblSales[[#This Row],[TargetTRY]]-tblSales[[#This Row],[NetSalesTRY]],0)</f>
        <v>149.43999999998778</v>
      </c>
    </row>
    <row r="756" spans="1:20">
      <c r="A756" t="s">
        <v>1144</v>
      </c>
      <c r="B756" s="15">
        <v>45748</v>
      </c>
      <c r="C756" t="s">
        <v>23</v>
      </c>
      <c r="D756" t="s">
        <v>24</v>
      </c>
      <c r="E756" t="s">
        <v>58</v>
      </c>
      <c r="F756" t="s">
        <v>56</v>
      </c>
      <c r="G756" t="s">
        <v>11</v>
      </c>
      <c r="H756" s="8">
        <v>182</v>
      </c>
      <c r="I756" s="9">
        <v>114419.7</v>
      </c>
      <c r="J756" s="9">
        <v>5932.29</v>
      </c>
      <c r="K756" s="9">
        <v>561.69000000000005</v>
      </c>
      <c r="L756" s="9">
        <v>107925.72</v>
      </c>
      <c r="M756" s="9">
        <v>110264.45</v>
      </c>
      <c r="N756" s="6" t="str">
        <f>_xlfn.XLOOKUP(tblSales[[#This Row],[ProductID]],tblProducts[ProductID],tblProducts[ProductName],"Not Found")</f>
        <v>RespiraX</v>
      </c>
      <c r="O756" s="8">
        <f>YEAR(tblSales[[#This Row],[Month]])</f>
        <v>2025</v>
      </c>
      <c r="P756" s="8">
        <f>MONTH(tblSales[[#This Row],[Month]])</f>
        <v>4</v>
      </c>
      <c r="Q756" s="6">
        <f>IFERROR(tblSales[[#This Row],[NetSalesTRY]]/tblSales[[#This Row],[Units]],0)</f>
        <v>592.99846153846158</v>
      </c>
      <c r="R756" s="17">
        <f>IFERROR(tblSales[[#This Row],[NetSalesTRY]]/tblSales[[#This Row],[TargetTRY]],0)</f>
        <v>0.97878980940820004</v>
      </c>
      <c r="S756" s="6">
        <f>tblSales[[#This Row],[NetSalesTRY]]-tblSales[[#This Row],[TargetTRY]]</f>
        <v>-2338.7299999999959</v>
      </c>
      <c r="T756" s="6">
        <f>MAX(tblSales[[#This Row],[TargetTRY]]-tblSales[[#This Row],[NetSalesTRY]],0)</f>
        <v>2338.7299999999959</v>
      </c>
    </row>
    <row r="757" spans="1:20">
      <c r="A757" t="s">
        <v>1145</v>
      </c>
      <c r="B757" s="15">
        <v>45748</v>
      </c>
      <c r="C757" t="s">
        <v>23</v>
      </c>
      <c r="D757" t="s">
        <v>24</v>
      </c>
      <c r="E757" t="s">
        <v>58</v>
      </c>
      <c r="F757" t="s">
        <v>56</v>
      </c>
      <c r="G757" t="s">
        <v>14</v>
      </c>
      <c r="H757" s="8">
        <v>106</v>
      </c>
      <c r="I757" s="9">
        <v>115418.73</v>
      </c>
      <c r="J757" s="9">
        <v>6932.51</v>
      </c>
      <c r="K757" s="9">
        <v>950.06</v>
      </c>
      <c r="L757" s="9">
        <v>107536.16</v>
      </c>
      <c r="M757" s="9">
        <v>105234.62</v>
      </c>
      <c r="N757" s="6" t="str">
        <f>_xlfn.XLOOKUP(tblSales[[#This Row],[ProductID]],tblProducts[ProductID],tblProducts[ProductName],"Not Found")</f>
        <v>NeuroCalm</v>
      </c>
      <c r="O757" s="8">
        <f>YEAR(tblSales[[#This Row],[Month]])</f>
        <v>2025</v>
      </c>
      <c r="P757" s="8">
        <f>MONTH(tblSales[[#This Row],[Month]])</f>
        <v>4</v>
      </c>
      <c r="Q757" s="6">
        <f>IFERROR(tblSales[[#This Row],[NetSalesTRY]]/tblSales[[#This Row],[Units]],0)</f>
        <v>1014.4920754716982</v>
      </c>
      <c r="R757" s="17">
        <f>IFERROR(tblSales[[#This Row],[NetSalesTRY]]/tblSales[[#This Row],[TargetTRY]],0)</f>
        <v>1.0218705593273394</v>
      </c>
      <c r="S757" s="6">
        <f>tblSales[[#This Row],[NetSalesTRY]]-tblSales[[#This Row],[TargetTRY]]</f>
        <v>2301.5400000000081</v>
      </c>
      <c r="T757" s="6">
        <f>MAX(tblSales[[#This Row],[TargetTRY]]-tblSales[[#This Row],[NetSalesTRY]],0)</f>
        <v>0</v>
      </c>
    </row>
    <row r="758" spans="1:20">
      <c r="A758" t="s">
        <v>1146</v>
      </c>
      <c r="B758" s="15">
        <v>45748</v>
      </c>
      <c r="C758" t="s">
        <v>25</v>
      </c>
      <c r="D758" t="s">
        <v>26</v>
      </c>
      <c r="E758" t="s">
        <v>61</v>
      </c>
      <c r="F758" t="s">
        <v>59</v>
      </c>
      <c r="G758" t="s">
        <v>5</v>
      </c>
      <c r="H758" s="8">
        <v>108</v>
      </c>
      <c r="I758" s="9">
        <v>104954.18</v>
      </c>
      <c r="J758" s="9">
        <v>7724.37</v>
      </c>
      <c r="K758" s="9">
        <v>896.63</v>
      </c>
      <c r="L758" s="9">
        <v>96333.18</v>
      </c>
      <c r="M758" s="9">
        <v>101493.06</v>
      </c>
      <c r="N758" s="6" t="str">
        <f>_xlfn.XLOOKUP(tblSales[[#This Row],[ProductID]],tblProducts[ProductID],tblProducts[ProductName],"Not Found")</f>
        <v>Cardiovan</v>
      </c>
      <c r="O758" s="8">
        <f>YEAR(tblSales[[#This Row],[Month]])</f>
        <v>2025</v>
      </c>
      <c r="P758" s="8">
        <f>MONTH(tblSales[[#This Row],[Month]])</f>
        <v>4</v>
      </c>
      <c r="Q758" s="6">
        <f>IFERROR(tblSales[[#This Row],[NetSalesTRY]]/tblSales[[#This Row],[Units]],0)</f>
        <v>891.97388888888884</v>
      </c>
      <c r="R758" s="17">
        <f>IFERROR(tblSales[[#This Row],[NetSalesTRY]]/tblSales[[#This Row],[TargetTRY]],0)</f>
        <v>0.94916026770697415</v>
      </c>
      <c r="S758" s="6">
        <f>tblSales[[#This Row],[NetSalesTRY]]-tblSales[[#This Row],[TargetTRY]]</f>
        <v>-5159.8800000000047</v>
      </c>
      <c r="T758" s="6">
        <f>MAX(tblSales[[#This Row],[TargetTRY]]-tblSales[[#This Row],[NetSalesTRY]],0)</f>
        <v>5159.8800000000047</v>
      </c>
    </row>
    <row r="759" spans="1:20">
      <c r="A759" t="s">
        <v>1147</v>
      </c>
      <c r="B759" s="15">
        <v>45748</v>
      </c>
      <c r="C759" t="s">
        <v>25</v>
      </c>
      <c r="D759" t="s">
        <v>26</v>
      </c>
      <c r="E759" t="s">
        <v>61</v>
      </c>
      <c r="F759" t="s">
        <v>59</v>
      </c>
      <c r="G759" t="s">
        <v>8</v>
      </c>
      <c r="H759" s="8">
        <v>124</v>
      </c>
      <c r="I759" s="9">
        <v>92843.33</v>
      </c>
      <c r="J759" s="9">
        <v>3981.08</v>
      </c>
      <c r="K759" s="9">
        <v>790.06</v>
      </c>
      <c r="L759" s="9">
        <v>88072.19</v>
      </c>
      <c r="M759" s="9">
        <v>93073.66</v>
      </c>
      <c r="N759" s="6" t="str">
        <f>_xlfn.XLOOKUP(tblSales[[#This Row],[ProductID]],tblProducts[ProductID],tblProducts[ProductName],"Not Found")</f>
        <v>GlucoRelief</v>
      </c>
      <c r="O759" s="8">
        <f>YEAR(tblSales[[#This Row],[Month]])</f>
        <v>2025</v>
      </c>
      <c r="P759" s="8">
        <f>MONTH(tblSales[[#This Row],[Month]])</f>
        <v>4</v>
      </c>
      <c r="Q759" s="6">
        <f>IFERROR(tblSales[[#This Row],[NetSalesTRY]]/tblSales[[#This Row],[Units]],0)</f>
        <v>710.2595967741936</v>
      </c>
      <c r="R759" s="17">
        <f>IFERROR(tblSales[[#This Row],[NetSalesTRY]]/tblSales[[#This Row],[TargetTRY]],0)</f>
        <v>0.9462633144543795</v>
      </c>
      <c r="S759" s="6">
        <f>tblSales[[#This Row],[NetSalesTRY]]-tblSales[[#This Row],[TargetTRY]]</f>
        <v>-5001.4700000000012</v>
      </c>
      <c r="T759" s="6">
        <f>MAX(tblSales[[#This Row],[TargetTRY]]-tblSales[[#This Row],[NetSalesTRY]],0)</f>
        <v>5001.4700000000012</v>
      </c>
    </row>
    <row r="760" spans="1:20">
      <c r="A760" t="s">
        <v>1148</v>
      </c>
      <c r="B760" s="15">
        <v>45748</v>
      </c>
      <c r="C760" t="s">
        <v>25</v>
      </c>
      <c r="D760" t="s">
        <v>26</v>
      </c>
      <c r="E760" t="s">
        <v>61</v>
      </c>
      <c r="F760" t="s">
        <v>59</v>
      </c>
      <c r="G760" t="s">
        <v>11</v>
      </c>
      <c r="H760" s="8">
        <v>142</v>
      </c>
      <c r="I760" s="9">
        <v>87688.82</v>
      </c>
      <c r="J760" s="9">
        <v>5361.71</v>
      </c>
      <c r="K760" s="9">
        <v>352.16</v>
      </c>
      <c r="L760" s="9">
        <v>81974.94</v>
      </c>
      <c r="M760" s="9">
        <v>87734.45</v>
      </c>
      <c r="N760" s="6" t="str">
        <f>_xlfn.XLOOKUP(tblSales[[#This Row],[ProductID]],tblProducts[ProductID],tblProducts[ProductName],"Not Found")</f>
        <v>RespiraX</v>
      </c>
      <c r="O760" s="8">
        <f>YEAR(tblSales[[#This Row],[Month]])</f>
        <v>2025</v>
      </c>
      <c r="P760" s="8">
        <f>MONTH(tblSales[[#This Row],[Month]])</f>
        <v>4</v>
      </c>
      <c r="Q760" s="6">
        <f>IFERROR(tblSales[[#This Row],[NetSalesTRY]]/tblSales[[#This Row],[Units]],0)</f>
        <v>577.28830985915499</v>
      </c>
      <c r="R760" s="17">
        <f>IFERROR(tblSales[[#This Row],[NetSalesTRY]]/tblSales[[#This Row],[TargetTRY]],0)</f>
        <v>0.93435292521922697</v>
      </c>
      <c r="S760" s="6">
        <f>tblSales[[#This Row],[NetSalesTRY]]-tblSales[[#This Row],[TargetTRY]]</f>
        <v>-5759.5099999999948</v>
      </c>
      <c r="T760" s="6">
        <f>MAX(tblSales[[#This Row],[TargetTRY]]-tblSales[[#This Row],[NetSalesTRY]],0)</f>
        <v>5759.5099999999948</v>
      </c>
    </row>
    <row r="761" spans="1:20">
      <c r="A761" t="s">
        <v>1149</v>
      </c>
      <c r="B761" s="15">
        <v>45748</v>
      </c>
      <c r="C761" t="s">
        <v>25</v>
      </c>
      <c r="D761" t="s">
        <v>26</v>
      </c>
      <c r="E761" t="s">
        <v>61</v>
      </c>
      <c r="F761" t="s">
        <v>59</v>
      </c>
      <c r="G761" t="s">
        <v>14</v>
      </c>
      <c r="H761" s="8">
        <v>83</v>
      </c>
      <c r="I761" s="9">
        <v>91781.04</v>
      </c>
      <c r="J761" s="9">
        <v>5801.92</v>
      </c>
      <c r="K761" s="9">
        <v>876.55</v>
      </c>
      <c r="L761" s="9">
        <v>85102.58</v>
      </c>
      <c r="M761" s="9">
        <v>83359.8</v>
      </c>
      <c r="N761" s="6" t="str">
        <f>_xlfn.XLOOKUP(tblSales[[#This Row],[ProductID]],tblProducts[ProductID],tblProducts[ProductName],"Not Found")</f>
        <v>NeuroCalm</v>
      </c>
      <c r="O761" s="8">
        <f>YEAR(tblSales[[#This Row],[Month]])</f>
        <v>2025</v>
      </c>
      <c r="P761" s="8">
        <f>MONTH(tblSales[[#This Row],[Month]])</f>
        <v>4</v>
      </c>
      <c r="Q761" s="6">
        <f>IFERROR(tblSales[[#This Row],[NetSalesTRY]]/tblSales[[#This Row],[Units]],0)</f>
        <v>1025.3322891566265</v>
      </c>
      <c r="R761" s="17">
        <f>IFERROR(tblSales[[#This Row],[NetSalesTRY]]/tblSales[[#This Row],[TargetTRY]],0)</f>
        <v>1.0209067200257198</v>
      </c>
      <c r="S761" s="6">
        <f>tblSales[[#This Row],[NetSalesTRY]]-tblSales[[#This Row],[TargetTRY]]</f>
        <v>1742.7799999999988</v>
      </c>
      <c r="T761" s="6">
        <f>MAX(tblSales[[#This Row],[TargetTRY]]-tblSales[[#This Row],[NetSalesTRY]],0)</f>
        <v>0</v>
      </c>
    </row>
    <row r="762" spans="1:20">
      <c r="A762" t="s">
        <v>1150</v>
      </c>
      <c r="B762" s="15">
        <v>45748</v>
      </c>
      <c r="C762" t="s">
        <v>25</v>
      </c>
      <c r="D762" t="s">
        <v>26</v>
      </c>
      <c r="E762" t="s">
        <v>64</v>
      </c>
      <c r="F762" t="s">
        <v>62</v>
      </c>
      <c r="G762" t="s">
        <v>5</v>
      </c>
      <c r="H762" s="8">
        <v>105</v>
      </c>
      <c r="I762" s="9">
        <v>101493.21</v>
      </c>
      <c r="J762" s="9">
        <v>5362.64</v>
      </c>
      <c r="K762" s="9">
        <v>458.93</v>
      </c>
      <c r="L762" s="9">
        <v>95671.64</v>
      </c>
      <c r="M762" s="9">
        <v>102496.47</v>
      </c>
      <c r="N762" s="6" t="str">
        <f>_xlfn.XLOOKUP(tblSales[[#This Row],[ProductID]],tblProducts[ProductID],tblProducts[ProductName],"Not Found")</f>
        <v>Cardiovan</v>
      </c>
      <c r="O762" s="8">
        <f>YEAR(tblSales[[#This Row],[Month]])</f>
        <v>2025</v>
      </c>
      <c r="P762" s="8">
        <f>MONTH(tblSales[[#This Row],[Month]])</f>
        <v>4</v>
      </c>
      <c r="Q762" s="6">
        <f>IFERROR(tblSales[[#This Row],[NetSalesTRY]]/tblSales[[#This Row],[Units]],0)</f>
        <v>911.15847619047622</v>
      </c>
      <c r="R762" s="17">
        <f>IFERROR(tblSales[[#This Row],[NetSalesTRY]]/tblSales[[#This Row],[TargetTRY]],0)</f>
        <v>0.93341399952603243</v>
      </c>
      <c r="S762" s="6">
        <f>tblSales[[#This Row],[NetSalesTRY]]-tblSales[[#This Row],[TargetTRY]]</f>
        <v>-6824.8300000000017</v>
      </c>
      <c r="T762" s="6">
        <f>MAX(tblSales[[#This Row],[TargetTRY]]-tblSales[[#This Row],[NetSalesTRY]],0)</f>
        <v>6824.8300000000017</v>
      </c>
    </row>
    <row r="763" spans="1:20">
      <c r="A763" t="s">
        <v>1151</v>
      </c>
      <c r="B763" s="15">
        <v>45748</v>
      </c>
      <c r="C763" t="s">
        <v>25</v>
      </c>
      <c r="D763" t="s">
        <v>26</v>
      </c>
      <c r="E763" t="s">
        <v>64</v>
      </c>
      <c r="F763" t="s">
        <v>62</v>
      </c>
      <c r="G763" t="s">
        <v>8</v>
      </c>
      <c r="H763" s="8">
        <v>134</v>
      </c>
      <c r="I763" s="9">
        <v>103324.18</v>
      </c>
      <c r="J763" s="9">
        <v>7341.99</v>
      </c>
      <c r="K763" s="9">
        <v>589.19000000000005</v>
      </c>
      <c r="L763" s="9">
        <v>95393</v>
      </c>
      <c r="M763" s="9">
        <v>91439.25</v>
      </c>
      <c r="N763" s="6" t="str">
        <f>_xlfn.XLOOKUP(tblSales[[#This Row],[ProductID]],tblProducts[ProductID],tblProducts[ProductName],"Not Found")</f>
        <v>GlucoRelief</v>
      </c>
      <c r="O763" s="8">
        <f>YEAR(tblSales[[#This Row],[Month]])</f>
        <v>2025</v>
      </c>
      <c r="P763" s="8">
        <f>MONTH(tblSales[[#This Row],[Month]])</f>
        <v>4</v>
      </c>
      <c r="Q763" s="6">
        <f>IFERROR(tblSales[[#This Row],[NetSalesTRY]]/tblSales[[#This Row],[Units]],0)</f>
        <v>711.88805970149258</v>
      </c>
      <c r="R763" s="17">
        <f>IFERROR(tblSales[[#This Row],[NetSalesTRY]]/tblSales[[#This Row],[TargetTRY]],0)</f>
        <v>1.0432390904343594</v>
      </c>
      <c r="S763" s="6">
        <f>tblSales[[#This Row],[NetSalesTRY]]-tblSales[[#This Row],[TargetTRY]]</f>
        <v>3953.75</v>
      </c>
      <c r="T763" s="6">
        <f>MAX(tblSales[[#This Row],[TargetTRY]]-tblSales[[#This Row],[NetSalesTRY]],0)</f>
        <v>0</v>
      </c>
    </row>
    <row r="764" spans="1:20">
      <c r="A764" t="s">
        <v>1152</v>
      </c>
      <c r="B764" s="15">
        <v>45748</v>
      </c>
      <c r="C764" t="s">
        <v>25</v>
      </c>
      <c r="D764" t="s">
        <v>26</v>
      </c>
      <c r="E764" t="s">
        <v>64</v>
      </c>
      <c r="F764" t="s">
        <v>62</v>
      </c>
      <c r="G764" t="s">
        <v>11</v>
      </c>
      <c r="H764" s="8">
        <v>151</v>
      </c>
      <c r="I764" s="9">
        <v>94727.58</v>
      </c>
      <c r="J764" s="9">
        <v>5115.4399999999996</v>
      </c>
      <c r="K764" s="9">
        <v>872.18</v>
      </c>
      <c r="L764" s="9">
        <v>88739.96</v>
      </c>
      <c r="M764" s="9">
        <v>85414.61</v>
      </c>
      <c r="N764" s="6" t="str">
        <f>_xlfn.XLOOKUP(tblSales[[#This Row],[ProductID]],tblProducts[ProductID],tblProducts[ProductName],"Not Found")</f>
        <v>RespiraX</v>
      </c>
      <c r="O764" s="8">
        <f>YEAR(tblSales[[#This Row],[Month]])</f>
        <v>2025</v>
      </c>
      <c r="P764" s="8">
        <f>MONTH(tblSales[[#This Row],[Month]])</f>
        <v>4</v>
      </c>
      <c r="Q764" s="6">
        <f>IFERROR(tblSales[[#This Row],[NetSalesTRY]]/tblSales[[#This Row],[Units]],0)</f>
        <v>587.68185430463575</v>
      </c>
      <c r="R764" s="17">
        <f>IFERROR(tblSales[[#This Row],[NetSalesTRY]]/tblSales[[#This Row],[TargetTRY]],0)</f>
        <v>1.0389318642325944</v>
      </c>
      <c r="S764" s="6">
        <f>tblSales[[#This Row],[NetSalesTRY]]-tblSales[[#This Row],[TargetTRY]]</f>
        <v>3325.3500000000058</v>
      </c>
      <c r="T764" s="6">
        <f>MAX(tblSales[[#This Row],[TargetTRY]]-tblSales[[#This Row],[NetSalesTRY]],0)</f>
        <v>0</v>
      </c>
    </row>
    <row r="765" spans="1:20">
      <c r="A765" t="s">
        <v>1153</v>
      </c>
      <c r="B765" s="15">
        <v>45748</v>
      </c>
      <c r="C765" t="s">
        <v>25</v>
      </c>
      <c r="D765" t="s">
        <v>26</v>
      </c>
      <c r="E765" t="s">
        <v>64</v>
      </c>
      <c r="F765" t="s">
        <v>62</v>
      </c>
      <c r="G765" t="s">
        <v>14</v>
      </c>
      <c r="H765" s="8">
        <v>78</v>
      </c>
      <c r="I765" s="9">
        <v>85361.14</v>
      </c>
      <c r="J765" s="9">
        <v>3694.32</v>
      </c>
      <c r="K765" s="9">
        <v>756.81</v>
      </c>
      <c r="L765" s="9">
        <v>80910.02</v>
      </c>
      <c r="M765" s="9">
        <v>83974.94</v>
      </c>
      <c r="N765" s="6" t="str">
        <f>_xlfn.XLOOKUP(tblSales[[#This Row],[ProductID]],tblProducts[ProductID],tblProducts[ProductName],"Not Found")</f>
        <v>NeuroCalm</v>
      </c>
      <c r="O765" s="8">
        <f>YEAR(tblSales[[#This Row],[Month]])</f>
        <v>2025</v>
      </c>
      <c r="P765" s="8">
        <f>MONTH(tblSales[[#This Row],[Month]])</f>
        <v>4</v>
      </c>
      <c r="Q765" s="6">
        <f>IFERROR(tblSales[[#This Row],[NetSalesTRY]]/tblSales[[#This Row],[Units]],0)</f>
        <v>1037.3079487179489</v>
      </c>
      <c r="R765" s="17">
        <f>IFERROR(tblSales[[#This Row],[NetSalesTRY]]/tblSales[[#This Row],[TargetTRY]],0)</f>
        <v>0.96350196856347858</v>
      </c>
      <c r="S765" s="6">
        <f>tblSales[[#This Row],[NetSalesTRY]]-tblSales[[#This Row],[TargetTRY]]</f>
        <v>-3064.9199999999983</v>
      </c>
      <c r="T765" s="6">
        <f>MAX(tblSales[[#This Row],[TargetTRY]]-tblSales[[#This Row],[NetSalesTRY]],0)</f>
        <v>3064.9199999999983</v>
      </c>
    </row>
    <row r="766" spans="1:20">
      <c r="A766" t="s">
        <v>1154</v>
      </c>
      <c r="B766" s="15">
        <v>45748</v>
      </c>
      <c r="C766" t="s">
        <v>25</v>
      </c>
      <c r="D766" t="s">
        <v>26</v>
      </c>
      <c r="E766" t="s">
        <v>67</v>
      </c>
      <c r="F766" t="s">
        <v>65</v>
      </c>
      <c r="G766" t="s">
        <v>5</v>
      </c>
      <c r="H766" s="8">
        <v>121</v>
      </c>
      <c r="I766" s="9">
        <v>117313.7</v>
      </c>
      <c r="J766" s="9">
        <v>6976.31</v>
      </c>
      <c r="K766" s="9">
        <v>1595.44</v>
      </c>
      <c r="L766" s="9">
        <v>108741.95</v>
      </c>
      <c r="M766" s="9">
        <v>115544.54</v>
      </c>
      <c r="N766" s="6" t="str">
        <f>_xlfn.XLOOKUP(tblSales[[#This Row],[ProductID]],tblProducts[ProductID],tblProducts[ProductName],"Not Found")</f>
        <v>Cardiovan</v>
      </c>
      <c r="O766" s="8">
        <f>YEAR(tblSales[[#This Row],[Month]])</f>
        <v>2025</v>
      </c>
      <c r="P766" s="8">
        <f>MONTH(tblSales[[#This Row],[Month]])</f>
        <v>4</v>
      </c>
      <c r="Q766" s="6">
        <f>IFERROR(tblSales[[#This Row],[NetSalesTRY]]/tblSales[[#This Row],[Units]],0)</f>
        <v>898.69380165289249</v>
      </c>
      <c r="R766" s="17">
        <f>IFERROR(tblSales[[#This Row],[NetSalesTRY]]/tblSales[[#This Row],[TargetTRY]],0)</f>
        <v>0.94112582039791759</v>
      </c>
      <c r="S766" s="6">
        <f>tblSales[[#This Row],[NetSalesTRY]]-tblSales[[#This Row],[TargetTRY]]</f>
        <v>-6802.5899999999965</v>
      </c>
      <c r="T766" s="6">
        <f>MAX(tblSales[[#This Row],[TargetTRY]]-tblSales[[#This Row],[NetSalesTRY]],0)</f>
        <v>6802.5899999999965</v>
      </c>
    </row>
    <row r="767" spans="1:20">
      <c r="A767" t="s">
        <v>1155</v>
      </c>
      <c r="B767" s="15">
        <v>45748</v>
      </c>
      <c r="C767" t="s">
        <v>25</v>
      </c>
      <c r="D767" t="s">
        <v>26</v>
      </c>
      <c r="E767" t="s">
        <v>67</v>
      </c>
      <c r="F767" t="s">
        <v>65</v>
      </c>
      <c r="G767" t="s">
        <v>8</v>
      </c>
      <c r="H767" s="8">
        <v>140</v>
      </c>
      <c r="I767" s="9">
        <v>105768.76</v>
      </c>
      <c r="J767" s="9">
        <v>5660.8</v>
      </c>
      <c r="K767" s="9">
        <v>1419.17</v>
      </c>
      <c r="L767" s="9">
        <v>98688.79</v>
      </c>
      <c r="M767" s="9">
        <v>103352.13</v>
      </c>
      <c r="N767" s="6" t="str">
        <f>_xlfn.XLOOKUP(tblSales[[#This Row],[ProductID]],tblProducts[ProductID],tblProducts[ProductName],"Not Found")</f>
        <v>GlucoRelief</v>
      </c>
      <c r="O767" s="8">
        <f>YEAR(tblSales[[#This Row],[Month]])</f>
        <v>2025</v>
      </c>
      <c r="P767" s="8">
        <f>MONTH(tblSales[[#This Row],[Month]])</f>
        <v>4</v>
      </c>
      <c r="Q767" s="6">
        <f>IFERROR(tblSales[[#This Row],[NetSalesTRY]]/tblSales[[#This Row],[Units]],0)</f>
        <v>704.9199285714285</v>
      </c>
      <c r="R767" s="17">
        <f>IFERROR(tblSales[[#This Row],[NetSalesTRY]]/tblSales[[#This Row],[TargetTRY]],0)</f>
        <v>0.95487911086109201</v>
      </c>
      <c r="S767" s="6">
        <f>tblSales[[#This Row],[NetSalesTRY]]-tblSales[[#This Row],[TargetTRY]]</f>
        <v>-4663.3400000000111</v>
      </c>
      <c r="T767" s="6">
        <f>MAX(tblSales[[#This Row],[TargetTRY]]-tblSales[[#This Row],[NetSalesTRY]],0)</f>
        <v>4663.3400000000111</v>
      </c>
    </row>
    <row r="768" spans="1:20">
      <c r="A768" t="s">
        <v>1156</v>
      </c>
      <c r="B768" s="15">
        <v>45748</v>
      </c>
      <c r="C768" t="s">
        <v>25</v>
      </c>
      <c r="D768" t="s">
        <v>26</v>
      </c>
      <c r="E768" t="s">
        <v>67</v>
      </c>
      <c r="F768" t="s">
        <v>65</v>
      </c>
      <c r="G768" t="s">
        <v>11</v>
      </c>
      <c r="H768" s="8">
        <v>167</v>
      </c>
      <c r="I768" s="9">
        <v>102860.25</v>
      </c>
      <c r="J768" s="9">
        <v>7566.5</v>
      </c>
      <c r="K768" s="9">
        <v>421.62</v>
      </c>
      <c r="L768" s="9">
        <v>94872.13</v>
      </c>
      <c r="M768" s="9">
        <v>97778.83</v>
      </c>
      <c r="N768" s="6" t="str">
        <f>_xlfn.XLOOKUP(tblSales[[#This Row],[ProductID]],tblProducts[ProductID],tblProducts[ProductName],"Not Found")</f>
        <v>RespiraX</v>
      </c>
      <c r="O768" s="8">
        <f>YEAR(tblSales[[#This Row],[Month]])</f>
        <v>2025</v>
      </c>
      <c r="P768" s="8">
        <f>MONTH(tblSales[[#This Row],[Month]])</f>
        <v>4</v>
      </c>
      <c r="Q768" s="6">
        <f>IFERROR(tblSales[[#This Row],[NetSalesTRY]]/tblSales[[#This Row],[Units]],0)</f>
        <v>568.09658682634733</v>
      </c>
      <c r="R768" s="17">
        <f>IFERROR(tblSales[[#This Row],[NetSalesTRY]]/tblSales[[#This Row],[TargetTRY]],0)</f>
        <v>0.97027270626985418</v>
      </c>
      <c r="S768" s="6">
        <f>tblSales[[#This Row],[NetSalesTRY]]-tblSales[[#This Row],[TargetTRY]]</f>
        <v>-2906.6999999999971</v>
      </c>
      <c r="T768" s="6">
        <f>MAX(tblSales[[#This Row],[TargetTRY]]-tblSales[[#This Row],[NetSalesTRY]],0)</f>
        <v>2906.6999999999971</v>
      </c>
    </row>
    <row r="769" spans="1:20">
      <c r="A769" t="s">
        <v>1157</v>
      </c>
      <c r="B769" s="15">
        <v>45748</v>
      </c>
      <c r="C769" t="s">
        <v>25</v>
      </c>
      <c r="D769" t="s">
        <v>26</v>
      </c>
      <c r="E769" t="s">
        <v>67</v>
      </c>
      <c r="F769" t="s">
        <v>65</v>
      </c>
      <c r="G769" t="s">
        <v>14</v>
      </c>
      <c r="H769" s="8">
        <v>93</v>
      </c>
      <c r="I769" s="9">
        <v>102435.86</v>
      </c>
      <c r="J769" s="9">
        <v>5826.1</v>
      </c>
      <c r="K769" s="9">
        <v>1005.31</v>
      </c>
      <c r="L769" s="9">
        <v>95604.45</v>
      </c>
      <c r="M769" s="9">
        <v>94541.24</v>
      </c>
      <c r="N769" s="6" t="str">
        <f>_xlfn.XLOOKUP(tblSales[[#This Row],[ProductID]],tblProducts[ProductID],tblProducts[ProductName],"Not Found")</f>
        <v>NeuroCalm</v>
      </c>
      <c r="O769" s="8">
        <f>YEAR(tblSales[[#This Row],[Month]])</f>
        <v>2025</v>
      </c>
      <c r="P769" s="8">
        <f>MONTH(tblSales[[#This Row],[Month]])</f>
        <v>4</v>
      </c>
      <c r="Q769" s="6">
        <f>IFERROR(tblSales[[#This Row],[NetSalesTRY]]/tblSales[[#This Row],[Units]],0)</f>
        <v>1028.0048387096774</v>
      </c>
      <c r="R769" s="17">
        <f>IFERROR(tblSales[[#This Row],[NetSalesTRY]]/tblSales[[#This Row],[TargetTRY]],0)</f>
        <v>1.0112459916963221</v>
      </c>
      <c r="S769" s="6">
        <f>tblSales[[#This Row],[NetSalesTRY]]-tblSales[[#This Row],[TargetTRY]]</f>
        <v>1063.2099999999919</v>
      </c>
      <c r="T769" s="6">
        <f>MAX(tblSales[[#This Row],[TargetTRY]]-tblSales[[#This Row],[NetSalesTRY]],0)</f>
        <v>0</v>
      </c>
    </row>
    <row r="770" spans="1:20">
      <c r="A770" t="s">
        <v>1158</v>
      </c>
      <c r="B770" s="15">
        <v>45778</v>
      </c>
      <c r="C770" t="s">
        <v>19</v>
      </c>
      <c r="D770" t="s">
        <v>20</v>
      </c>
      <c r="E770" t="s">
        <v>34</v>
      </c>
      <c r="F770" t="s">
        <v>32</v>
      </c>
      <c r="G770" t="s">
        <v>5</v>
      </c>
      <c r="H770" s="8">
        <v>160</v>
      </c>
      <c r="I770" s="9">
        <v>155709.68</v>
      </c>
      <c r="J770" s="9">
        <v>8186.92</v>
      </c>
      <c r="K770" s="9">
        <v>1930.76</v>
      </c>
      <c r="L770" s="9">
        <v>145592</v>
      </c>
      <c r="M770" s="9">
        <v>156681.18</v>
      </c>
      <c r="N770" s="6" t="str">
        <f>_xlfn.XLOOKUP(tblSales[[#This Row],[ProductID]],tblProducts[ProductID],tblProducts[ProductName],"Not Found")</f>
        <v>Cardiovan</v>
      </c>
      <c r="O770" s="8">
        <f>YEAR(tblSales[[#This Row],[Month]])</f>
        <v>2025</v>
      </c>
      <c r="P770" s="8">
        <f>MONTH(tblSales[[#This Row],[Month]])</f>
        <v>5</v>
      </c>
      <c r="Q770" s="6">
        <f>IFERROR(tblSales[[#This Row],[NetSalesTRY]]/tblSales[[#This Row],[Units]],0)</f>
        <v>909.95</v>
      </c>
      <c r="R770" s="17">
        <f>IFERROR(tblSales[[#This Row],[NetSalesTRY]]/tblSales[[#This Row],[TargetTRY]],0)</f>
        <v>0.92922455651661551</v>
      </c>
      <c r="S770" s="6">
        <f>tblSales[[#This Row],[NetSalesTRY]]-tblSales[[#This Row],[TargetTRY]]</f>
        <v>-11089.179999999993</v>
      </c>
      <c r="T770" s="6">
        <f>MAX(tblSales[[#This Row],[TargetTRY]]-tblSales[[#This Row],[NetSalesTRY]],0)</f>
        <v>11089.179999999993</v>
      </c>
    </row>
    <row r="771" spans="1:20">
      <c r="A771" t="s">
        <v>1159</v>
      </c>
      <c r="B771" s="15">
        <v>45778</v>
      </c>
      <c r="C771" t="s">
        <v>19</v>
      </c>
      <c r="D771" t="s">
        <v>20</v>
      </c>
      <c r="E771" t="s">
        <v>34</v>
      </c>
      <c r="F771" t="s">
        <v>32</v>
      </c>
      <c r="G771" t="s">
        <v>8</v>
      </c>
      <c r="H771" s="8">
        <v>207</v>
      </c>
      <c r="I771" s="9">
        <v>156115.35</v>
      </c>
      <c r="J771" s="9">
        <v>9946.2199999999993</v>
      </c>
      <c r="K771" s="9">
        <v>951.17</v>
      </c>
      <c r="L771" s="9">
        <v>145217.97</v>
      </c>
      <c r="M771" s="9">
        <v>144539.21</v>
      </c>
      <c r="N771" s="6" t="str">
        <f>_xlfn.XLOOKUP(tblSales[[#This Row],[ProductID]],tblProducts[ProductID],tblProducts[ProductName],"Not Found")</f>
        <v>GlucoRelief</v>
      </c>
      <c r="O771" s="8">
        <f>YEAR(tblSales[[#This Row],[Month]])</f>
        <v>2025</v>
      </c>
      <c r="P771" s="8">
        <f>MONTH(tblSales[[#This Row],[Month]])</f>
        <v>5</v>
      </c>
      <c r="Q771" s="6">
        <f>IFERROR(tblSales[[#This Row],[NetSalesTRY]]/tblSales[[#This Row],[Units]],0)</f>
        <v>701.53608695652179</v>
      </c>
      <c r="R771" s="17">
        <f>IFERROR(tblSales[[#This Row],[NetSalesTRY]]/tblSales[[#This Row],[TargetTRY]],0)</f>
        <v>1.0046960267736347</v>
      </c>
      <c r="S771" s="6">
        <f>tblSales[[#This Row],[NetSalesTRY]]-tblSales[[#This Row],[TargetTRY]]</f>
        <v>678.76000000000931</v>
      </c>
      <c r="T771" s="6">
        <f>MAX(tblSales[[#This Row],[TargetTRY]]-tblSales[[#This Row],[NetSalesTRY]],0)</f>
        <v>0</v>
      </c>
    </row>
    <row r="772" spans="1:20">
      <c r="A772" t="s">
        <v>1160</v>
      </c>
      <c r="B772" s="15">
        <v>45778</v>
      </c>
      <c r="C772" t="s">
        <v>19</v>
      </c>
      <c r="D772" t="s">
        <v>20</v>
      </c>
      <c r="E772" t="s">
        <v>34</v>
      </c>
      <c r="F772" t="s">
        <v>32</v>
      </c>
      <c r="G772" t="s">
        <v>11</v>
      </c>
      <c r="H772" s="8">
        <v>220</v>
      </c>
      <c r="I772" s="9">
        <v>137337.15</v>
      </c>
      <c r="J772" s="9">
        <v>9392.33</v>
      </c>
      <c r="K772" s="9">
        <v>1033.32</v>
      </c>
      <c r="L772" s="9">
        <v>126911.5</v>
      </c>
      <c r="M772" s="9">
        <v>134231.57</v>
      </c>
      <c r="N772" s="6" t="str">
        <f>_xlfn.XLOOKUP(tblSales[[#This Row],[ProductID]],tblProducts[ProductID],tblProducts[ProductName],"Not Found")</f>
        <v>RespiraX</v>
      </c>
      <c r="O772" s="8">
        <f>YEAR(tblSales[[#This Row],[Month]])</f>
        <v>2025</v>
      </c>
      <c r="P772" s="8">
        <f>MONTH(tblSales[[#This Row],[Month]])</f>
        <v>5</v>
      </c>
      <c r="Q772" s="6">
        <f>IFERROR(tblSales[[#This Row],[NetSalesTRY]]/tblSales[[#This Row],[Units]],0)</f>
        <v>576.87045454545455</v>
      </c>
      <c r="R772" s="17">
        <f>IFERROR(tblSales[[#This Row],[NetSalesTRY]]/tblSales[[#This Row],[TargetTRY]],0)</f>
        <v>0.94546685254444984</v>
      </c>
      <c r="S772" s="6">
        <f>tblSales[[#This Row],[NetSalesTRY]]-tblSales[[#This Row],[TargetTRY]]</f>
        <v>-7320.070000000007</v>
      </c>
      <c r="T772" s="6">
        <f>MAX(tblSales[[#This Row],[TargetTRY]]-tblSales[[#This Row],[NetSalesTRY]],0)</f>
        <v>7320.070000000007</v>
      </c>
    </row>
    <row r="773" spans="1:20">
      <c r="A773" t="s">
        <v>1161</v>
      </c>
      <c r="B773" s="15">
        <v>45778</v>
      </c>
      <c r="C773" t="s">
        <v>19</v>
      </c>
      <c r="D773" t="s">
        <v>20</v>
      </c>
      <c r="E773" t="s">
        <v>34</v>
      </c>
      <c r="F773" t="s">
        <v>32</v>
      </c>
      <c r="G773" t="s">
        <v>14</v>
      </c>
      <c r="H773" s="8">
        <v>130</v>
      </c>
      <c r="I773" s="9">
        <v>141388.24</v>
      </c>
      <c r="J773" s="9">
        <v>7535.93</v>
      </c>
      <c r="K773" s="9">
        <v>825.85</v>
      </c>
      <c r="L773" s="9">
        <v>133026.47</v>
      </c>
      <c r="M773" s="9">
        <v>128144.89</v>
      </c>
      <c r="N773" s="6" t="str">
        <f>_xlfn.XLOOKUP(tblSales[[#This Row],[ProductID]],tblProducts[ProductID],tblProducts[ProductName],"Not Found")</f>
        <v>NeuroCalm</v>
      </c>
      <c r="O773" s="8">
        <f>YEAR(tblSales[[#This Row],[Month]])</f>
        <v>2025</v>
      </c>
      <c r="P773" s="8">
        <f>MONTH(tblSales[[#This Row],[Month]])</f>
        <v>5</v>
      </c>
      <c r="Q773" s="6">
        <f>IFERROR(tblSales[[#This Row],[NetSalesTRY]]/tblSales[[#This Row],[Units]],0)</f>
        <v>1023.2805384615385</v>
      </c>
      <c r="R773" s="17">
        <f>IFERROR(tblSales[[#This Row],[NetSalesTRY]]/tblSales[[#This Row],[TargetTRY]],0)</f>
        <v>1.0380942228753718</v>
      </c>
      <c r="S773" s="6">
        <f>tblSales[[#This Row],[NetSalesTRY]]-tblSales[[#This Row],[TargetTRY]]</f>
        <v>4881.5800000000017</v>
      </c>
      <c r="T773" s="6">
        <f>MAX(tblSales[[#This Row],[TargetTRY]]-tblSales[[#This Row],[NetSalesTRY]],0)</f>
        <v>0</v>
      </c>
    </row>
    <row r="774" spans="1:20">
      <c r="A774" t="s">
        <v>1162</v>
      </c>
      <c r="B774" s="15">
        <v>45778</v>
      </c>
      <c r="C774" t="s">
        <v>19</v>
      </c>
      <c r="D774" t="s">
        <v>20</v>
      </c>
      <c r="E774" t="s">
        <v>37</v>
      </c>
      <c r="F774" t="s">
        <v>35</v>
      </c>
      <c r="G774" t="s">
        <v>5</v>
      </c>
      <c r="H774" s="8">
        <v>175</v>
      </c>
      <c r="I774" s="9">
        <v>173152.07</v>
      </c>
      <c r="J774" s="9">
        <v>8549.5499999999993</v>
      </c>
      <c r="K774" s="9">
        <v>931.65</v>
      </c>
      <c r="L774" s="9">
        <v>163670.85999999999</v>
      </c>
      <c r="M774" s="9">
        <v>159368.29999999999</v>
      </c>
      <c r="N774" s="6" t="str">
        <f>_xlfn.XLOOKUP(tblSales[[#This Row],[ProductID]],tblProducts[ProductID],tblProducts[ProductName],"Not Found")</f>
        <v>Cardiovan</v>
      </c>
      <c r="O774" s="8">
        <f>YEAR(tblSales[[#This Row],[Month]])</f>
        <v>2025</v>
      </c>
      <c r="P774" s="8">
        <f>MONTH(tblSales[[#This Row],[Month]])</f>
        <v>5</v>
      </c>
      <c r="Q774" s="6">
        <f>IFERROR(tblSales[[#This Row],[NetSalesTRY]]/tblSales[[#This Row],[Units]],0)</f>
        <v>935.26205714285709</v>
      </c>
      <c r="R774" s="17">
        <f>IFERROR(tblSales[[#This Row],[NetSalesTRY]]/tblSales[[#This Row],[TargetTRY]],0)</f>
        <v>1.0269975898594639</v>
      </c>
      <c r="S774" s="6">
        <f>tblSales[[#This Row],[NetSalesTRY]]-tblSales[[#This Row],[TargetTRY]]</f>
        <v>4302.5599999999977</v>
      </c>
      <c r="T774" s="6">
        <f>MAX(tblSales[[#This Row],[TargetTRY]]-tblSales[[#This Row],[NetSalesTRY]],0)</f>
        <v>0</v>
      </c>
    </row>
    <row r="775" spans="1:20">
      <c r="A775" t="s">
        <v>1163</v>
      </c>
      <c r="B775" s="15">
        <v>45778</v>
      </c>
      <c r="C775" t="s">
        <v>19</v>
      </c>
      <c r="D775" t="s">
        <v>20</v>
      </c>
      <c r="E775" t="s">
        <v>37</v>
      </c>
      <c r="F775" t="s">
        <v>35</v>
      </c>
      <c r="G775" t="s">
        <v>8</v>
      </c>
      <c r="H775" s="8">
        <v>202</v>
      </c>
      <c r="I775" s="9">
        <v>154100.04999999999</v>
      </c>
      <c r="J775" s="9">
        <v>5664.77</v>
      </c>
      <c r="K775" s="9">
        <v>784.78</v>
      </c>
      <c r="L775" s="9">
        <v>147650.51</v>
      </c>
      <c r="M775" s="9">
        <v>143087.57999999999</v>
      </c>
      <c r="N775" s="6" t="str">
        <f>_xlfn.XLOOKUP(tblSales[[#This Row],[ProductID]],tblProducts[ProductID],tblProducts[ProductName],"Not Found")</f>
        <v>GlucoRelief</v>
      </c>
      <c r="O775" s="8">
        <f>YEAR(tblSales[[#This Row],[Month]])</f>
        <v>2025</v>
      </c>
      <c r="P775" s="8">
        <f>MONTH(tblSales[[#This Row],[Month]])</f>
        <v>5</v>
      </c>
      <c r="Q775" s="6">
        <f>IFERROR(tblSales[[#This Row],[NetSalesTRY]]/tblSales[[#This Row],[Units]],0)</f>
        <v>730.94311881188128</v>
      </c>
      <c r="R775" s="17">
        <f>IFERROR(tblSales[[#This Row],[NetSalesTRY]]/tblSales[[#This Row],[TargetTRY]],0)</f>
        <v>1.0318890710151085</v>
      </c>
      <c r="S775" s="6">
        <f>tblSales[[#This Row],[NetSalesTRY]]-tblSales[[#This Row],[TargetTRY]]</f>
        <v>4562.9300000000221</v>
      </c>
      <c r="T775" s="6">
        <f>MAX(tblSales[[#This Row],[TargetTRY]]-tblSales[[#This Row],[NetSalesTRY]],0)</f>
        <v>0</v>
      </c>
    </row>
    <row r="776" spans="1:20">
      <c r="A776" t="s">
        <v>1164</v>
      </c>
      <c r="B776" s="15">
        <v>45778</v>
      </c>
      <c r="C776" t="s">
        <v>19</v>
      </c>
      <c r="D776" t="s">
        <v>20</v>
      </c>
      <c r="E776" t="s">
        <v>37</v>
      </c>
      <c r="F776" t="s">
        <v>35</v>
      </c>
      <c r="G776" t="s">
        <v>11</v>
      </c>
      <c r="H776" s="8">
        <v>232</v>
      </c>
      <c r="I776" s="9">
        <v>142686.97</v>
      </c>
      <c r="J776" s="9">
        <v>8599.11</v>
      </c>
      <c r="K776" s="9">
        <v>1905.05</v>
      </c>
      <c r="L776" s="9">
        <v>132182.82</v>
      </c>
      <c r="M776" s="9">
        <v>136694.60999999999</v>
      </c>
      <c r="N776" s="6" t="str">
        <f>_xlfn.XLOOKUP(tblSales[[#This Row],[ProductID]],tblProducts[ProductID],tblProducts[ProductName],"Not Found")</f>
        <v>RespiraX</v>
      </c>
      <c r="O776" s="8">
        <f>YEAR(tblSales[[#This Row],[Month]])</f>
        <v>2025</v>
      </c>
      <c r="P776" s="8">
        <f>MONTH(tblSales[[#This Row],[Month]])</f>
        <v>5</v>
      </c>
      <c r="Q776" s="6">
        <f>IFERROR(tblSales[[#This Row],[NetSalesTRY]]/tblSales[[#This Row],[Units]],0)</f>
        <v>569.7535344827586</v>
      </c>
      <c r="R776" s="17">
        <f>IFERROR(tblSales[[#This Row],[NetSalesTRY]]/tblSales[[#This Row],[TargetTRY]],0)</f>
        <v>0.96699365102983958</v>
      </c>
      <c r="S776" s="6">
        <f>tblSales[[#This Row],[NetSalesTRY]]-tblSales[[#This Row],[TargetTRY]]</f>
        <v>-4511.789999999979</v>
      </c>
      <c r="T776" s="6">
        <f>MAX(tblSales[[#This Row],[TargetTRY]]-tblSales[[#This Row],[NetSalesTRY]],0)</f>
        <v>4511.789999999979</v>
      </c>
    </row>
    <row r="777" spans="1:20">
      <c r="A777" t="s">
        <v>1165</v>
      </c>
      <c r="B777" s="15">
        <v>45778</v>
      </c>
      <c r="C777" t="s">
        <v>19</v>
      </c>
      <c r="D777" t="s">
        <v>20</v>
      </c>
      <c r="E777" t="s">
        <v>37</v>
      </c>
      <c r="F777" t="s">
        <v>35</v>
      </c>
      <c r="G777" t="s">
        <v>14</v>
      </c>
      <c r="H777" s="8">
        <v>128</v>
      </c>
      <c r="I777" s="9">
        <v>140737.85</v>
      </c>
      <c r="J777" s="9">
        <v>7135.13</v>
      </c>
      <c r="K777" s="9">
        <v>633.54999999999995</v>
      </c>
      <c r="L777" s="9">
        <v>132969.18</v>
      </c>
      <c r="M777" s="9">
        <v>129487.78</v>
      </c>
      <c r="N777" s="6" t="str">
        <f>_xlfn.XLOOKUP(tblSales[[#This Row],[ProductID]],tblProducts[ProductID],tblProducts[ProductName],"Not Found")</f>
        <v>NeuroCalm</v>
      </c>
      <c r="O777" s="8">
        <f>YEAR(tblSales[[#This Row],[Month]])</f>
        <v>2025</v>
      </c>
      <c r="P777" s="8">
        <f>MONTH(tblSales[[#This Row],[Month]])</f>
        <v>5</v>
      </c>
      <c r="Q777" s="6">
        <f>IFERROR(tblSales[[#This Row],[NetSalesTRY]]/tblSales[[#This Row],[Units]],0)</f>
        <v>1038.8217187499999</v>
      </c>
      <c r="R777" s="17">
        <f>IFERROR(tblSales[[#This Row],[NetSalesTRY]]/tblSales[[#This Row],[TargetTRY]],0)</f>
        <v>1.0268859347190908</v>
      </c>
      <c r="S777" s="6">
        <f>tblSales[[#This Row],[NetSalesTRY]]-tblSales[[#This Row],[TargetTRY]]</f>
        <v>3481.3999999999942</v>
      </c>
      <c r="T777" s="6">
        <f>MAX(tblSales[[#This Row],[TargetTRY]]-tblSales[[#This Row],[NetSalesTRY]],0)</f>
        <v>0</v>
      </c>
    </row>
    <row r="778" spans="1:20">
      <c r="A778" t="s">
        <v>1166</v>
      </c>
      <c r="B778" s="15">
        <v>45778</v>
      </c>
      <c r="C778" t="s">
        <v>19</v>
      </c>
      <c r="D778" t="s">
        <v>20</v>
      </c>
      <c r="E778" t="s">
        <v>40</v>
      </c>
      <c r="F778" t="s">
        <v>38</v>
      </c>
      <c r="G778" t="s">
        <v>5</v>
      </c>
      <c r="H778" s="8">
        <v>184</v>
      </c>
      <c r="I778" s="9">
        <v>180388.38</v>
      </c>
      <c r="J778" s="9">
        <v>6349.47</v>
      </c>
      <c r="K778" s="9">
        <v>1626.29</v>
      </c>
      <c r="L778" s="9">
        <v>172412.62</v>
      </c>
      <c r="M778" s="9">
        <v>173755.34</v>
      </c>
      <c r="N778" s="6" t="str">
        <f>_xlfn.XLOOKUP(tblSales[[#This Row],[ProductID]],tblProducts[ProductID],tblProducts[ProductName],"Not Found")</f>
        <v>Cardiovan</v>
      </c>
      <c r="O778" s="8">
        <f>YEAR(tblSales[[#This Row],[Month]])</f>
        <v>2025</v>
      </c>
      <c r="P778" s="8">
        <f>MONTH(tblSales[[#This Row],[Month]])</f>
        <v>5</v>
      </c>
      <c r="Q778" s="6">
        <f>IFERROR(tblSales[[#This Row],[NetSalesTRY]]/tblSales[[#This Row],[Units]],0)</f>
        <v>937.02510869565219</v>
      </c>
      <c r="R778" s="17">
        <f>IFERROR(tblSales[[#This Row],[NetSalesTRY]]/tblSales[[#This Row],[TargetTRY]],0)</f>
        <v>0.99227235260798319</v>
      </c>
      <c r="S778" s="6">
        <f>tblSales[[#This Row],[NetSalesTRY]]-tblSales[[#This Row],[TargetTRY]]</f>
        <v>-1342.7200000000012</v>
      </c>
      <c r="T778" s="6">
        <f>MAX(tblSales[[#This Row],[TargetTRY]]-tblSales[[#This Row],[NetSalesTRY]],0)</f>
        <v>1342.7200000000012</v>
      </c>
    </row>
    <row r="779" spans="1:20">
      <c r="A779" t="s">
        <v>1167</v>
      </c>
      <c r="B779" s="15">
        <v>45778</v>
      </c>
      <c r="C779" t="s">
        <v>19</v>
      </c>
      <c r="D779" t="s">
        <v>20</v>
      </c>
      <c r="E779" t="s">
        <v>40</v>
      </c>
      <c r="F779" t="s">
        <v>38</v>
      </c>
      <c r="G779" t="s">
        <v>8</v>
      </c>
      <c r="H779" s="8">
        <v>231</v>
      </c>
      <c r="I779" s="9">
        <v>173591.73</v>
      </c>
      <c r="J779" s="9">
        <v>6150.78</v>
      </c>
      <c r="K779" s="9">
        <v>1942.91</v>
      </c>
      <c r="L779" s="9">
        <v>165498.04</v>
      </c>
      <c r="M779" s="9">
        <v>157400.53</v>
      </c>
      <c r="N779" s="6" t="str">
        <f>_xlfn.XLOOKUP(tblSales[[#This Row],[ProductID]],tblProducts[ProductID],tblProducts[ProductName],"Not Found")</f>
        <v>GlucoRelief</v>
      </c>
      <c r="O779" s="8">
        <f>YEAR(tblSales[[#This Row],[Month]])</f>
        <v>2025</v>
      </c>
      <c r="P779" s="8">
        <f>MONTH(tblSales[[#This Row],[Month]])</f>
        <v>5</v>
      </c>
      <c r="Q779" s="6">
        <f>IFERROR(tblSales[[#This Row],[NetSalesTRY]]/tblSales[[#This Row],[Units]],0)</f>
        <v>716.44173160173159</v>
      </c>
      <c r="R779" s="17">
        <f>IFERROR(tblSales[[#This Row],[NetSalesTRY]]/tblSales[[#This Row],[TargetTRY]],0)</f>
        <v>1.0514452524397473</v>
      </c>
      <c r="S779" s="6">
        <f>tblSales[[#This Row],[NetSalesTRY]]-tblSales[[#This Row],[TargetTRY]]</f>
        <v>8097.5100000000093</v>
      </c>
      <c r="T779" s="6">
        <f>MAX(tblSales[[#This Row],[TargetTRY]]-tblSales[[#This Row],[NetSalesTRY]],0)</f>
        <v>0</v>
      </c>
    </row>
    <row r="780" spans="1:20">
      <c r="A780" t="s">
        <v>1168</v>
      </c>
      <c r="B780" s="15">
        <v>45778</v>
      </c>
      <c r="C780" t="s">
        <v>19</v>
      </c>
      <c r="D780" t="s">
        <v>20</v>
      </c>
      <c r="E780" t="s">
        <v>40</v>
      </c>
      <c r="F780" t="s">
        <v>38</v>
      </c>
      <c r="G780" t="s">
        <v>11</v>
      </c>
      <c r="H780" s="8">
        <v>245</v>
      </c>
      <c r="I780" s="9">
        <v>154007.28</v>
      </c>
      <c r="J780" s="9">
        <v>7075.68</v>
      </c>
      <c r="K780" s="9">
        <v>2032.35</v>
      </c>
      <c r="L780" s="9">
        <v>144899.24</v>
      </c>
      <c r="M780" s="9">
        <v>147583.07999999999</v>
      </c>
      <c r="N780" s="6" t="str">
        <f>_xlfn.XLOOKUP(tblSales[[#This Row],[ProductID]],tblProducts[ProductID],tblProducts[ProductName],"Not Found")</f>
        <v>RespiraX</v>
      </c>
      <c r="O780" s="8">
        <f>YEAR(tblSales[[#This Row],[Month]])</f>
        <v>2025</v>
      </c>
      <c r="P780" s="8">
        <f>MONTH(tblSales[[#This Row],[Month]])</f>
        <v>5</v>
      </c>
      <c r="Q780" s="6">
        <f>IFERROR(tblSales[[#This Row],[NetSalesTRY]]/tblSales[[#This Row],[Units]],0)</f>
        <v>591.42546938775502</v>
      </c>
      <c r="R780" s="17">
        <f>IFERROR(tblSales[[#This Row],[NetSalesTRY]]/tblSales[[#This Row],[TargetTRY]],0)</f>
        <v>0.98181471751368787</v>
      </c>
      <c r="S780" s="6">
        <f>tblSales[[#This Row],[NetSalesTRY]]-tblSales[[#This Row],[TargetTRY]]</f>
        <v>-2683.8399999999965</v>
      </c>
      <c r="T780" s="6">
        <f>MAX(tblSales[[#This Row],[TargetTRY]]-tblSales[[#This Row],[NetSalesTRY]],0)</f>
        <v>2683.8399999999965</v>
      </c>
    </row>
    <row r="781" spans="1:20">
      <c r="A781" t="s">
        <v>1169</v>
      </c>
      <c r="B781" s="15">
        <v>45778</v>
      </c>
      <c r="C781" t="s">
        <v>19</v>
      </c>
      <c r="D781" t="s">
        <v>20</v>
      </c>
      <c r="E781" t="s">
        <v>40</v>
      </c>
      <c r="F781" t="s">
        <v>38</v>
      </c>
      <c r="G781" t="s">
        <v>14</v>
      </c>
      <c r="H781" s="8">
        <v>137</v>
      </c>
      <c r="I781" s="9">
        <v>152614.76</v>
      </c>
      <c r="J781" s="9">
        <v>10515.91</v>
      </c>
      <c r="K781" s="9">
        <v>1721.95</v>
      </c>
      <c r="L781" s="9">
        <v>140376.91</v>
      </c>
      <c r="M781" s="9">
        <v>145362.54</v>
      </c>
      <c r="N781" s="6" t="str">
        <f>_xlfn.XLOOKUP(tblSales[[#This Row],[ProductID]],tblProducts[ProductID],tblProducts[ProductName],"Not Found")</f>
        <v>NeuroCalm</v>
      </c>
      <c r="O781" s="8">
        <f>YEAR(tblSales[[#This Row],[Month]])</f>
        <v>2025</v>
      </c>
      <c r="P781" s="8">
        <f>MONTH(tblSales[[#This Row],[Month]])</f>
        <v>5</v>
      </c>
      <c r="Q781" s="6">
        <f>IFERROR(tblSales[[#This Row],[NetSalesTRY]]/tblSales[[#This Row],[Units]],0)</f>
        <v>1024.6489781021899</v>
      </c>
      <c r="R781" s="17">
        <f>IFERROR(tblSales[[#This Row],[NetSalesTRY]]/tblSales[[#This Row],[TargetTRY]],0)</f>
        <v>0.96570209904147242</v>
      </c>
      <c r="S781" s="6">
        <f>tblSales[[#This Row],[NetSalesTRY]]-tblSales[[#This Row],[TargetTRY]]</f>
        <v>-4985.6300000000047</v>
      </c>
      <c r="T781" s="6">
        <f>MAX(tblSales[[#This Row],[TargetTRY]]-tblSales[[#This Row],[NetSalesTRY]],0)</f>
        <v>4985.6300000000047</v>
      </c>
    </row>
    <row r="782" spans="1:20">
      <c r="A782" t="s">
        <v>1170</v>
      </c>
      <c r="B782" s="15">
        <v>45778</v>
      </c>
      <c r="C782" t="s">
        <v>21</v>
      </c>
      <c r="D782" t="s">
        <v>22</v>
      </c>
      <c r="E782" t="s">
        <v>43</v>
      </c>
      <c r="F782" t="s">
        <v>41</v>
      </c>
      <c r="G782" t="s">
        <v>5</v>
      </c>
      <c r="H782" s="8">
        <v>110</v>
      </c>
      <c r="I782" s="9">
        <v>108200.56</v>
      </c>
      <c r="J782" s="9">
        <v>4542.1899999999996</v>
      </c>
      <c r="K782" s="9">
        <v>787.5</v>
      </c>
      <c r="L782" s="9">
        <v>102870.86</v>
      </c>
      <c r="M782" s="9">
        <v>127792.17</v>
      </c>
      <c r="N782" s="6" t="str">
        <f>_xlfn.XLOOKUP(tblSales[[#This Row],[ProductID]],tblProducts[ProductID],tblProducts[ProductName],"Not Found")</f>
        <v>Cardiovan</v>
      </c>
      <c r="O782" s="8">
        <f>YEAR(tblSales[[#This Row],[Month]])</f>
        <v>2025</v>
      </c>
      <c r="P782" s="8">
        <f>MONTH(tblSales[[#This Row],[Month]])</f>
        <v>5</v>
      </c>
      <c r="Q782" s="6">
        <f>IFERROR(tblSales[[#This Row],[NetSalesTRY]]/tblSales[[#This Row],[Units]],0)</f>
        <v>935.1896363636364</v>
      </c>
      <c r="R782" s="17">
        <f>IFERROR(tblSales[[#This Row],[NetSalesTRY]]/tblSales[[#This Row],[TargetTRY]],0)</f>
        <v>0.80498562627115577</v>
      </c>
      <c r="S782" s="6">
        <f>tblSales[[#This Row],[NetSalesTRY]]-tblSales[[#This Row],[TargetTRY]]</f>
        <v>-24921.309999999998</v>
      </c>
      <c r="T782" s="6">
        <f>MAX(tblSales[[#This Row],[TargetTRY]]-tblSales[[#This Row],[NetSalesTRY]],0)</f>
        <v>24921.309999999998</v>
      </c>
    </row>
    <row r="783" spans="1:20">
      <c r="A783" t="s">
        <v>1171</v>
      </c>
      <c r="B783" s="15">
        <v>45778</v>
      </c>
      <c r="C783" t="s">
        <v>21</v>
      </c>
      <c r="D783" t="s">
        <v>22</v>
      </c>
      <c r="E783" t="s">
        <v>43</v>
      </c>
      <c r="F783" t="s">
        <v>41</v>
      </c>
      <c r="G783" t="s">
        <v>8</v>
      </c>
      <c r="H783" s="8">
        <v>164</v>
      </c>
      <c r="I783" s="9">
        <v>125265.45</v>
      </c>
      <c r="J783" s="9">
        <v>7528.87</v>
      </c>
      <c r="K783" s="9">
        <v>1259.33</v>
      </c>
      <c r="L783" s="9">
        <v>116477.26</v>
      </c>
      <c r="M783" s="9">
        <v>113605.52</v>
      </c>
      <c r="N783" s="6" t="str">
        <f>_xlfn.XLOOKUP(tblSales[[#This Row],[ProductID]],tblProducts[ProductID],tblProducts[ProductName],"Not Found")</f>
        <v>GlucoRelief</v>
      </c>
      <c r="O783" s="8">
        <f>YEAR(tblSales[[#This Row],[Month]])</f>
        <v>2025</v>
      </c>
      <c r="P783" s="8">
        <f>MONTH(tblSales[[#This Row],[Month]])</f>
        <v>5</v>
      </c>
      <c r="Q783" s="6">
        <f>IFERROR(tblSales[[#This Row],[NetSalesTRY]]/tblSales[[#This Row],[Units]],0)</f>
        <v>710.22719512195124</v>
      </c>
      <c r="R783" s="17">
        <f>IFERROR(tblSales[[#This Row],[NetSalesTRY]]/tblSales[[#This Row],[TargetTRY]],0)</f>
        <v>1.0252781731028562</v>
      </c>
      <c r="S783" s="6">
        <f>tblSales[[#This Row],[NetSalesTRY]]-tblSales[[#This Row],[TargetTRY]]</f>
        <v>2871.7399999999907</v>
      </c>
      <c r="T783" s="6">
        <f>MAX(tblSales[[#This Row],[TargetTRY]]-tblSales[[#This Row],[NetSalesTRY]],0)</f>
        <v>0</v>
      </c>
    </row>
    <row r="784" spans="1:20">
      <c r="A784" t="s">
        <v>1172</v>
      </c>
      <c r="B784" s="15">
        <v>45778</v>
      </c>
      <c r="C784" t="s">
        <v>21</v>
      </c>
      <c r="D784" t="s">
        <v>22</v>
      </c>
      <c r="E784" t="s">
        <v>43</v>
      </c>
      <c r="F784" t="s">
        <v>41</v>
      </c>
      <c r="G784" t="s">
        <v>11</v>
      </c>
      <c r="H784" s="8">
        <v>175</v>
      </c>
      <c r="I784" s="9">
        <v>108768.02</v>
      </c>
      <c r="J784" s="9">
        <v>6503.58</v>
      </c>
      <c r="K784" s="9">
        <v>813.82</v>
      </c>
      <c r="L784" s="9">
        <v>101450.61</v>
      </c>
      <c r="M784" s="9">
        <v>107513.46</v>
      </c>
      <c r="N784" s="6" t="str">
        <f>_xlfn.XLOOKUP(tblSales[[#This Row],[ProductID]],tblProducts[ProductID],tblProducts[ProductName],"Not Found")</f>
        <v>RespiraX</v>
      </c>
      <c r="O784" s="8">
        <f>YEAR(tblSales[[#This Row],[Month]])</f>
        <v>2025</v>
      </c>
      <c r="P784" s="8">
        <f>MONTH(tblSales[[#This Row],[Month]])</f>
        <v>5</v>
      </c>
      <c r="Q784" s="6">
        <f>IFERROR(tblSales[[#This Row],[NetSalesTRY]]/tblSales[[#This Row],[Units]],0)</f>
        <v>579.71777142857138</v>
      </c>
      <c r="R784" s="17">
        <f>IFERROR(tblSales[[#This Row],[NetSalesTRY]]/tblSales[[#This Row],[TargetTRY]],0)</f>
        <v>0.94360845609470656</v>
      </c>
      <c r="S784" s="6">
        <f>tblSales[[#This Row],[NetSalesTRY]]-tblSales[[#This Row],[TargetTRY]]</f>
        <v>-6062.8500000000058</v>
      </c>
      <c r="T784" s="6">
        <f>MAX(tblSales[[#This Row],[TargetTRY]]-tblSales[[#This Row],[NetSalesTRY]],0)</f>
        <v>6062.8500000000058</v>
      </c>
    </row>
    <row r="785" spans="1:20">
      <c r="A785" t="s">
        <v>1173</v>
      </c>
      <c r="B785" s="15">
        <v>45778</v>
      </c>
      <c r="C785" t="s">
        <v>21</v>
      </c>
      <c r="D785" t="s">
        <v>22</v>
      </c>
      <c r="E785" t="s">
        <v>43</v>
      </c>
      <c r="F785" t="s">
        <v>41</v>
      </c>
      <c r="G785" t="s">
        <v>14</v>
      </c>
      <c r="H785" s="8">
        <v>98</v>
      </c>
      <c r="I785" s="9">
        <v>109145.74</v>
      </c>
      <c r="J785" s="9">
        <v>7628.27</v>
      </c>
      <c r="K785" s="9">
        <v>1207.21</v>
      </c>
      <c r="L785" s="9">
        <v>100310.26</v>
      </c>
      <c r="M785" s="9">
        <v>105557.61</v>
      </c>
      <c r="N785" s="6" t="str">
        <f>_xlfn.XLOOKUP(tblSales[[#This Row],[ProductID]],tblProducts[ProductID],tblProducts[ProductName],"Not Found")</f>
        <v>NeuroCalm</v>
      </c>
      <c r="O785" s="8">
        <f>YEAR(tblSales[[#This Row],[Month]])</f>
        <v>2025</v>
      </c>
      <c r="P785" s="8">
        <f>MONTH(tblSales[[#This Row],[Month]])</f>
        <v>5</v>
      </c>
      <c r="Q785" s="6">
        <f>IFERROR(tblSales[[#This Row],[NetSalesTRY]]/tblSales[[#This Row],[Units]],0)</f>
        <v>1023.574081632653</v>
      </c>
      <c r="R785" s="17">
        <f>IFERROR(tblSales[[#This Row],[NetSalesTRY]]/tblSales[[#This Row],[TargetTRY]],0)</f>
        <v>0.95028923068644688</v>
      </c>
      <c r="S785" s="6">
        <f>tblSales[[#This Row],[NetSalesTRY]]-tblSales[[#This Row],[TargetTRY]]</f>
        <v>-5247.3500000000058</v>
      </c>
      <c r="T785" s="6">
        <f>MAX(tblSales[[#This Row],[TargetTRY]]-tblSales[[#This Row],[NetSalesTRY]],0)</f>
        <v>5247.3500000000058</v>
      </c>
    </row>
    <row r="786" spans="1:20">
      <c r="A786" t="s">
        <v>1174</v>
      </c>
      <c r="B786" s="15">
        <v>45778</v>
      </c>
      <c r="C786" t="s">
        <v>21</v>
      </c>
      <c r="D786" t="s">
        <v>22</v>
      </c>
      <c r="E786" t="s">
        <v>46</v>
      </c>
      <c r="F786" t="s">
        <v>44</v>
      </c>
      <c r="G786" t="s">
        <v>5</v>
      </c>
      <c r="H786" s="8">
        <v>101</v>
      </c>
      <c r="I786" s="9">
        <v>99114.73</v>
      </c>
      <c r="J786" s="9">
        <v>4749.79</v>
      </c>
      <c r="K786" s="9">
        <v>787.23</v>
      </c>
      <c r="L786" s="9">
        <v>93577.71</v>
      </c>
      <c r="M786" s="9">
        <v>112503.57</v>
      </c>
      <c r="N786" s="6" t="str">
        <f>_xlfn.XLOOKUP(tblSales[[#This Row],[ProductID]],tblProducts[ProductID],tblProducts[ProductName],"Not Found")</f>
        <v>Cardiovan</v>
      </c>
      <c r="O786" s="8">
        <f>YEAR(tblSales[[#This Row],[Month]])</f>
        <v>2025</v>
      </c>
      <c r="P786" s="8">
        <f>MONTH(tblSales[[#This Row],[Month]])</f>
        <v>5</v>
      </c>
      <c r="Q786" s="6">
        <f>IFERROR(tblSales[[#This Row],[NetSalesTRY]]/tblSales[[#This Row],[Units]],0)</f>
        <v>926.51198019801984</v>
      </c>
      <c r="R786" s="17">
        <f>IFERROR(tblSales[[#This Row],[NetSalesTRY]]/tblSales[[#This Row],[TargetTRY]],0)</f>
        <v>0.83177547165836607</v>
      </c>
      <c r="S786" s="6">
        <f>tblSales[[#This Row],[NetSalesTRY]]-tblSales[[#This Row],[TargetTRY]]</f>
        <v>-18925.86</v>
      </c>
      <c r="T786" s="6">
        <f>MAX(tblSales[[#This Row],[TargetTRY]]-tblSales[[#This Row],[NetSalesTRY]],0)</f>
        <v>18925.86</v>
      </c>
    </row>
    <row r="787" spans="1:20">
      <c r="A787" t="s">
        <v>1175</v>
      </c>
      <c r="B787" s="15">
        <v>45778</v>
      </c>
      <c r="C787" t="s">
        <v>21</v>
      </c>
      <c r="D787" t="s">
        <v>22</v>
      </c>
      <c r="E787" t="s">
        <v>46</v>
      </c>
      <c r="F787" t="s">
        <v>44</v>
      </c>
      <c r="G787" t="s">
        <v>8</v>
      </c>
      <c r="H787" s="8">
        <v>131</v>
      </c>
      <c r="I787" s="9">
        <v>100380.81</v>
      </c>
      <c r="J787" s="9">
        <v>3584.31</v>
      </c>
      <c r="K787" s="9">
        <v>944.36</v>
      </c>
      <c r="L787" s="9">
        <v>95852.14</v>
      </c>
      <c r="M787" s="9">
        <v>101355.27</v>
      </c>
      <c r="N787" s="6" t="str">
        <f>_xlfn.XLOOKUP(tblSales[[#This Row],[ProductID]],tblProducts[ProductID],tblProducts[ProductName],"Not Found")</f>
        <v>GlucoRelief</v>
      </c>
      <c r="O787" s="8">
        <f>YEAR(tblSales[[#This Row],[Month]])</f>
        <v>2025</v>
      </c>
      <c r="P787" s="8">
        <f>MONTH(tblSales[[#This Row],[Month]])</f>
        <v>5</v>
      </c>
      <c r="Q787" s="6">
        <f>IFERROR(tblSales[[#This Row],[NetSalesTRY]]/tblSales[[#This Row],[Units]],0)</f>
        <v>731.69572519083965</v>
      </c>
      <c r="R787" s="17">
        <f>IFERROR(tblSales[[#This Row],[NetSalesTRY]]/tblSales[[#This Row],[TargetTRY]],0)</f>
        <v>0.94570454994594755</v>
      </c>
      <c r="S787" s="6">
        <f>tblSales[[#This Row],[NetSalesTRY]]-tblSales[[#This Row],[TargetTRY]]</f>
        <v>-5503.1300000000047</v>
      </c>
      <c r="T787" s="6">
        <f>MAX(tblSales[[#This Row],[TargetTRY]]-tblSales[[#This Row],[NetSalesTRY]],0)</f>
        <v>5503.1300000000047</v>
      </c>
    </row>
    <row r="788" spans="1:20">
      <c r="A788" t="s">
        <v>1176</v>
      </c>
      <c r="B788" s="15">
        <v>45778</v>
      </c>
      <c r="C788" t="s">
        <v>21</v>
      </c>
      <c r="D788" t="s">
        <v>22</v>
      </c>
      <c r="E788" t="s">
        <v>46</v>
      </c>
      <c r="F788" t="s">
        <v>44</v>
      </c>
      <c r="G788" t="s">
        <v>11</v>
      </c>
      <c r="H788" s="8">
        <v>151</v>
      </c>
      <c r="I788" s="9">
        <v>94108.84</v>
      </c>
      <c r="J788" s="9">
        <v>3955.9</v>
      </c>
      <c r="K788" s="9">
        <v>558.49</v>
      </c>
      <c r="L788" s="9">
        <v>89594.45</v>
      </c>
      <c r="M788" s="9">
        <v>95281.74</v>
      </c>
      <c r="N788" s="6" t="str">
        <f>_xlfn.XLOOKUP(tblSales[[#This Row],[ProductID]],tblProducts[ProductID],tblProducts[ProductName],"Not Found")</f>
        <v>RespiraX</v>
      </c>
      <c r="O788" s="8">
        <f>YEAR(tblSales[[#This Row],[Month]])</f>
        <v>2025</v>
      </c>
      <c r="P788" s="8">
        <f>MONTH(tblSales[[#This Row],[Month]])</f>
        <v>5</v>
      </c>
      <c r="Q788" s="6">
        <f>IFERROR(tblSales[[#This Row],[NetSalesTRY]]/tblSales[[#This Row],[Units]],0)</f>
        <v>593.34072847682114</v>
      </c>
      <c r="R788" s="17">
        <f>IFERROR(tblSales[[#This Row],[NetSalesTRY]]/tblSales[[#This Row],[TargetTRY]],0)</f>
        <v>0.94031080876566686</v>
      </c>
      <c r="S788" s="6">
        <f>tblSales[[#This Row],[NetSalesTRY]]-tblSales[[#This Row],[TargetTRY]]</f>
        <v>-5687.2900000000081</v>
      </c>
      <c r="T788" s="6">
        <f>MAX(tblSales[[#This Row],[TargetTRY]]-tblSales[[#This Row],[NetSalesTRY]],0)</f>
        <v>5687.2900000000081</v>
      </c>
    </row>
    <row r="789" spans="1:20">
      <c r="A789" t="s">
        <v>1177</v>
      </c>
      <c r="B789" s="15">
        <v>45778</v>
      </c>
      <c r="C789" t="s">
        <v>21</v>
      </c>
      <c r="D789" t="s">
        <v>22</v>
      </c>
      <c r="E789" t="s">
        <v>46</v>
      </c>
      <c r="F789" t="s">
        <v>44</v>
      </c>
      <c r="G789" t="s">
        <v>14</v>
      </c>
      <c r="H789" s="8">
        <v>87</v>
      </c>
      <c r="I789" s="9">
        <v>94508.71</v>
      </c>
      <c r="J789" s="9">
        <v>6226.78</v>
      </c>
      <c r="K789" s="9">
        <v>652.69000000000005</v>
      </c>
      <c r="L789" s="9">
        <v>87629.24</v>
      </c>
      <c r="M789" s="9">
        <v>91640.11</v>
      </c>
      <c r="N789" s="6" t="str">
        <f>_xlfn.XLOOKUP(tblSales[[#This Row],[ProductID]],tblProducts[ProductID],tblProducts[ProductName],"Not Found")</f>
        <v>NeuroCalm</v>
      </c>
      <c r="O789" s="8">
        <f>YEAR(tblSales[[#This Row],[Month]])</f>
        <v>2025</v>
      </c>
      <c r="P789" s="8">
        <f>MONTH(tblSales[[#This Row],[Month]])</f>
        <v>5</v>
      </c>
      <c r="Q789" s="6">
        <f>IFERROR(tblSales[[#This Row],[NetSalesTRY]]/tblSales[[#This Row],[Units]],0)</f>
        <v>1007.232643678161</v>
      </c>
      <c r="R789" s="17">
        <f>IFERROR(tblSales[[#This Row],[NetSalesTRY]]/tblSales[[#This Row],[TargetTRY]],0)</f>
        <v>0.95623237466650801</v>
      </c>
      <c r="S789" s="6">
        <f>tblSales[[#This Row],[NetSalesTRY]]-tblSales[[#This Row],[TargetTRY]]</f>
        <v>-4010.8699999999953</v>
      </c>
      <c r="T789" s="6">
        <f>MAX(tblSales[[#This Row],[TargetTRY]]-tblSales[[#This Row],[NetSalesTRY]],0)</f>
        <v>4010.8699999999953</v>
      </c>
    </row>
    <row r="790" spans="1:20">
      <c r="A790" t="s">
        <v>1178</v>
      </c>
      <c r="B790" s="15">
        <v>45778</v>
      </c>
      <c r="C790" t="s">
        <v>21</v>
      </c>
      <c r="D790" t="s">
        <v>22</v>
      </c>
      <c r="E790" t="s">
        <v>49</v>
      </c>
      <c r="F790" t="s">
        <v>47</v>
      </c>
      <c r="G790" t="s">
        <v>5</v>
      </c>
      <c r="H790" s="8">
        <v>109</v>
      </c>
      <c r="I790" s="9">
        <v>105521.68</v>
      </c>
      <c r="J790" s="9">
        <v>7536.46</v>
      </c>
      <c r="K790" s="9">
        <v>473.76</v>
      </c>
      <c r="L790" s="9">
        <v>97511.46</v>
      </c>
      <c r="M790" s="9">
        <v>127555.53</v>
      </c>
      <c r="N790" s="6" t="str">
        <f>_xlfn.XLOOKUP(tblSales[[#This Row],[ProductID]],tblProducts[ProductID],tblProducts[ProductName],"Not Found")</f>
        <v>Cardiovan</v>
      </c>
      <c r="O790" s="8">
        <f>YEAR(tblSales[[#This Row],[Month]])</f>
        <v>2025</v>
      </c>
      <c r="P790" s="8">
        <f>MONTH(tblSales[[#This Row],[Month]])</f>
        <v>5</v>
      </c>
      <c r="Q790" s="6">
        <f>IFERROR(tblSales[[#This Row],[NetSalesTRY]]/tblSales[[#This Row],[Units]],0)</f>
        <v>894.6005504587157</v>
      </c>
      <c r="R790" s="17">
        <f>IFERROR(tblSales[[#This Row],[NetSalesTRY]]/tblSales[[#This Row],[TargetTRY]],0)</f>
        <v>0.76446281866415366</v>
      </c>
      <c r="S790" s="6">
        <f>tblSales[[#This Row],[NetSalesTRY]]-tblSales[[#This Row],[TargetTRY]]</f>
        <v>-30044.069999999992</v>
      </c>
      <c r="T790" s="6">
        <f>MAX(tblSales[[#This Row],[TargetTRY]]-tblSales[[#This Row],[NetSalesTRY]],0)</f>
        <v>30044.069999999992</v>
      </c>
    </row>
    <row r="791" spans="1:20">
      <c r="A791" t="s">
        <v>1179</v>
      </c>
      <c r="B791" s="15">
        <v>45778</v>
      </c>
      <c r="C791" t="s">
        <v>21</v>
      </c>
      <c r="D791" t="s">
        <v>22</v>
      </c>
      <c r="E791" t="s">
        <v>49</v>
      </c>
      <c r="F791" t="s">
        <v>47</v>
      </c>
      <c r="G791" t="s">
        <v>8</v>
      </c>
      <c r="H791" s="8">
        <v>162</v>
      </c>
      <c r="I791" s="9">
        <v>121387.35</v>
      </c>
      <c r="J791" s="9">
        <v>6279.4</v>
      </c>
      <c r="K791" s="9">
        <v>1653.13</v>
      </c>
      <c r="L791" s="9">
        <v>113454.83</v>
      </c>
      <c r="M791" s="9">
        <v>113835.34</v>
      </c>
      <c r="N791" s="6" t="str">
        <f>_xlfn.XLOOKUP(tblSales[[#This Row],[ProductID]],tblProducts[ProductID],tblProducts[ProductName],"Not Found")</f>
        <v>GlucoRelief</v>
      </c>
      <c r="O791" s="8">
        <f>YEAR(tblSales[[#This Row],[Month]])</f>
        <v>2025</v>
      </c>
      <c r="P791" s="8">
        <f>MONTH(tblSales[[#This Row],[Month]])</f>
        <v>5</v>
      </c>
      <c r="Q791" s="6">
        <f>IFERROR(tblSales[[#This Row],[NetSalesTRY]]/tblSales[[#This Row],[Units]],0)</f>
        <v>700.33845679012347</v>
      </c>
      <c r="R791" s="17">
        <f>IFERROR(tblSales[[#This Row],[NetSalesTRY]]/tblSales[[#This Row],[TargetTRY]],0)</f>
        <v>0.99665736492727131</v>
      </c>
      <c r="S791" s="6">
        <f>tblSales[[#This Row],[NetSalesTRY]]-tblSales[[#This Row],[TargetTRY]]</f>
        <v>-380.50999999999476</v>
      </c>
      <c r="T791" s="6">
        <f>MAX(tblSales[[#This Row],[TargetTRY]]-tblSales[[#This Row],[NetSalesTRY]],0)</f>
        <v>380.50999999999476</v>
      </c>
    </row>
    <row r="792" spans="1:20">
      <c r="A792" t="s">
        <v>1180</v>
      </c>
      <c r="B792" s="15">
        <v>45778</v>
      </c>
      <c r="C792" t="s">
        <v>21</v>
      </c>
      <c r="D792" t="s">
        <v>22</v>
      </c>
      <c r="E792" t="s">
        <v>49</v>
      </c>
      <c r="F792" t="s">
        <v>47</v>
      </c>
      <c r="G792" t="s">
        <v>11</v>
      </c>
      <c r="H792" s="8">
        <v>174</v>
      </c>
      <c r="I792" s="9">
        <v>108036</v>
      </c>
      <c r="J792" s="9">
        <v>5407</v>
      </c>
      <c r="K792" s="9">
        <v>755.75</v>
      </c>
      <c r="L792" s="9">
        <v>101873.25</v>
      </c>
      <c r="M792" s="9">
        <v>107268.46</v>
      </c>
      <c r="N792" s="6" t="str">
        <f>_xlfn.XLOOKUP(tblSales[[#This Row],[ProductID]],tblProducts[ProductID],tblProducts[ProductName],"Not Found")</f>
        <v>RespiraX</v>
      </c>
      <c r="O792" s="8">
        <f>YEAR(tblSales[[#This Row],[Month]])</f>
        <v>2025</v>
      </c>
      <c r="P792" s="8">
        <f>MONTH(tblSales[[#This Row],[Month]])</f>
        <v>5</v>
      </c>
      <c r="Q792" s="6">
        <f>IFERROR(tblSales[[#This Row],[NetSalesTRY]]/tblSales[[#This Row],[Units]],0)</f>
        <v>585.47844827586209</v>
      </c>
      <c r="R792" s="17">
        <f>IFERROR(tblSales[[#This Row],[NetSalesTRY]]/tblSales[[#This Row],[TargetTRY]],0)</f>
        <v>0.9497036687205167</v>
      </c>
      <c r="S792" s="6">
        <f>tblSales[[#This Row],[NetSalesTRY]]-tblSales[[#This Row],[TargetTRY]]</f>
        <v>-5395.2100000000064</v>
      </c>
      <c r="T792" s="6">
        <f>MAX(tblSales[[#This Row],[TargetTRY]]-tblSales[[#This Row],[NetSalesTRY]],0)</f>
        <v>5395.2100000000064</v>
      </c>
    </row>
    <row r="793" spans="1:20">
      <c r="A793" t="s">
        <v>1181</v>
      </c>
      <c r="B793" s="15">
        <v>45778</v>
      </c>
      <c r="C793" t="s">
        <v>21</v>
      </c>
      <c r="D793" t="s">
        <v>22</v>
      </c>
      <c r="E793" t="s">
        <v>49</v>
      </c>
      <c r="F793" t="s">
        <v>47</v>
      </c>
      <c r="G793" t="s">
        <v>14</v>
      </c>
      <c r="H793" s="8">
        <v>92</v>
      </c>
      <c r="I793" s="9">
        <v>100722.03</v>
      </c>
      <c r="J793" s="9">
        <v>5458.4</v>
      </c>
      <c r="K793" s="9">
        <v>509.64</v>
      </c>
      <c r="L793" s="9">
        <v>94753.99</v>
      </c>
      <c r="M793" s="9">
        <v>102699.91</v>
      </c>
      <c r="N793" s="6" t="str">
        <f>_xlfn.XLOOKUP(tblSales[[#This Row],[ProductID]],tblProducts[ProductID],tblProducts[ProductName],"Not Found")</f>
        <v>NeuroCalm</v>
      </c>
      <c r="O793" s="8">
        <f>YEAR(tblSales[[#This Row],[Month]])</f>
        <v>2025</v>
      </c>
      <c r="P793" s="8">
        <f>MONTH(tblSales[[#This Row],[Month]])</f>
        <v>5</v>
      </c>
      <c r="Q793" s="6">
        <f>IFERROR(tblSales[[#This Row],[NetSalesTRY]]/tblSales[[#This Row],[Units]],0)</f>
        <v>1029.9346739130435</v>
      </c>
      <c r="R793" s="17">
        <f>IFERROR(tblSales[[#This Row],[NetSalesTRY]]/tblSales[[#This Row],[TargetTRY]],0)</f>
        <v>0.92262972771835927</v>
      </c>
      <c r="S793" s="6">
        <f>tblSales[[#This Row],[NetSalesTRY]]-tblSales[[#This Row],[TargetTRY]]</f>
        <v>-7945.9199999999983</v>
      </c>
      <c r="T793" s="6">
        <f>MAX(tblSales[[#This Row],[TargetTRY]]-tblSales[[#This Row],[NetSalesTRY]],0)</f>
        <v>7945.9199999999983</v>
      </c>
    </row>
    <row r="794" spans="1:20">
      <c r="A794" t="s">
        <v>1182</v>
      </c>
      <c r="B794" s="15">
        <v>45778</v>
      </c>
      <c r="C794" t="s">
        <v>23</v>
      </c>
      <c r="D794" t="s">
        <v>24</v>
      </c>
      <c r="E794" t="s">
        <v>52</v>
      </c>
      <c r="F794" t="s">
        <v>50</v>
      </c>
      <c r="G794" t="s">
        <v>5</v>
      </c>
      <c r="H794" s="8">
        <v>135</v>
      </c>
      <c r="I794" s="9">
        <v>130379.31</v>
      </c>
      <c r="J794" s="9">
        <v>4662.9799999999996</v>
      </c>
      <c r="K794" s="9">
        <v>1362.81</v>
      </c>
      <c r="L794" s="9">
        <v>124353.52</v>
      </c>
      <c r="M794" s="9">
        <v>127199.83</v>
      </c>
      <c r="N794" s="6" t="str">
        <f>_xlfn.XLOOKUP(tblSales[[#This Row],[ProductID]],tblProducts[ProductID],tblProducts[ProductName],"Not Found")</f>
        <v>Cardiovan</v>
      </c>
      <c r="O794" s="8">
        <f>YEAR(tblSales[[#This Row],[Month]])</f>
        <v>2025</v>
      </c>
      <c r="P794" s="8">
        <f>MONTH(tblSales[[#This Row],[Month]])</f>
        <v>5</v>
      </c>
      <c r="Q794" s="6">
        <f>IFERROR(tblSales[[#This Row],[NetSalesTRY]]/tblSales[[#This Row],[Units]],0)</f>
        <v>921.13718518518522</v>
      </c>
      <c r="R794" s="17">
        <f>IFERROR(tblSales[[#This Row],[NetSalesTRY]]/tblSales[[#This Row],[TargetTRY]],0)</f>
        <v>0.97762331915066236</v>
      </c>
      <c r="S794" s="6">
        <f>tblSales[[#This Row],[NetSalesTRY]]-tblSales[[#This Row],[TargetTRY]]</f>
        <v>-2846.3099999999977</v>
      </c>
      <c r="T794" s="6">
        <f>MAX(tblSales[[#This Row],[TargetTRY]]-tblSales[[#This Row],[NetSalesTRY]],0)</f>
        <v>2846.3099999999977</v>
      </c>
    </row>
    <row r="795" spans="1:20">
      <c r="A795" t="s">
        <v>1183</v>
      </c>
      <c r="B795" s="15">
        <v>45778</v>
      </c>
      <c r="C795" t="s">
        <v>23</v>
      </c>
      <c r="D795" t="s">
        <v>24</v>
      </c>
      <c r="E795" t="s">
        <v>52</v>
      </c>
      <c r="F795" t="s">
        <v>50</v>
      </c>
      <c r="G795" t="s">
        <v>8</v>
      </c>
      <c r="H795" s="8">
        <v>164</v>
      </c>
      <c r="I795" s="9">
        <v>125353.23</v>
      </c>
      <c r="J795" s="9">
        <v>6083.9</v>
      </c>
      <c r="K795" s="9">
        <v>684.91</v>
      </c>
      <c r="L795" s="9">
        <v>118584.43</v>
      </c>
      <c r="M795" s="9">
        <v>113091.78</v>
      </c>
      <c r="N795" s="6" t="str">
        <f>_xlfn.XLOOKUP(tblSales[[#This Row],[ProductID]],tblProducts[ProductID],tblProducts[ProductName],"Not Found")</f>
        <v>GlucoRelief</v>
      </c>
      <c r="O795" s="8">
        <f>YEAR(tblSales[[#This Row],[Month]])</f>
        <v>2025</v>
      </c>
      <c r="P795" s="8">
        <f>MONTH(tblSales[[#This Row],[Month]])</f>
        <v>5</v>
      </c>
      <c r="Q795" s="6">
        <f>IFERROR(tblSales[[#This Row],[NetSalesTRY]]/tblSales[[#This Row],[Units]],0)</f>
        <v>723.07579268292682</v>
      </c>
      <c r="R795" s="17">
        <f>IFERROR(tblSales[[#This Row],[NetSalesTRY]]/tblSales[[#This Row],[TargetTRY]],0)</f>
        <v>1.0485680745320305</v>
      </c>
      <c r="S795" s="6">
        <f>tblSales[[#This Row],[NetSalesTRY]]-tblSales[[#This Row],[TargetTRY]]</f>
        <v>5492.6499999999942</v>
      </c>
      <c r="T795" s="6">
        <f>MAX(tblSales[[#This Row],[TargetTRY]]-tblSales[[#This Row],[NetSalesTRY]],0)</f>
        <v>0</v>
      </c>
    </row>
    <row r="796" spans="1:20">
      <c r="A796" t="s">
        <v>1184</v>
      </c>
      <c r="B796" s="15">
        <v>45778</v>
      </c>
      <c r="C796" t="s">
        <v>23</v>
      </c>
      <c r="D796" t="s">
        <v>24</v>
      </c>
      <c r="E796" t="s">
        <v>52</v>
      </c>
      <c r="F796" t="s">
        <v>50</v>
      </c>
      <c r="G796" t="s">
        <v>11</v>
      </c>
      <c r="H796" s="8">
        <v>188</v>
      </c>
      <c r="I796" s="9">
        <v>116808.25</v>
      </c>
      <c r="J796" s="9">
        <v>4509.45</v>
      </c>
      <c r="K796" s="9">
        <v>947.05</v>
      </c>
      <c r="L796" s="9">
        <v>111351.75</v>
      </c>
      <c r="M796" s="9">
        <v>107158.97</v>
      </c>
      <c r="N796" s="6" t="str">
        <f>_xlfn.XLOOKUP(tblSales[[#This Row],[ProductID]],tblProducts[ProductID],tblProducts[ProductName],"Not Found")</f>
        <v>RespiraX</v>
      </c>
      <c r="O796" s="8">
        <f>YEAR(tblSales[[#This Row],[Month]])</f>
        <v>2025</v>
      </c>
      <c r="P796" s="8">
        <f>MONTH(tblSales[[#This Row],[Month]])</f>
        <v>5</v>
      </c>
      <c r="Q796" s="6">
        <f>IFERROR(tblSales[[#This Row],[NetSalesTRY]]/tblSales[[#This Row],[Units]],0)</f>
        <v>592.29654255319144</v>
      </c>
      <c r="R796" s="17">
        <f>IFERROR(tblSales[[#This Row],[NetSalesTRY]]/tblSales[[#This Row],[TargetTRY]],0)</f>
        <v>1.0391267291949522</v>
      </c>
      <c r="S796" s="6">
        <f>tblSales[[#This Row],[NetSalesTRY]]-tblSales[[#This Row],[TargetTRY]]</f>
        <v>4192.7799999999988</v>
      </c>
      <c r="T796" s="6">
        <f>MAX(tblSales[[#This Row],[TargetTRY]]-tblSales[[#This Row],[NetSalesTRY]],0)</f>
        <v>0</v>
      </c>
    </row>
    <row r="797" spans="1:20">
      <c r="A797" t="s">
        <v>1185</v>
      </c>
      <c r="B797" s="15">
        <v>45778</v>
      </c>
      <c r="C797" t="s">
        <v>23</v>
      </c>
      <c r="D797" t="s">
        <v>24</v>
      </c>
      <c r="E797" t="s">
        <v>52</v>
      </c>
      <c r="F797" t="s">
        <v>50</v>
      </c>
      <c r="G797" t="s">
        <v>14</v>
      </c>
      <c r="H797" s="8">
        <v>103</v>
      </c>
      <c r="I797" s="9">
        <v>114218.98</v>
      </c>
      <c r="J797" s="9">
        <v>6366.41</v>
      </c>
      <c r="K797" s="9">
        <v>1521.76</v>
      </c>
      <c r="L797" s="9">
        <v>106330.81</v>
      </c>
      <c r="M797" s="9">
        <v>105214</v>
      </c>
      <c r="N797" s="6" t="str">
        <f>_xlfn.XLOOKUP(tblSales[[#This Row],[ProductID]],tblProducts[ProductID],tblProducts[ProductName],"Not Found")</f>
        <v>NeuroCalm</v>
      </c>
      <c r="O797" s="8">
        <f>YEAR(tblSales[[#This Row],[Month]])</f>
        <v>2025</v>
      </c>
      <c r="P797" s="8">
        <f>MONTH(tblSales[[#This Row],[Month]])</f>
        <v>5</v>
      </c>
      <c r="Q797" s="6">
        <f>IFERROR(tblSales[[#This Row],[NetSalesTRY]]/tblSales[[#This Row],[Units]],0)</f>
        <v>1032.3379611650485</v>
      </c>
      <c r="R797" s="17">
        <f>IFERROR(tblSales[[#This Row],[NetSalesTRY]]/tblSales[[#This Row],[TargetTRY]],0)</f>
        <v>1.0106146520425039</v>
      </c>
      <c r="S797" s="6">
        <f>tblSales[[#This Row],[NetSalesTRY]]-tblSales[[#This Row],[TargetTRY]]</f>
        <v>1116.8099999999977</v>
      </c>
      <c r="T797" s="6">
        <f>MAX(tblSales[[#This Row],[TargetTRY]]-tblSales[[#This Row],[NetSalesTRY]],0)</f>
        <v>0</v>
      </c>
    </row>
    <row r="798" spans="1:20">
      <c r="A798" t="s">
        <v>1186</v>
      </c>
      <c r="B798" s="15">
        <v>45778</v>
      </c>
      <c r="C798" t="s">
        <v>23</v>
      </c>
      <c r="D798" t="s">
        <v>24</v>
      </c>
      <c r="E798" t="s">
        <v>55</v>
      </c>
      <c r="F798" t="s">
        <v>53</v>
      </c>
      <c r="G798" t="s">
        <v>5</v>
      </c>
      <c r="H798" s="8">
        <v>137</v>
      </c>
      <c r="I798" s="9">
        <v>134080.51999999999</v>
      </c>
      <c r="J798" s="9">
        <v>6786.79</v>
      </c>
      <c r="K798" s="9">
        <v>1293.8599999999999</v>
      </c>
      <c r="L798" s="9">
        <v>125999.87</v>
      </c>
      <c r="M798" s="9">
        <v>126301.51</v>
      </c>
      <c r="N798" s="6" t="str">
        <f>_xlfn.XLOOKUP(tblSales[[#This Row],[ProductID]],tblProducts[ProductID],tblProducts[ProductName],"Not Found")</f>
        <v>Cardiovan</v>
      </c>
      <c r="O798" s="8">
        <f>YEAR(tblSales[[#This Row],[Month]])</f>
        <v>2025</v>
      </c>
      <c r="P798" s="8">
        <f>MONTH(tblSales[[#This Row],[Month]])</f>
        <v>5</v>
      </c>
      <c r="Q798" s="6">
        <f>IFERROR(tblSales[[#This Row],[NetSalesTRY]]/tblSales[[#This Row],[Units]],0)</f>
        <v>919.70708029197078</v>
      </c>
      <c r="R798" s="17">
        <f>IFERROR(tblSales[[#This Row],[NetSalesTRY]]/tblSales[[#This Row],[TargetTRY]],0)</f>
        <v>0.99761174668458041</v>
      </c>
      <c r="S798" s="6">
        <f>tblSales[[#This Row],[NetSalesTRY]]-tblSales[[#This Row],[TargetTRY]]</f>
        <v>-301.63999999999942</v>
      </c>
      <c r="T798" s="6">
        <f>MAX(tblSales[[#This Row],[TargetTRY]]-tblSales[[#This Row],[NetSalesTRY]],0)</f>
        <v>301.63999999999942</v>
      </c>
    </row>
    <row r="799" spans="1:20">
      <c r="A799" t="s">
        <v>1187</v>
      </c>
      <c r="B799" s="15">
        <v>45778</v>
      </c>
      <c r="C799" t="s">
        <v>23</v>
      </c>
      <c r="D799" t="s">
        <v>24</v>
      </c>
      <c r="E799" t="s">
        <v>55</v>
      </c>
      <c r="F799" t="s">
        <v>53</v>
      </c>
      <c r="G799" t="s">
        <v>8</v>
      </c>
      <c r="H799" s="8">
        <v>160</v>
      </c>
      <c r="I799" s="9">
        <v>122559.11</v>
      </c>
      <c r="J799" s="9">
        <v>8027.57</v>
      </c>
      <c r="K799" s="9">
        <v>1412.92</v>
      </c>
      <c r="L799" s="9">
        <v>113118.63</v>
      </c>
      <c r="M799" s="9">
        <v>116094.24</v>
      </c>
      <c r="N799" s="6" t="str">
        <f>_xlfn.XLOOKUP(tblSales[[#This Row],[ProductID]],tblProducts[ProductID],tblProducts[ProductName],"Not Found")</f>
        <v>GlucoRelief</v>
      </c>
      <c r="O799" s="8">
        <f>YEAR(tblSales[[#This Row],[Month]])</f>
        <v>2025</v>
      </c>
      <c r="P799" s="8">
        <f>MONTH(tblSales[[#This Row],[Month]])</f>
        <v>5</v>
      </c>
      <c r="Q799" s="6">
        <f>IFERROR(tblSales[[#This Row],[NetSalesTRY]]/tblSales[[#This Row],[Units]],0)</f>
        <v>706.99143750000007</v>
      </c>
      <c r="R799" s="17">
        <f>IFERROR(tblSales[[#This Row],[NetSalesTRY]]/tblSales[[#This Row],[TargetTRY]],0)</f>
        <v>0.97436901262284847</v>
      </c>
      <c r="S799" s="6">
        <f>tblSales[[#This Row],[NetSalesTRY]]-tblSales[[#This Row],[TargetTRY]]</f>
        <v>-2975.6100000000006</v>
      </c>
      <c r="T799" s="6">
        <f>MAX(tblSales[[#This Row],[TargetTRY]]-tblSales[[#This Row],[NetSalesTRY]],0)</f>
        <v>2975.6100000000006</v>
      </c>
    </row>
    <row r="800" spans="1:20">
      <c r="A800" t="s">
        <v>1188</v>
      </c>
      <c r="B800" s="15">
        <v>45778</v>
      </c>
      <c r="C800" t="s">
        <v>23</v>
      </c>
      <c r="D800" t="s">
        <v>24</v>
      </c>
      <c r="E800" t="s">
        <v>55</v>
      </c>
      <c r="F800" t="s">
        <v>53</v>
      </c>
      <c r="G800" t="s">
        <v>11</v>
      </c>
      <c r="H800" s="8">
        <v>189</v>
      </c>
      <c r="I800" s="9">
        <v>118870.53</v>
      </c>
      <c r="J800" s="9">
        <v>6222.25</v>
      </c>
      <c r="K800" s="9">
        <v>707.42</v>
      </c>
      <c r="L800" s="9">
        <v>111940.86</v>
      </c>
      <c r="M800" s="9">
        <v>109498.75</v>
      </c>
      <c r="N800" s="6" t="str">
        <f>_xlfn.XLOOKUP(tblSales[[#This Row],[ProductID]],tblProducts[ProductID],tblProducts[ProductName],"Not Found")</f>
        <v>RespiraX</v>
      </c>
      <c r="O800" s="8">
        <f>YEAR(tblSales[[#This Row],[Month]])</f>
        <v>2025</v>
      </c>
      <c r="P800" s="8">
        <f>MONTH(tblSales[[#This Row],[Month]])</f>
        <v>5</v>
      </c>
      <c r="Q800" s="6">
        <f>IFERROR(tblSales[[#This Row],[NetSalesTRY]]/tblSales[[#This Row],[Units]],0)</f>
        <v>592.27968253968254</v>
      </c>
      <c r="R800" s="17">
        <f>IFERROR(tblSales[[#This Row],[NetSalesTRY]]/tblSales[[#This Row],[TargetTRY]],0)</f>
        <v>1.0223026290254456</v>
      </c>
      <c r="S800" s="6">
        <f>tblSales[[#This Row],[NetSalesTRY]]-tblSales[[#This Row],[TargetTRY]]</f>
        <v>2442.1100000000006</v>
      </c>
      <c r="T800" s="6">
        <f>MAX(tblSales[[#This Row],[TargetTRY]]-tblSales[[#This Row],[NetSalesTRY]],0)</f>
        <v>0</v>
      </c>
    </row>
    <row r="801" spans="1:20">
      <c r="A801" t="s">
        <v>1189</v>
      </c>
      <c r="B801" s="15">
        <v>45778</v>
      </c>
      <c r="C801" t="s">
        <v>23</v>
      </c>
      <c r="D801" t="s">
        <v>24</v>
      </c>
      <c r="E801" t="s">
        <v>55</v>
      </c>
      <c r="F801" t="s">
        <v>53</v>
      </c>
      <c r="G801" t="s">
        <v>14</v>
      </c>
      <c r="H801" s="8">
        <v>98</v>
      </c>
      <c r="I801" s="9">
        <v>108835.79</v>
      </c>
      <c r="J801" s="9">
        <v>4466.8599999999997</v>
      </c>
      <c r="K801" s="9">
        <v>1378.44</v>
      </c>
      <c r="L801" s="9">
        <v>102990.49</v>
      </c>
      <c r="M801" s="9">
        <v>105366.13</v>
      </c>
      <c r="N801" s="6" t="str">
        <f>_xlfn.XLOOKUP(tblSales[[#This Row],[ProductID]],tblProducts[ProductID],tblProducts[ProductName],"Not Found")</f>
        <v>NeuroCalm</v>
      </c>
      <c r="O801" s="8">
        <f>YEAR(tblSales[[#This Row],[Month]])</f>
        <v>2025</v>
      </c>
      <c r="P801" s="8">
        <f>MONTH(tblSales[[#This Row],[Month]])</f>
        <v>5</v>
      </c>
      <c r="Q801" s="6">
        <f>IFERROR(tblSales[[#This Row],[NetSalesTRY]]/tblSales[[#This Row],[Units]],0)</f>
        <v>1050.9233673469389</v>
      </c>
      <c r="R801" s="17">
        <f>IFERROR(tblSales[[#This Row],[NetSalesTRY]]/tblSales[[#This Row],[TargetTRY]],0)</f>
        <v>0.97745347579910169</v>
      </c>
      <c r="S801" s="6">
        <f>tblSales[[#This Row],[NetSalesTRY]]-tblSales[[#This Row],[TargetTRY]]</f>
        <v>-2375.6399999999994</v>
      </c>
      <c r="T801" s="6">
        <f>MAX(tblSales[[#This Row],[TargetTRY]]-tblSales[[#This Row],[NetSalesTRY]],0)</f>
        <v>2375.6399999999994</v>
      </c>
    </row>
    <row r="802" spans="1:20">
      <c r="A802" t="s">
        <v>1190</v>
      </c>
      <c r="B802" s="15">
        <v>45778</v>
      </c>
      <c r="C802" t="s">
        <v>23</v>
      </c>
      <c r="D802" t="s">
        <v>24</v>
      </c>
      <c r="E802" t="s">
        <v>58</v>
      </c>
      <c r="F802" t="s">
        <v>56</v>
      </c>
      <c r="G802" t="s">
        <v>5</v>
      </c>
      <c r="H802" s="8">
        <v>141</v>
      </c>
      <c r="I802" s="9">
        <v>138490.35999999999</v>
      </c>
      <c r="J802" s="9">
        <v>6571.45</v>
      </c>
      <c r="K802" s="9">
        <v>1277.75</v>
      </c>
      <c r="L802" s="9">
        <v>130641.16</v>
      </c>
      <c r="M802" s="9">
        <v>129995.38</v>
      </c>
      <c r="N802" s="6" t="str">
        <f>_xlfn.XLOOKUP(tblSales[[#This Row],[ProductID]],tblProducts[ProductID],tblProducts[ProductName],"Not Found")</f>
        <v>Cardiovan</v>
      </c>
      <c r="O802" s="8">
        <f>YEAR(tblSales[[#This Row],[Month]])</f>
        <v>2025</v>
      </c>
      <c r="P802" s="8">
        <f>MONTH(tblSales[[#This Row],[Month]])</f>
        <v>5</v>
      </c>
      <c r="Q802" s="6">
        <f>IFERROR(tblSales[[#This Row],[NetSalesTRY]]/tblSales[[#This Row],[Units]],0)</f>
        <v>926.53304964539007</v>
      </c>
      <c r="R802" s="17">
        <f>IFERROR(tblSales[[#This Row],[NetSalesTRY]]/tblSales[[#This Row],[TargetTRY]],0)</f>
        <v>1.0049677150064871</v>
      </c>
      <c r="S802" s="6">
        <f>tblSales[[#This Row],[NetSalesTRY]]-tblSales[[#This Row],[TargetTRY]]</f>
        <v>645.77999999999884</v>
      </c>
      <c r="T802" s="6">
        <f>MAX(tblSales[[#This Row],[TargetTRY]]-tblSales[[#This Row],[NetSalesTRY]],0)</f>
        <v>0</v>
      </c>
    </row>
    <row r="803" spans="1:20">
      <c r="A803" t="s">
        <v>1191</v>
      </c>
      <c r="B803" s="15">
        <v>45778</v>
      </c>
      <c r="C803" t="s">
        <v>23</v>
      </c>
      <c r="D803" t="s">
        <v>24</v>
      </c>
      <c r="E803" t="s">
        <v>58</v>
      </c>
      <c r="F803" t="s">
        <v>56</v>
      </c>
      <c r="G803" t="s">
        <v>8</v>
      </c>
      <c r="H803" s="8">
        <v>165</v>
      </c>
      <c r="I803" s="9">
        <v>126829.82</v>
      </c>
      <c r="J803" s="9">
        <v>5112.21</v>
      </c>
      <c r="K803" s="9">
        <v>1701.19</v>
      </c>
      <c r="L803" s="9">
        <v>120016.42</v>
      </c>
      <c r="M803" s="9">
        <v>119249.1</v>
      </c>
      <c r="N803" s="6" t="str">
        <f>_xlfn.XLOOKUP(tblSales[[#This Row],[ProductID]],tblProducts[ProductID],tblProducts[ProductName],"Not Found")</f>
        <v>GlucoRelief</v>
      </c>
      <c r="O803" s="8">
        <f>YEAR(tblSales[[#This Row],[Month]])</f>
        <v>2025</v>
      </c>
      <c r="P803" s="8">
        <f>MONTH(tblSales[[#This Row],[Month]])</f>
        <v>5</v>
      </c>
      <c r="Q803" s="6">
        <f>IFERROR(tblSales[[#This Row],[NetSalesTRY]]/tblSales[[#This Row],[Units]],0)</f>
        <v>727.37224242424236</v>
      </c>
      <c r="R803" s="17">
        <f>IFERROR(tblSales[[#This Row],[NetSalesTRY]]/tblSales[[#This Row],[TargetTRY]],0)</f>
        <v>1.0064345978292497</v>
      </c>
      <c r="S803" s="6">
        <f>tblSales[[#This Row],[NetSalesTRY]]-tblSales[[#This Row],[TargetTRY]]</f>
        <v>767.31999999999243</v>
      </c>
      <c r="T803" s="6">
        <f>MAX(tblSales[[#This Row],[TargetTRY]]-tblSales[[#This Row],[NetSalesTRY]],0)</f>
        <v>0</v>
      </c>
    </row>
    <row r="804" spans="1:20">
      <c r="A804" t="s">
        <v>1192</v>
      </c>
      <c r="B804" s="15">
        <v>45778</v>
      </c>
      <c r="C804" t="s">
        <v>23</v>
      </c>
      <c r="D804" t="s">
        <v>24</v>
      </c>
      <c r="E804" t="s">
        <v>58</v>
      </c>
      <c r="F804" t="s">
        <v>56</v>
      </c>
      <c r="G804" t="s">
        <v>11</v>
      </c>
      <c r="H804" s="8">
        <v>193</v>
      </c>
      <c r="I804" s="9">
        <v>120916.21</v>
      </c>
      <c r="J804" s="9">
        <v>8822.0499999999993</v>
      </c>
      <c r="K804" s="9">
        <v>1167.8399999999999</v>
      </c>
      <c r="L804" s="9">
        <v>110926.32</v>
      </c>
      <c r="M804" s="9">
        <v>110591.4</v>
      </c>
      <c r="N804" s="6" t="str">
        <f>_xlfn.XLOOKUP(tblSales[[#This Row],[ProductID]],tblProducts[ProductID],tblProducts[ProductName],"Not Found")</f>
        <v>RespiraX</v>
      </c>
      <c r="O804" s="8">
        <f>YEAR(tblSales[[#This Row],[Month]])</f>
        <v>2025</v>
      </c>
      <c r="P804" s="8">
        <f>MONTH(tblSales[[#This Row],[Month]])</f>
        <v>5</v>
      </c>
      <c r="Q804" s="6">
        <f>IFERROR(tblSales[[#This Row],[NetSalesTRY]]/tblSales[[#This Row],[Units]],0)</f>
        <v>574.74777202072539</v>
      </c>
      <c r="R804" s="17">
        <f>IFERROR(tblSales[[#This Row],[NetSalesTRY]]/tblSales[[#This Row],[TargetTRY]],0)</f>
        <v>1.0030284452498115</v>
      </c>
      <c r="S804" s="6">
        <f>tblSales[[#This Row],[NetSalesTRY]]-tblSales[[#This Row],[TargetTRY]]</f>
        <v>334.92000000001281</v>
      </c>
      <c r="T804" s="6">
        <f>MAX(tblSales[[#This Row],[TargetTRY]]-tblSales[[#This Row],[NetSalesTRY]],0)</f>
        <v>0</v>
      </c>
    </row>
    <row r="805" spans="1:20">
      <c r="A805" t="s">
        <v>1193</v>
      </c>
      <c r="B805" s="15">
        <v>45778</v>
      </c>
      <c r="C805" t="s">
        <v>23</v>
      </c>
      <c r="D805" t="s">
        <v>24</v>
      </c>
      <c r="E805" t="s">
        <v>58</v>
      </c>
      <c r="F805" t="s">
        <v>56</v>
      </c>
      <c r="G805" t="s">
        <v>14</v>
      </c>
      <c r="H805" s="8">
        <v>101</v>
      </c>
      <c r="I805" s="9">
        <v>110668.97</v>
      </c>
      <c r="J805" s="9">
        <v>6370.49</v>
      </c>
      <c r="K805" s="9">
        <v>1148.04</v>
      </c>
      <c r="L805" s="9">
        <v>103150.44</v>
      </c>
      <c r="M805" s="9">
        <v>107547.39</v>
      </c>
      <c r="N805" s="6" t="str">
        <f>_xlfn.XLOOKUP(tblSales[[#This Row],[ProductID]],tblProducts[ProductID],tblProducts[ProductName],"Not Found")</f>
        <v>NeuroCalm</v>
      </c>
      <c r="O805" s="8">
        <f>YEAR(tblSales[[#This Row],[Month]])</f>
        <v>2025</v>
      </c>
      <c r="P805" s="8">
        <f>MONTH(tblSales[[#This Row],[Month]])</f>
        <v>5</v>
      </c>
      <c r="Q805" s="6">
        <f>IFERROR(tblSales[[#This Row],[NetSalesTRY]]/tblSales[[#This Row],[Units]],0)</f>
        <v>1021.2914851485149</v>
      </c>
      <c r="R805" s="17">
        <f>IFERROR(tblSales[[#This Row],[NetSalesTRY]]/tblSales[[#This Row],[TargetTRY]],0)</f>
        <v>0.95911616265164601</v>
      </c>
      <c r="S805" s="6">
        <f>tblSales[[#This Row],[NetSalesTRY]]-tblSales[[#This Row],[TargetTRY]]</f>
        <v>-4396.9499999999971</v>
      </c>
      <c r="T805" s="6">
        <f>MAX(tblSales[[#This Row],[TargetTRY]]-tblSales[[#This Row],[NetSalesTRY]],0)</f>
        <v>4396.9499999999971</v>
      </c>
    </row>
    <row r="806" spans="1:20">
      <c r="A806" t="s">
        <v>1194</v>
      </c>
      <c r="B806" s="15">
        <v>45778</v>
      </c>
      <c r="C806" t="s">
        <v>25</v>
      </c>
      <c r="D806" t="s">
        <v>26</v>
      </c>
      <c r="E806" t="s">
        <v>61</v>
      </c>
      <c r="F806" t="s">
        <v>59</v>
      </c>
      <c r="G806" t="s">
        <v>5</v>
      </c>
      <c r="H806" s="8">
        <v>102</v>
      </c>
      <c r="I806" s="9">
        <v>101311.59</v>
      </c>
      <c r="J806" s="9">
        <v>5041.46</v>
      </c>
      <c r="K806" s="9">
        <v>949.46</v>
      </c>
      <c r="L806" s="9">
        <v>95320.67</v>
      </c>
      <c r="M806" s="9">
        <v>103431.14</v>
      </c>
      <c r="N806" s="6" t="str">
        <f>_xlfn.XLOOKUP(tblSales[[#This Row],[ProductID]],tblProducts[ProductID],tblProducts[ProductName],"Not Found")</f>
        <v>Cardiovan</v>
      </c>
      <c r="O806" s="8">
        <f>YEAR(tblSales[[#This Row],[Month]])</f>
        <v>2025</v>
      </c>
      <c r="P806" s="8">
        <f>MONTH(tblSales[[#This Row],[Month]])</f>
        <v>5</v>
      </c>
      <c r="Q806" s="6">
        <f>IFERROR(tblSales[[#This Row],[NetSalesTRY]]/tblSales[[#This Row],[Units]],0)</f>
        <v>934.51637254901959</v>
      </c>
      <c r="R806" s="17">
        <f>IFERROR(tblSales[[#This Row],[NetSalesTRY]]/tblSales[[#This Row],[TargetTRY]],0)</f>
        <v>0.92158580094930787</v>
      </c>
      <c r="S806" s="6">
        <f>tblSales[[#This Row],[NetSalesTRY]]-tblSales[[#This Row],[TargetTRY]]</f>
        <v>-8110.4700000000012</v>
      </c>
      <c r="T806" s="6">
        <f>MAX(tblSales[[#This Row],[TargetTRY]]-tblSales[[#This Row],[NetSalesTRY]],0)</f>
        <v>8110.4700000000012</v>
      </c>
    </row>
    <row r="807" spans="1:20">
      <c r="A807" t="s">
        <v>1195</v>
      </c>
      <c r="B807" s="15">
        <v>45778</v>
      </c>
      <c r="C807" t="s">
        <v>25</v>
      </c>
      <c r="D807" t="s">
        <v>26</v>
      </c>
      <c r="E807" t="s">
        <v>61</v>
      </c>
      <c r="F807" t="s">
        <v>59</v>
      </c>
      <c r="G807" t="s">
        <v>8</v>
      </c>
      <c r="H807" s="8">
        <v>127</v>
      </c>
      <c r="I807" s="9">
        <v>96530.38</v>
      </c>
      <c r="J807" s="9">
        <v>4761.05</v>
      </c>
      <c r="K807" s="9">
        <v>1025.51</v>
      </c>
      <c r="L807" s="9">
        <v>90743.81</v>
      </c>
      <c r="M807" s="9">
        <v>93121.68</v>
      </c>
      <c r="N807" s="6" t="str">
        <f>_xlfn.XLOOKUP(tblSales[[#This Row],[ProductID]],tblProducts[ProductID],tblProducts[ProductName],"Not Found")</f>
        <v>GlucoRelief</v>
      </c>
      <c r="O807" s="8">
        <f>YEAR(tblSales[[#This Row],[Month]])</f>
        <v>2025</v>
      </c>
      <c r="P807" s="8">
        <f>MONTH(tblSales[[#This Row],[Month]])</f>
        <v>5</v>
      </c>
      <c r="Q807" s="6">
        <f>IFERROR(tblSales[[#This Row],[NetSalesTRY]]/tblSales[[#This Row],[Units]],0)</f>
        <v>714.51818897637793</v>
      </c>
      <c r="R807" s="17">
        <f>IFERROR(tblSales[[#This Row],[NetSalesTRY]]/tblSales[[#This Row],[TargetTRY]],0)</f>
        <v>0.9744649151518745</v>
      </c>
      <c r="S807" s="6">
        <f>tblSales[[#This Row],[NetSalesTRY]]-tblSales[[#This Row],[TargetTRY]]</f>
        <v>-2377.8699999999953</v>
      </c>
      <c r="T807" s="6">
        <f>MAX(tblSales[[#This Row],[TargetTRY]]-tblSales[[#This Row],[NetSalesTRY]],0)</f>
        <v>2377.8699999999953</v>
      </c>
    </row>
    <row r="808" spans="1:20">
      <c r="A808" t="s">
        <v>1196</v>
      </c>
      <c r="B808" s="15">
        <v>45778</v>
      </c>
      <c r="C808" t="s">
        <v>25</v>
      </c>
      <c r="D808" t="s">
        <v>26</v>
      </c>
      <c r="E808" t="s">
        <v>61</v>
      </c>
      <c r="F808" t="s">
        <v>59</v>
      </c>
      <c r="G808" t="s">
        <v>11</v>
      </c>
      <c r="H808" s="8">
        <v>141</v>
      </c>
      <c r="I808" s="9">
        <v>88515.92</v>
      </c>
      <c r="J808" s="9">
        <v>4866.72</v>
      </c>
      <c r="K808" s="9">
        <v>1063.1400000000001</v>
      </c>
      <c r="L808" s="9">
        <v>82586.070000000007</v>
      </c>
      <c r="M808" s="9">
        <v>87797.89</v>
      </c>
      <c r="N808" s="6" t="str">
        <f>_xlfn.XLOOKUP(tblSales[[#This Row],[ProductID]],tblProducts[ProductID],tblProducts[ProductName],"Not Found")</f>
        <v>RespiraX</v>
      </c>
      <c r="O808" s="8">
        <f>YEAR(tblSales[[#This Row],[Month]])</f>
        <v>2025</v>
      </c>
      <c r="P808" s="8">
        <f>MONTH(tblSales[[#This Row],[Month]])</f>
        <v>5</v>
      </c>
      <c r="Q808" s="6">
        <f>IFERROR(tblSales[[#This Row],[NetSalesTRY]]/tblSales[[#This Row],[Units]],0)</f>
        <v>585.71680851063832</v>
      </c>
      <c r="R808" s="17">
        <f>IFERROR(tblSales[[#This Row],[NetSalesTRY]]/tblSales[[#This Row],[TargetTRY]],0)</f>
        <v>0.94063843675514303</v>
      </c>
      <c r="S808" s="6">
        <f>tblSales[[#This Row],[NetSalesTRY]]-tblSales[[#This Row],[TargetTRY]]</f>
        <v>-5211.8199999999924</v>
      </c>
      <c r="T808" s="6">
        <f>MAX(tblSales[[#This Row],[TargetTRY]]-tblSales[[#This Row],[NetSalesTRY]],0)</f>
        <v>5211.8199999999924</v>
      </c>
    </row>
    <row r="809" spans="1:20">
      <c r="A809" t="s">
        <v>1197</v>
      </c>
      <c r="B809" s="15">
        <v>45778</v>
      </c>
      <c r="C809" t="s">
        <v>25</v>
      </c>
      <c r="D809" t="s">
        <v>26</v>
      </c>
      <c r="E809" t="s">
        <v>61</v>
      </c>
      <c r="F809" t="s">
        <v>59</v>
      </c>
      <c r="G809" t="s">
        <v>14</v>
      </c>
      <c r="H809" s="8">
        <v>78</v>
      </c>
      <c r="I809" s="9">
        <v>86171.96</v>
      </c>
      <c r="J809" s="9">
        <v>3466.91</v>
      </c>
      <c r="K809" s="9">
        <v>1203.4100000000001</v>
      </c>
      <c r="L809" s="9">
        <v>81501.64</v>
      </c>
      <c r="M809" s="9">
        <v>83710.12</v>
      </c>
      <c r="N809" s="6" t="str">
        <f>_xlfn.XLOOKUP(tblSales[[#This Row],[ProductID]],tblProducts[ProductID],tblProducts[ProductName],"Not Found")</f>
        <v>NeuroCalm</v>
      </c>
      <c r="O809" s="8">
        <f>YEAR(tblSales[[#This Row],[Month]])</f>
        <v>2025</v>
      </c>
      <c r="P809" s="8">
        <f>MONTH(tblSales[[#This Row],[Month]])</f>
        <v>5</v>
      </c>
      <c r="Q809" s="6">
        <f>IFERROR(tblSales[[#This Row],[NetSalesTRY]]/tblSales[[#This Row],[Units]],0)</f>
        <v>1044.8928205128204</v>
      </c>
      <c r="R809" s="17">
        <f>IFERROR(tblSales[[#This Row],[NetSalesTRY]]/tblSales[[#This Row],[TargetTRY]],0)</f>
        <v>0.97361752676976221</v>
      </c>
      <c r="S809" s="6">
        <f>tblSales[[#This Row],[NetSalesTRY]]-tblSales[[#This Row],[TargetTRY]]</f>
        <v>-2208.4799999999959</v>
      </c>
      <c r="T809" s="6">
        <f>MAX(tblSales[[#This Row],[TargetTRY]]-tblSales[[#This Row],[NetSalesTRY]],0)</f>
        <v>2208.4799999999959</v>
      </c>
    </row>
    <row r="810" spans="1:20">
      <c r="A810" t="s">
        <v>1198</v>
      </c>
      <c r="B810" s="15">
        <v>45778</v>
      </c>
      <c r="C810" t="s">
        <v>25</v>
      </c>
      <c r="D810" t="s">
        <v>26</v>
      </c>
      <c r="E810" t="s">
        <v>64</v>
      </c>
      <c r="F810" t="s">
        <v>62</v>
      </c>
      <c r="G810" t="s">
        <v>5</v>
      </c>
      <c r="H810" s="8">
        <v>112</v>
      </c>
      <c r="I810" s="9">
        <v>111083.41</v>
      </c>
      <c r="J810" s="9">
        <v>5189.82</v>
      </c>
      <c r="K810" s="9">
        <v>1176.98</v>
      </c>
      <c r="L810" s="9">
        <v>104716.61</v>
      </c>
      <c r="M810" s="9">
        <v>103971.34</v>
      </c>
      <c r="N810" s="6" t="str">
        <f>_xlfn.XLOOKUP(tblSales[[#This Row],[ProductID]],tblProducts[ProductID],tblProducts[ProductName],"Not Found")</f>
        <v>Cardiovan</v>
      </c>
      <c r="O810" s="8">
        <f>YEAR(tblSales[[#This Row],[Month]])</f>
        <v>2025</v>
      </c>
      <c r="P810" s="8">
        <f>MONTH(tblSales[[#This Row],[Month]])</f>
        <v>5</v>
      </c>
      <c r="Q810" s="6">
        <f>IFERROR(tblSales[[#This Row],[NetSalesTRY]]/tblSales[[#This Row],[Units]],0)</f>
        <v>934.9697321428572</v>
      </c>
      <c r="R810" s="17">
        <f>IFERROR(tblSales[[#This Row],[NetSalesTRY]]/tblSales[[#This Row],[TargetTRY]],0)</f>
        <v>1.0071680330367965</v>
      </c>
      <c r="S810" s="6">
        <f>tblSales[[#This Row],[NetSalesTRY]]-tblSales[[#This Row],[TargetTRY]]</f>
        <v>745.27000000000407</v>
      </c>
      <c r="T810" s="6">
        <f>MAX(tblSales[[#This Row],[TargetTRY]]-tblSales[[#This Row],[NetSalesTRY]],0)</f>
        <v>0</v>
      </c>
    </row>
    <row r="811" spans="1:20">
      <c r="A811" t="s">
        <v>1199</v>
      </c>
      <c r="B811" s="15">
        <v>45778</v>
      </c>
      <c r="C811" t="s">
        <v>25</v>
      </c>
      <c r="D811" t="s">
        <v>26</v>
      </c>
      <c r="E811" t="s">
        <v>64</v>
      </c>
      <c r="F811" t="s">
        <v>62</v>
      </c>
      <c r="G811" t="s">
        <v>8</v>
      </c>
      <c r="H811" s="8">
        <v>135</v>
      </c>
      <c r="I811" s="9">
        <v>101825</v>
      </c>
      <c r="J811" s="9">
        <v>4489.43</v>
      </c>
      <c r="K811" s="9">
        <v>1230.1400000000001</v>
      </c>
      <c r="L811" s="9">
        <v>96105.43</v>
      </c>
      <c r="M811" s="9">
        <v>94027.91</v>
      </c>
      <c r="N811" s="6" t="str">
        <f>_xlfn.XLOOKUP(tblSales[[#This Row],[ProductID]],tblProducts[ProductID],tblProducts[ProductName],"Not Found")</f>
        <v>GlucoRelief</v>
      </c>
      <c r="O811" s="8">
        <f>YEAR(tblSales[[#This Row],[Month]])</f>
        <v>2025</v>
      </c>
      <c r="P811" s="8">
        <f>MONTH(tblSales[[#This Row],[Month]])</f>
        <v>5</v>
      </c>
      <c r="Q811" s="6">
        <f>IFERROR(tblSales[[#This Row],[NetSalesTRY]]/tblSales[[#This Row],[Units]],0)</f>
        <v>711.892074074074</v>
      </c>
      <c r="R811" s="17">
        <f>IFERROR(tblSales[[#This Row],[NetSalesTRY]]/tblSales[[#This Row],[TargetTRY]],0)</f>
        <v>1.0220947163453913</v>
      </c>
      <c r="S811" s="6">
        <f>tblSales[[#This Row],[NetSalesTRY]]-tblSales[[#This Row],[TargetTRY]]</f>
        <v>2077.5199999999895</v>
      </c>
      <c r="T811" s="6">
        <f>MAX(tblSales[[#This Row],[TargetTRY]]-tblSales[[#This Row],[NetSalesTRY]],0)</f>
        <v>0</v>
      </c>
    </row>
    <row r="812" spans="1:20">
      <c r="A812" t="s">
        <v>1200</v>
      </c>
      <c r="B812" s="15">
        <v>45778</v>
      </c>
      <c r="C812" t="s">
        <v>25</v>
      </c>
      <c r="D812" t="s">
        <v>26</v>
      </c>
      <c r="E812" t="s">
        <v>64</v>
      </c>
      <c r="F812" t="s">
        <v>62</v>
      </c>
      <c r="G812" t="s">
        <v>11</v>
      </c>
      <c r="H812" s="8">
        <v>139</v>
      </c>
      <c r="I812" s="9">
        <v>86834.98</v>
      </c>
      <c r="J812" s="9">
        <v>6256.92</v>
      </c>
      <c r="K812" s="9">
        <v>731.28</v>
      </c>
      <c r="L812" s="9">
        <v>79846.789999999994</v>
      </c>
      <c r="M812" s="9">
        <v>86846.28</v>
      </c>
      <c r="N812" s="6" t="str">
        <f>_xlfn.XLOOKUP(tblSales[[#This Row],[ProductID]],tblProducts[ProductID],tblProducts[ProductName],"Not Found")</f>
        <v>RespiraX</v>
      </c>
      <c r="O812" s="8">
        <f>YEAR(tblSales[[#This Row],[Month]])</f>
        <v>2025</v>
      </c>
      <c r="P812" s="8">
        <f>MONTH(tblSales[[#This Row],[Month]])</f>
        <v>5</v>
      </c>
      <c r="Q812" s="6">
        <f>IFERROR(tblSales[[#This Row],[NetSalesTRY]]/tblSales[[#This Row],[Units]],0)</f>
        <v>574.43733812949631</v>
      </c>
      <c r="R812" s="17">
        <f>IFERROR(tblSales[[#This Row],[NetSalesTRY]]/tblSales[[#This Row],[TargetTRY]],0)</f>
        <v>0.91940368660580507</v>
      </c>
      <c r="S812" s="6">
        <f>tblSales[[#This Row],[NetSalesTRY]]-tblSales[[#This Row],[TargetTRY]]</f>
        <v>-6999.4900000000052</v>
      </c>
      <c r="T812" s="6">
        <f>MAX(tblSales[[#This Row],[TargetTRY]]-tblSales[[#This Row],[NetSalesTRY]],0)</f>
        <v>6999.4900000000052</v>
      </c>
    </row>
    <row r="813" spans="1:20">
      <c r="A813" t="s">
        <v>1201</v>
      </c>
      <c r="B813" s="15">
        <v>45778</v>
      </c>
      <c r="C813" t="s">
        <v>25</v>
      </c>
      <c r="D813" t="s">
        <v>26</v>
      </c>
      <c r="E813" t="s">
        <v>64</v>
      </c>
      <c r="F813" t="s">
        <v>62</v>
      </c>
      <c r="G813" t="s">
        <v>14</v>
      </c>
      <c r="H813" s="8">
        <v>83</v>
      </c>
      <c r="I813" s="9">
        <v>90397.89</v>
      </c>
      <c r="J813" s="9">
        <v>3888.68</v>
      </c>
      <c r="K813" s="9">
        <v>1051.01</v>
      </c>
      <c r="L813" s="9">
        <v>85458.19</v>
      </c>
      <c r="M813" s="9">
        <v>83261.009999999995</v>
      </c>
      <c r="N813" s="6" t="str">
        <f>_xlfn.XLOOKUP(tblSales[[#This Row],[ProductID]],tblProducts[ProductID],tblProducts[ProductName],"Not Found")</f>
        <v>NeuroCalm</v>
      </c>
      <c r="O813" s="8">
        <f>YEAR(tblSales[[#This Row],[Month]])</f>
        <v>2025</v>
      </c>
      <c r="P813" s="8">
        <f>MONTH(tblSales[[#This Row],[Month]])</f>
        <v>5</v>
      </c>
      <c r="Q813" s="6">
        <f>IFERROR(tblSales[[#This Row],[NetSalesTRY]]/tblSales[[#This Row],[Units]],0)</f>
        <v>1029.6167469879517</v>
      </c>
      <c r="R813" s="17">
        <f>IFERROR(tblSales[[#This Row],[NetSalesTRY]]/tblSales[[#This Row],[TargetTRY]],0)</f>
        <v>1.0263890625395971</v>
      </c>
      <c r="S813" s="6">
        <f>tblSales[[#This Row],[NetSalesTRY]]-tblSales[[#This Row],[TargetTRY]]</f>
        <v>2197.1800000000076</v>
      </c>
      <c r="T813" s="6">
        <f>MAX(tblSales[[#This Row],[TargetTRY]]-tblSales[[#This Row],[NetSalesTRY]],0)</f>
        <v>0</v>
      </c>
    </row>
    <row r="814" spans="1:20">
      <c r="A814" t="s">
        <v>1202</v>
      </c>
      <c r="B814" s="15">
        <v>45778</v>
      </c>
      <c r="C814" t="s">
        <v>25</v>
      </c>
      <c r="D814" t="s">
        <v>26</v>
      </c>
      <c r="E814" t="s">
        <v>67</v>
      </c>
      <c r="F814" t="s">
        <v>65</v>
      </c>
      <c r="G814" t="s">
        <v>5</v>
      </c>
      <c r="H814" s="8">
        <v>119</v>
      </c>
      <c r="I814" s="9">
        <v>117376.14</v>
      </c>
      <c r="J814" s="9">
        <v>4507.87</v>
      </c>
      <c r="K814" s="9">
        <v>1128.47</v>
      </c>
      <c r="L814" s="9">
        <v>111739.79</v>
      </c>
      <c r="M814" s="9">
        <v>115404.52</v>
      </c>
      <c r="N814" s="6" t="str">
        <f>_xlfn.XLOOKUP(tblSales[[#This Row],[ProductID]],tblProducts[ProductID],tblProducts[ProductName],"Not Found")</f>
        <v>Cardiovan</v>
      </c>
      <c r="O814" s="8">
        <f>YEAR(tblSales[[#This Row],[Month]])</f>
        <v>2025</v>
      </c>
      <c r="P814" s="8">
        <f>MONTH(tblSales[[#This Row],[Month]])</f>
        <v>5</v>
      </c>
      <c r="Q814" s="6">
        <f>IFERROR(tblSales[[#This Row],[NetSalesTRY]]/tblSales[[#This Row],[Units]],0)</f>
        <v>938.98983193277309</v>
      </c>
      <c r="R814" s="17">
        <f>IFERROR(tblSales[[#This Row],[NetSalesTRY]]/tblSales[[#This Row],[TargetTRY]],0)</f>
        <v>0.96824448470475843</v>
      </c>
      <c r="S814" s="6">
        <f>tblSales[[#This Row],[NetSalesTRY]]-tblSales[[#This Row],[TargetTRY]]</f>
        <v>-3664.7300000000105</v>
      </c>
      <c r="T814" s="6">
        <f>MAX(tblSales[[#This Row],[TargetTRY]]-tblSales[[#This Row],[NetSalesTRY]],0)</f>
        <v>3664.7300000000105</v>
      </c>
    </row>
    <row r="815" spans="1:20">
      <c r="A815" t="s">
        <v>1203</v>
      </c>
      <c r="B815" s="15">
        <v>45778</v>
      </c>
      <c r="C815" t="s">
        <v>25</v>
      </c>
      <c r="D815" t="s">
        <v>26</v>
      </c>
      <c r="E815" t="s">
        <v>67</v>
      </c>
      <c r="F815" t="s">
        <v>65</v>
      </c>
      <c r="G815" t="s">
        <v>8</v>
      </c>
      <c r="H815" s="8">
        <v>140</v>
      </c>
      <c r="I815" s="9">
        <v>106349.23</v>
      </c>
      <c r="J815" s="9">
        <v>4825.8599999999997</v>
      </c>
      <c r="K815" s="9">
        <v>1381.39</v>
      </c>
      <c r="L815" s="9">
        <v>100141.98</v>
      </c>
      <c r="M815" s="9">
        <v>104702.35</v>
      </c>
      <c r="N815" s="6" t="str">
        <f>_xlfn.XLOOKUP(tblSales[[#This Row],[ProductID]],tblProducts[ProductID],tblProducts[ProductName],"Not Found")</f>
        <v>GlucoRelief</v>
      </c>
      <c r="O815" s="8">
        <f>YEAR(tblSales[[#This Row],[Month]])</f>
        <v>2025</v>
      </c>
      <c r="P815" s="8">
        <f>MONTH(tblSales[[#This Row],[Month]])</f>
        <v>5</v>
      </c>
      <c r="Q815" s="6">
        <f>IFERROR(tblSales[[#This Row],[NetSalesTRY]]/tblSales[[#This Row],[Units]],0)</f>
        <v>715.29985714285715</v>
      </c>
      <c r="R815" s="17">
        <f>IFERROR(tblSales[[#This Row],[NetSalesTRY]]/tblSales[[#This Row],[TargetTRY]],0)</f>
        <v>0.95644443510580224</v>
      </c>
      <c r="S815" s="6">
        <f>tblSales[[#This Row],[NetSalesTRY]]-tblSales[[#This Row],[TargetTRY]]</f>
        <v>-4560.3700000000099</v>
      </c>
      <c r="T815" s="6">
        <f>MAX(tblSales[[#This Row],[TargetTRY]]-tblSales[[#This Row],[NetSalesTRY]],0)</f>
        <v>4560.3700000000099</v>
      </c>
    </row>
    <row r="816" spans="1:20">
      <c r="A816" t="s">
        <v>1204</v>
      </c>
      <c r="B816" s="15">
        <v>45778</v>
      </c>
      <c r="C816" t="s">
        <v>25</v>
      </c>
      <c r="D816" t="s">
        <v>26</v>
      </c>
      <c r="E816" t="s">
        <v>67</v>
      </c>
      <c r="F816" t="s">
        <v>65</v>
      </c>
      <c r="G816" t="s">
        <v>11</v>
      </c>
      <c r="H816" s="8">
        <v>162</v>
      </c>
      <c r="I816" s="9">
        <v>101377.33</v>
      </c>
      <c r="J816" s="9">
        <v>7243.47</v>
      </c>
      <c r="K816" s="9">
        <v>1281.19</v>
      </c>
      <c r="L816" s="9">
        <v>92852.67</v>
      </c>
      <c r="M816" s="9">
        <v>97504.89</v>
      </c>
      <c r="N816" s="6" t="str">
        <f>_xlfn.XLOOKUP(tblSales[[#This Row],[ProductID]],tblProducts[ProductID],tblProducts[ProductName],"Not Found")</f>
        <v>RespiraX</v>
      </c>
      <c r="O816" s="8">
        <f>YEAR(tblSales[[#This Row],[Month]])</f>
        <v>2025</v>
      </c>
      <c r="P816" s="8">
        <f>MONTH(tblSales[[#This Row],[Month]])</f>
        <v>5</v>
      </c>
      <c r="Q816" s="6">
        <f>IFERROR(tblSales[[#This Row],[NetSalesTRY]]/tblSales[[#This Row],[Units]],0)</f>
        <v>573.16462962962964</v>
      </c>
      <c r="R816" s="17">
        <f>IFERROR(tblSales[[#This Row],[NetSalesTRY]]/tblSales[[#This Row],[TargetTRY]],0)</f>
        <v>0.95228731605153338</v>
      </c>
      <c r="S816" s="6">
        <f>tblSales[[#This Row],[NetSalesTRY]]-tblSales[[#This Row],[TargetTRY]]</f>
        <v>-4652.2200000000012</v>
      </c>
      <c r="T816" s="6">
        <f>MAX(tblSales[[#This Row],[TargetTRY]]-tblSales[[#This Row],[NetSalesTRY]],0)</f>
        <v>4652.2200000000012</v>
      </c>
    </row>
    <row r="817" spans="1:20">
      <c r="A817" t="s">
        <v>1205</v>
      </c>
      <c r="B817" s="15">
        <v>45778</v>
      </c>
      <c r="C817" t="s">
        <v>25</v>
      </c>
      <c r="D817" t="s">
        <v>26</v>
      </c>
      <c r="E817" t="s">
        <v>67</v>
      </c>
      <c r="F817" t="s">
        <v>65</v>
      </c>
      <c r="G817" t="s">
        <v>14</v>
      </c>
      <c r="H817" s="8">
        <v>86</v>
      </c>
      <c r="I817" s="9">
        <v>95296.31</v>
      </c>
      <c r="J817" s="9">
        <v>6938.06</v>
      </c>
      <c r="K817" s="9">
        <v>1094.67</v>
      </c>
      <c r="L817" s="9">
        <v>87263.57</v>
      </c>
      <c r="M817" s="9">
        <v>95274.67</v>
      </c>
      <c r="N817" s="6" t="str">
        <f>_xlfn.XLOOKUP(tblSales[[#This Row],[ProductID]],tblProducts[ProductID],tblProducts[ProductName],"Not Found")</f>
        <v>NeuroCalm</v>
      </c>
      <c r="O817" s="8">
        <f>YEAR(tblSales[[#This Row],[Month]])</f>
        <v>2025</v>
      </c>
      <c r="P817" s="8">
        <f>MONTH(tblSales[[#This Row],[Month]])</f>
        <v>5</v>
      </c>
      <c r="Q817" s="6">
        <f>IFERROR(tblSales[[#This Row],[NetSalesTRY]]/tblSales[[#This Row],[Units]],0)</f>
        <v>1014.6926744186047</v>
      </c>
      <c r="R817" s="17">
        <f>IFERROR(tblSales[[#This Row],[NetSalesTRY]]/tblSales[[#This Row],[TargetTRY]],0)</f>
        <v>0.91591574129829056</v>
      </c>
      <c r="S817" s="6">
        <f>tblSales[[#This Row],[NetSalesTRY]]-tblSales[[#This Row],[TargetTRY]]</f>
        <v>-8011.0999999999913</v>
      </c>
      <c r="T817" s="6">
        <f>MAX(tblSales[[#This Row],[TargetTRY]]-tblSales[[#This Row],[NetSalesTRY]],0)</f>
        <v>8011.0999999999913</v>
      </c>
    </row>
    <row r="818" spans="1:20">
      <c r="A818" t="s">
        <v>1206</v>
      </c>
      <c r="B818" s="15">
        <v>45809</v>
      </c>
      <c r="C818" t="s">
        <v>19</v>
      </c>
      <c r="D818" t="s">
        <v>20</v>
      </c>
      <c r="E818" t="s">
        <v>34</v>
      </c>
      <c r="F818" t="s">
        <v>32</v>
      </c>
      <c r="G818" t="s">
        <v>5</v>
      </c>
      <c r="H818" s="8">
        <v>159</v>
      </c>
      <c r="I818" s="9">
        <v>157289.22</v>
      </c>
      <c r="J818" s="9">
        <v>5730.17</v>
      </c>
      <c r="K818" s="9">
        <v>1443</v>
      </c>
      <c r="L818" s="9">
        <v>150116.06</v>
      </c>
      <c r="M818" s="9">
        <v>149764</v>
      </c>
      <c r="N818" s="6" t="str">
        <f>_xlfn.XLOOKUP(tblSales[[#This Row],[ProductID]],tblProducts[ProductID],tblProducts[ProductName],"Not Found")</f>
        <v>Cardiovan</v>
      </c>
      <c r="O818" s="8">
        <f>YEAR(tblSales[[#This Row],[Month]])</f>
        <v>2025</v>
      </c>
      <c r="P818" s="8">
        <f>MONTH(tblSales[[#This Row],[Month]])</f>
        <v>6</v>
      </c>
      <c r="Q818" s="6">
        <f>IFERROR(tblSales[[#This Row],[NetSalesTRY]]/tblSales[[#This Row],[Units]],0)</f>
        <v>944.12616352201258</v>
      </c>
      <c r="R818" s="17">
        <f>IFERROR(tblSales[[#This Row],[NetSalesTRY]]/tblSales[[#This Row],[TargetTRY]],0)</f>
        <v>1.0023507652039207</v>
      </c>
      <c r="S818" s="6">
        <f>tblSales[[#This Row],[NetSalesTRY]]-tblSales[[#This Row],[TargetTRY]]</f>
        <v>352.05999999999767</v>
      </c>
      <c r="T818" s="6">
        <f>MAX(tblSales[[#This Row],[TargetTRY]]-tblSales[[#This Row],[NetSalesTRY]],0)</f>
        <v>0</v>
      </c>
    </row>
    <row r="819" spans="1:20">
      <c r="A819" t="s">
        <v>1207</v>
      </c>
      <c r="B819" s="15">
        <v>45809</v>
      </c>
      <c r="C819" t="s">
        <v>19</v>
      </c>
      <c r="D819" t="s">
        <v>20</v>
      </c>
      <c r="E819" t="s">
        <v>34</v>
      </c>
      <c r="F819" t="s">
        <v>32</v>
      </c>
      <c r="G819" t="s">
        <v>8</v>
      </c>
      <c r="H819" s="8">
        <v>198</v>
      </c>
      <c r="I819" s="9">
        <v>151463.32</v>
      </c>
      <c r="J819" s="9">
        <v>6538.85</v>
      </c>
      <c r="K819" s="9">
        <v>958.04</v>
      </c>
      <c r="L819" s="9">
        <v>143966.43</v>
      </c>
      <c r="M819" s="9">
        <v>137682.32</v>
      </c>
      <c r="N819" s="6" t="str">
        <f>_xlfn.XLOOKUP(tblSales[[#This Row],[ProductID]],tblProducts[ProductID],tblProducts[ProductName],"Not Found")</f>
        <v>GlucoRelief</v>
      </c>
      <c r="O819" s="8">
        <f>YEAR(tblSales[[#This Row],[Month]])</f>
        <v>2025</v>
      </c>
      <c r="P819" s="8">
        <f>MONTH(tblSales[[#This Row],[Month]])</f>
        <v>6</v>
      </c>
      <c r="Q819" s="6">
        <f>IFERROR(tblSales[[#This Row],[NetSalesTRY]]/tblSales[[#This Row],[Units]],0)</f>
        <v>727.10318181818184</v>
      </c>
      <c r="R819" s="17">
        <f>IFERROR(tblSales[[#This Row],[NetSalesTRY]]/tblSales[[#This Row],[TargetTRY]],0)</f>
        <v>1.0456420984190271</v>
      </c>
      <c r="S819" s="6">
        <f>tblSales[[#This Row],[NetSalesTRY]]-tblSales[[#This Row],[TargetTRY]]</f>
        <v>6284.109999999986</v>
      </c>
      <c r="T819" s="6">
        <f>MAX(tblSales[[#This Row],[TargetTRY]]-tblSales[[#This Row],[NetSalesTRY]],0)</f>
        <v>0</v>
      </c>
    </row>
    <row r="820" spans="1:20">
      <c r="A820" t="s">
        <v>1208</v>
      </c>
      <c r="B820" s="15">
        <v>45809</v>
      </c>
      <c r="C820" t="s">
        <v>19</v>
      </c>
      <c r="D820" t="s">
        <v>20</v>
      </c>
      <c r="E820" t="s">
        <v>34</v>
      </c>
      <c r="F820" t="s">
        <v>32</v>
      </c>
      <c r="G820" t="s">
        <v>11</v>
      </c>
      <c r="H820" s="8">
        <v>218</v>
      </c>
      <c r="I820" s="9">
        <v>136384.16</v>
      </c>
      <c r="J820" s="9">
        <v>6683.86</v>
      </c>
      <c r="K820" s="9">
        <v>1606.97</v>
      </c>
      <c r="L820" s="9">
        <v>128093.33</v>
      </c>
      <c r="M820" s="9">
        <v>129693.19</v>
      </c>
      <c r="N820" s="6" t="str">
        <f>_xlfn.XLOOKUP(tblSales[[#This Row],[ProductID]],tblProducts[ProductID],tblProducts[ProductName],"Not Found")</f>
        <v>RespiraX</v>
      </c>
      <c r="O820" s="8">
        <f>YEAR(tblSales[[#This Row],[Month]])</f>
        <v>2025</v>
      </c>
      <c r="P820" s="8">
        <f>MONTH(tblSales[[#This Row],[Month]])</f>
        <v>6</v>
      </c>
      <c r="Q820" s="6">
        <f>IFERROR(tblSales[[#This Row],[NetSalesTRY]]/tblSales[[#This Row],[Units]],0)</f>
        <v>587.58408256880739</v>
      </c>
      <c r="R820" s="17">
        <f>IFERROR(tblSales[[#This Row],[NetSalesTRY]]/tblSales[[#This Row],[TargetTRY]],0)</f>
        <v>0.98766427134686097</v>
      </c>
      <c r="S820" s="6">
        <f>tblSales[[#This Row],[NetSalesTRY]]-tblSales[[#This Row],[TargetTRY]]</f>
        <v>-1599.8600000000006</v>
      </c>
      <c r="T820" s="6">
        <f>MAX(tblSales[[#This Row],[TargetTRY]]-tblSales[[#This Row],[NetSalesTRY]],0)</f>
        <v>1599.8600000000006</v>
      </c>
    </row>
    <row r="821" spans="1:20">
      <c r="A821" t="s">
        <v>1209</v>
      </c>
      <c r="B821" s="15">
        <v>45809</v>
      </c>
      <c r="C821" t="s">
        <v>19</v>
      </c>
      <c r="D821" t="s">
        <v>20</v>
      </c>
      <c r="E821" t="s">
        <v>34</v>
      </c>
      <c r="F821" t="s">
        <v>32</v>
      </c>
      <c r="G821" t="s">
        <v>14</v>
      </c>
      <c r="H821" s="8">
        <v>115</v>
      </c>
      <c r="I821" s="9">
        <v>124992.41</v>
      </c>
      <c r="J821" s="9">
        <v>6018.55</v>
      </c>
      <c r="K821" s="9">
        <v>1618.42</v>
      </c>
      <c r="L821" s="9">
        <v>117355.44</v>
      </c>
      <c r="M821" s="9">
        <v>123431.34</v>
      </c>
      <c r="N821" s="6" t="str">
        <f>_xlfn.XLOOKUP(tblSales[[#This Row],[ProductID]],tblProducts[ProductID],tblProducts[ProductName],"Not Found")</f>
        <v>NeuroCalm</v>
      </c>
      <c r="O821" s="8">
        <f>YEAR(tblSales[[#This Row],[Month]])</f>
        <v>2025</v>
      </c>
      <c r="P821" s="8">
        <f>MONTH(tblSales[[#This Row],[Month]])</f>
        <v>6</v>
      </c>
      <c r="Q821" s="6">
        <f>IFERROR(tblSales[[#This Row],[NetSalesTRY]]/tblSales[[#This Row],[Units]],0)</f>
        <v>1020.4820869565218</v>
      </c>
      <c r="R821" s="17">
        <f>IFERROR(tblSales[[#This Row],[NetSalesTRY]]/tblSales[[#This Row],[TargetTRY]],0)</f>
        <v>0.95077506247602928</v>
      </c>
      <c r="S821" s="6">
        <f>tblSales[[#This Row],[NetSalesTRY]]-tblSales[[#This Row],[TargetTRY]]</f>
        <v>-6075.8999999999942</v>
      </c>
      <c r="T821" s="6">
        <f>MAX(tblSales[[#This Row],[TargetTRY]]-tblSales[[#This Row],[NetSalesTRY]],0)</f>
        <v>6075.8999999999942</v>
      </c>
    </row>
    <row r="822" spans="1:20">
      <c r="A822" t="s">
        <v>1210</v>
      </c>
      <c r="B822" s="15">
        <v>45809</v>
      </c>
      <c r="C822" t="s">
        <v>19</v>
      </c>
      <c r="D822" t="s">
        <v>20</v>
      </c>
      <c r="E822" t="s">
        <v>37</v>
      </c>
      <c r="F822" t="s">
        <v>35</v>
      </c>
      <c r="G822" t="s">
        <v>5</v>
      </c>
      <c r="H822" s="8">
        <v>165</v>
      </c>
      <c r="I822" s="9">
        <v>162839.69</v>
      </c>
      <c r="J822" s="9">
        <v>6235.79</v>
      </c>
      <c r="K822" s="9">
        <v>1655</v>
      </c>
      <c r="L822" s="9">
        <v>154948.89000000001</v>
      </c>
      <c r="M822" s="9">
        <v>154152.26</v>
      </c>
      <c r="N822" s="6" t="str">
        <f>_xlfn.XLOOKUP(tblSales[[#This Row],[ProductID]],tblProducts[ProductID],tblProducts[ProductName],"Not Found")</f>
        <v>Cardiovan</v>
      </c>
      <c r="O822" s="8">
        <f>YEAR(tblSales[[#This Row],[Month]])</f>
        <v>2025</v>
      </c>
      <c r="P822" s="8">
        <f>MONTH(tblSales[[#This Row],[Month]])</f>
        <v>6</v>
      </c>
      <c r="Q822" s="6">
        <f>IFERROR(tblSales[[#This Row],[NetSalesTRY]]/tblSales[[#This Row],[Units]],0)</f>
        <v>939.08418181818195</v>
      </c>
      <c r="R822" s="17">
        <f>IFERROR(tblSales[[#This Row],[NetSalesTRY]]/tblSales[[#This Row],[TargetTRY]],0)</f>
        <v>1.0051678126548389</v>
      </c>
      <c r="S822" s="6">
        <f>tblSales[[#This Row],[NetSalesTRY]]-tblSales[[#This Row],[TargetTRY]]</f>
        <v>796.63000000000466</v>
      </c>
      <c r="T822" s="6">
        <f>MAX(tblSales[[#This Row],[TargetTRY]]-tblSales[[#This Row],[NetSalesTRY]],0)</f>
        <v>0</v>
      </c>
    </row>
    <row r="823" spans="1:20">
      <c r="A823" t="s">
        <v>1211</v>
      </c>
      <c r="B823" s="15">
        <v>45809</v>
      </c>
      <c r="C823" t="s">
        <v>19</v>
      </c>
      <c r="D823" t="s">
        <v>20</v>
      </c>
      <c r="E823" t="s">
        <v>37</v>
      </c>
      <c r="F823" t="s">
        <v>35</v>
      </c>
      <c r="G823" t="s">
        <v>8</v>
      </c>
      <c r="H823" s="8">
        <v>206</v>
      </c>
      <c r="I823" s="9">
        <v>157670.16</v>
      </c>
      <c r="J823" s="9">
        <v>10270.59</v>
      </c>
      <c r="K823" s="9">
        <v>2009.97</v>
      </c>
      <c r="L823" s="9">
        <v>145389.60999999999</v>
      </c>
      <c r="M823" s="9">
        <v>139110.09</v>
      </c>
      <c r="N823" s="6" t="str">
        <f>_xlfn.XLOOKUP(tblSales[[#This Row],[ProductID]],tblProducts[ProductID],tblProducts[ProductName],"Not Found")</f>
        <v>GlucoRelief</v>
      </c>
      <c r="O823" s="8">
        <f>YEAR(tblSales[[#This Row],[Month]])</f>
        <v>2025</v>
      </c>
      <c r="P823" s="8">
        <f>MONTH(tblSales[[#This Row],[Month]])</f>
        <v>6</v>
      </c>
      <c r="Q823" s="6">
        <f>IFERROR(tblSales[[#This Row],[NetSalesTRY]]/tblSales[[#This Row],[Units]],0)</f>
        <v>705.77480582524265</v>
      </c>
      <c r="R823" s="17">
        <f>IFERROR(tblSales[[#This Row],[NetSalesTRY]]/tblSales[[#This Row],[TargetTRY]],0)</f>
        <v>1.0451406508327326</v>
      </c>
      <c r="S823" s="6">
        <f>tblSales[[#This Row],[NetSalesTRY]]-tblSales[[#This Row],[TargetTRY]]</f>
        <v>6279.5199999999895</v>
      </c>
      <c r="T823" s="6">
        <f>MAX(tblSales[[#This Row],[TargetTRY]]-tblSales[[#This Row],[NetSalesTRY]],0)</f>
        <v>0</v>
      </c>
    </row>
    <row r="824" spans="1:20">
      <c r="A824" t="s">
        <v>1212</v>
      </c>
      <c r="B824" s="15">
        <v>45809</v>
      </c>
      <c r="C824" t="s">
        <v>19</v>
      </c>
      <c r="D824" t="s">
        <v>20</v>
      </c>
      <c r="E824" t="s">
        <v>37</v>
      </c>
      <c r="F824" t="s">
        <v>35</v>
      </c>
      <c r="G824" t="s">
        <v>11</v>
      </c>
      <c r="H824" s="8">
        <v>232</v>
      </c>
      <c r="I824" s="9">
        <v>143502.14000000001</v>
      </c>
      <c r="J824" s="9">
        <v>8045.84</v>
      </c>
      <c r="K824" s="9">
        <v>1189.57</v>
      </c>
      <c r="L824" s="9">
        <v>134266.72</v>
      </c>
      <c r="M824" s="9">
        <v>128002.49</v>
      </c>
      <c r="N824" s="6" t="str">
        <f>_xlfn.XLOOKUP(tblSales[[#This Row],[ProductID]],tblProducts[ProductID],tblProducts[ProductName],"Not Found")</f>
        <v>RespiraX</v>
      </c>
      <c r="O824" s="8">
        <f>YEAR(tblSales[[#This Row],[Month]])</f>
        <v>2025</v>
      </c>
      <c r="P824" s="8">
        <f>MONTH(tblSales[[#This Row],[Month]])</f>
        <v>6</v>
      </c>
      <c r="Q824" s="6">
        <f>IFERROR(tblSales[[#This Row],[NetSalesTRY]]/tblSales[[#This Row],[Units]],0)</f>
        <v>578.7358620689655</v>
      </c>
      <c r="R824" s="17">
        <f>IFERROR(tblSales[[#This Row],[NetSalesTRY]]/tblSales[[#This Row],[TargetTRY]],0)</f>
        <v>1.0489383448712599</v>
      </c>
      <c r="S824" s="6">
        <f>tblSales[[#This Row],[NetSalesTRY]]-tblSales[[#This Row],[TargetTRY]]</f>
        <v>6264.2299999999959</v>
      </c>
      <c r="T824" s="6">
        <f>MAX(tblSales[[#This Row],[TargetTRY]]-tblSales[[#This Row],[NetSalesTRY]],0)</f>
        <v>0</v>
      </c>
    </row>
    <row r="825" spans="1:20">
      <c r="A825" t="s">
        <v>1213</v>
      </c>
      <c r="B825" s="15">
        <v>45809</v>
      </c>
      <c r="C825" t="s">
        <v>19</v>
      </c>
      <c r="D825" t="s">
        <v>20</v>
      </c>
      <c r="E825" t="s">
        <v>37</v>
      </c>
      <c r="F825" t="s">
        <v>35</v>
      </c>
      <c r="G825" t="s">
        <v>14</v>
      </c>
      <c r="H825" s="8">
        <v>115</v>
      </c>
      <c r="I825" s="9">
        <v>126088.88</v>
      </c>
      <c r="J825" s="9">
        <v>8268.34</v>
      </c>
      <c r="K825" s="9">
        <v>1394.64</v>
      </c>
      <c r="L825" s="9">
        <v>116425.9</v>
      </c>
      <c r="M825" s="9">
        <v>125053.56</v>
      </c>
      <c r="N825" s="6" t="str">
        <f>_xlfn.XLOOKUP(tblSales[[#This Row],[ProductID]],tblProducts[ProductID],tblProducts[ProductName],"Not Found")</f>
        <v>NeuroCalm</v>
      </c>
      <c r="O825" s="8">
        <f>YEAR(tblSales[[#This Row],[Month]])</f>
        <v>2025</v>
      </c>
      <c r="P825" s="8">
        <f>MONTH(tblSales[[#This Row],[Month]])</f>
        <v>6</v>
      </c>
      <c r="Q825" s="6">
        <f>IFERROR(tblSales[[#This Row],[NetSalesTRY]]/tblSales[[#This Row],[Units]],0)</f>
        <v>1012.3991304347826</v>
      </c>
      <c r="R825" s="17">
        <f>IFERROR(tblSales[[#This Row],[NetSalesTRY]]/tblSales[[#This Row],[TargetTRY]],0)</f>
        <v>0.93100828157151216</v>
      </c>
      <c r="S825" s="6">
        <f>tblSales[[#This Row],[NetSalesTRY]]-tblSales[[#This Row],[TargetTRY]]</f>
        <v>-8627.6600000000035</v>
      </c>
      <c r="T825" s="6">
        <f>MAX(tblSales[[#This Row],[TargetTRY]]-tblSales[[#This Row],[NetSalesTRY]],0)</f>
        <v>8627.6600000000035</v>
      </c>
    </row>
    <row r="826" spans="1:20">
      <c r="A826" t="s">
        <v>1214</v>
      </c>
      <c r="B826" s="15">
        <v>45809</v>
      </c>
      <c r="C826" t="s">
        <v>19</v>
      </c>
      <c r="D826" t="s">
        <v>20</v>
      </c>
      <c r="E826" t="s">
        <v>40</v>
      </c>
      <c r="F826" t="s">
        <v>38</v>
      </c>
      <c r="G826" t="s">
        <v>5</v>
      </c>
      <c r="H826" s="8">
        <v>179</v>
      </c>
      <c r="I826" s="9">
        <v>176507.39</v>
      </c>
      <c r="J826" s="9">
        <v>12756.47</v>
      </c>
      <c r="K826" s="9">
        <v>1260.07</v>
      </c>
      <c r="L826" s="9">
        <v>162490.85</v>
      </c>
      <c r="M826" s="9">
        <v>165725.43</v>
      </c>
      <c r="N826" s="6" t="str">
        <f>_xlfn.XLOOKUP(tblSales[[#This Row],[ProductID]],tblProducts[ProductID],tblProducts[ProductName],"Not Found")</f>
        <v>Cardiovan</v>
      </c>
      <c r="O826" s="8">
        <f>YEAR(tblSales[[#This Row],[Month]])</f>
        <v>2025</v>
      </c>
      <c r="P826" s="8">
        <f>MONTH(tblSales[[#This Row],[Month]])</f>
        <v>6</v>
      </c>
      <c r="Q826" s="6">
        <f>IFERROR(tblSales[[#This Row],[NetSalesTRY]]/tblSales[[#This Row],[Units]],0)</f>
        <v>907.7701117318436</v>
      </c>
      <c r="R826" s="17">
        <f>IFERROR(tblSales[[#This Row],[NetSalesTRY]]/tblSales[[#This Row],[TargetTRY]],0)</f>
        <v>0.98048229532426023</v>
      </c>
      <c r="S826" s="6">
        <f>tblSales[[#This Row],[NetSalesTRY]]-tblSales[[#This Row],[TargetTRY]]</f>
        <v>-3234.5799999999872</v>
      </c>
      <c r="T826" s="6">
        <f>MAX(tblSales[[#This Row],[TargetTRY]]-tblSales[[#This Row],[NetSalesTRY]],0)</f>
        <v>3234.5799999999872</v>
      </c>
    </row>
    <row r="827" spans="1:20">
      <c r="A827" t="s">
        <v>1215</v>
      </c>
      <c r="B827" s="15">
        <v>45809</v>
      </c>
      <c r="C827" t="s">
        <v>19</v>
      </c>
      <c r="D827" t="s">
        <v>20</v>
      </c>
      <c r="E827" t="s">
        <v>40</v>
      </c>
      <c r="F827" t="s">
        <v>38</v>
      </c>
      <c r="G827" t="s">
        <v>8</v>
      </c>
      <c r="H827" s="8">
        <v>222</v>
      </c>
      <c r="I827" s="9">
        <v>168427.76</v>
      </c>
      <c r="J827" s="9">
        <v>9560.34</v>
      </c>
      <c r="K827" s="9">
        <v>1852.58</v>
      </c>
      <c r="L827" s="9">
        <v>157014.84</v>
      </c>
      <c r="M827" s="9">
        <v>149556.35999999999</v>
      </c>
      <c r="N827" s="6" t="str">
        <f>_xlfn.XLOOKUP(tblSales[[#This Row],[ProductID]],tblProducts[ProductID],tblProducts[ProductName],"Not Found")</f>
        <v>GlucoRelief</v>
      </c>
      <c r="O827" s="8">
        <f>YEAR(tblSales[[#This Row],[Month]])</f>
        <v>2025</v>
      </c>
      <c r="P827" s="8">
        <f>MONTH(tblSales[[#This Row],[Month]])</f>
        <v>6</v>
      </c>
      <c r="Q827" s="6">
        <f>IFERROR(tblSales[[#This Row],[NetSalesTRY]]/tblSales[[#This Row],[Units]],0)</f>
        <v>707.27405405405409</v>
      </c>
      <c r="R827" s="17">
        <f>IFERROR(tblSales[[#This Row],[NetSalesTRY]]/tblSales[[#This Row],[TargetTRY]],0)</f>
        <v>1.0498706975751484</v>
      </c>
      <c r="S827" s="6">
        <f>tblSales[[#This Row],[NetSalesTRY]]-tblSales[[#This Row],[TargetTRY]]</f>
        <v>7458.4800000000105</v>
      </c>
      <c r="T827" s="6">
        <f>MAX(tblSales[[#This Row],[TargetTRY]]-tblSales[[#This Row],[NetSalesTRY]],0)</f>
        <v>0</v>
      </c>
    </row>
    <row r="828" spans="1:20">
      <c r="A828" t="s">
        <v>1216</v>
      </c>
      <c r="B828" s="15">
        <v>45809</v>
      </c>
      <c r="C828" t="s">
        <v>19</v>
      </c>
      <c r="D828" t="s">
        <v>20</v>
      </c>
      <c r="E828" t="s">
        <v>40</v>
      </c>
      <c r="F828" t="s">
        <v>38</v>
      </c>
      <c r="G828" t="s">
        <v>11</v>
      </c>
      <c r="H828" s="8">
        <v>233</v>
      </c>
      <c r="I828" s="9">
        <v>145519.54999999999</v>
      </c>
      <c r="J828" s="9">
        <v>6005.74</v>
      </c>
      <c r="K828" s="9">
        <v>942.56</v>
      </c>
      <c r="L828" s="9">
        <v>138571.24</v>
      </c>
      <c r="M828" s="9">
        <v>140799.43</v>
      </c>
      <c r="N828" s="6" t="str">
        <f>_xlfn.XLOOKUP(tblSales[[#This Row],[ProductID]],tblProducts[ProductID],tblProducts[ProductName],"Not Found")</f>
        <v>RespiraX</v>
      </c>
      <c r="O828" s="8">
        <f>YEAR(tblSales[[#This Row],[Month]])</f>
        <v>2025</v>
      </c>
      <c r="P828" s="8">
        <f>MONTH(tblSales[[#This Row],[Month]])</f>
        <v>6</v>
      </c>
      <c r="Q828" s="6">
        <f>IFERROR(tblSales[[#This Row],[NetSalesTRY]]/tblSales[[#This Row],[Units]],0)</f>
        <v>594.72635193133044</v>
      </c>
      <c r="R828" s="17">
        <f>IFERROR(tblSales[[#This Row],[NetSalesTRY]]/tblSales[[#This Row],[TargetTRY]],0)</f>
        <v>0.98417472286642071</v>
      </c>
      <c r="S828" s="6">
        <f>tblSales[[#This Row],[NetSalesTRY]]-tblSales[[#This Row],[TargetTRY]]</f>
        <v>-2228.1900000000023</v>
      </c>
      <c r="T828" s="6">
        <f>MAX(tblSales[[#This Row],[TargetTRY]]-tblSales[[#This Row],[NetSalesTRY]],0)</f>
        <v>2228.1900000000023</v>
      </c>
    </row>
    <row r="829" spans="1:20">
      <c r="A829" t="s">
        <v>1217</v>
      </c>
      <c r="B829" s="15">
        <v>45809</v>
      </c>
      <c r="C829" t="s">
        <v>19</v>
      </c>
      <c r="D829" t="s">
        <v>20</v>
      </c>
      <c r="E829" t="s">
        <v>40</v>
      </c>
      <c r="F829" t="s">
        <v>38</v>
      </c>
      <c r="G829" t="s">
        <v>14</v>
      </c>
      <c r="H829" s="8">
        <v>139</v>
      </c>
      <c r="I829" s="9">
        <v>154336.45000000001</v>
      </c>
      <c r="J829" s="9">
        <v>9466.84</v>
      </c>
      <c r="K829" s="9">
        <v>957.22</v>
      </c>
      <c r="L829" s="9">
        <v>143912.38</v>
      </c>
      <c r="M829" s="9">
        <v>137407.85999999999</v>
      </c>
      <c r="N829" s="6" t="str">
        <f>_xlfn.XLOOKUP(tblSales[[#This Row],[ProductID]],tblProducts[ProductID],tblProducts[ProductName],"Not Found")</f>
        <v>NeuroCalm</v>
      </c>
      <c r="O829" s="8">
        <f>YEAR(tblSales[[#This Row],[Month]])</f>
        <v>2025</v>
      </c>
      <c r="P829" s="8">
        <f>MONTH(tblSales[[#This Row],[Month]])</f>
        <v>6</v>
      </c>
      <c r="Q829" s="6">
        <f>IFERROR(tblSales[[#This Row],[NetSalesTRY]]/tblSales[[#This Row],[Units]],0)</f>
        <v>1035.3408633093525</v>
      </c>
      <c r="R829" s="17">
        <f>IFERROR(tblSales[[#This Row],[NetSalesTRY]]/tblSales[[#This Row],[TargetTRY]],0)</f>
        <v>1.0473373211692549</v>
      </c>
      <c r="S829" s="6">
        <f>tblSales[[#This Row],[NetSalesTRY]]-tblSales[[#This Row],[TargetTRY]]</f>
        <v>6504.5200000000186</v>
      </c>
      <c r="T829" s="6">
        <f>MAX(tblSales[[#This Row],[TargetTRY]]-tblSales[[#This Row],[NetSalesTRY]],0)</f>
        <v>0</v>
      </c>
    </row>
    <row r="830" spans="1:20">
      <c r="A830" t="s">
        <v>1218</v>
      </c>
      <c r="B830" s="15">
        <v>45809</v>
      </c>
      <c r="C830" t="s">
        <v>21</v>
      </c>
      <c r="D830" t="s">
        <v>22</v>
      </c>
      <c r="E830" t="s">
        <v>43</v>
      </c>
      <c r="F830" t="s">
        <v>41</v>
      </c>
      <c r="G830" t="s">
        <v>5</v>
      </c>
      <c r="H830" s="8">
        <v>114</v>
      </c>
      <c r="I830" s="9">
        <v>112460.2</v>
      </c>
      <c r="J830" s="9">
        <v>4435.75</v>
      </c>
      <c r="K830" s="9">
        <v>470.57</v>
      </c>
      <c r="L830" s="9">
        <v>107553.89</v>
      </c>
      <c r="M830" s="9">
        <v>123748.43</v>
      </c>
      <c r="N830" s="6" t="str">
        <f>_xlfn.XLOOKUP(tblSales[[#This Row],[ProductID]],tblProducts[ProductID],tblProducts[ProductName],"Not Found")</f>
        <v>Cardiovan</v>
      </c>
      <c r="O830" s="8">
        <f>YEAR(tblSales[[#This Row],[Month]])</f>
        <v>2025</v>
      </c>
      <c r="P830" s="8">
        <f>MONTH(tblSales[[#This Row],[Month]])</f>
        <v>6</v>
      </c>
      <c r="Q830" s="6">
        <f>IFERROR(tblSales[[#This Row],[NetSalesTRY]]/tblSales[[#This Row],[Units]],0)</f>
        <v>943.45517543859648</v>
      </c>
      <c r="R830" s="17">
        <f>IFERROR(tblSales[[#This Row],[NetSalesTRY]]/tblSales[[#This Row],[TargetTRY]],0)</f>
        <v>0.86913337001528024</v>
      </c>
      <c r="S830" s="6">
        <f>tblSales[[#This Row],[NetSalesTRY]]-tblSales[[#This Row],[TargetTRY]]</f>
        <v>-16194.539999999994</v>
      </c>
      <c r="T830" s="6">
        <f>MAX(tblSales[[#This Row],[TargetTRY]]-tblSales[[#This Row],[NetSalesTRY]],0)</f>
        <v>16194.539999999994</v>
      </c>
    </row>
    <row r="831" spans="1:20">
      <c r="A831" t="s">
        <v>1219</v>
      </c>
      <c r="B831" s="15">
        <v>45809</v>
      </c>
      <c r="C831" t="s">
        <v>21</v>
      </c>
      <c r="D831" t="s">
        <v>22</v>
      </c>
      <c r="E831" t="s">
        <v>43</v>
      </c>
      <c r="F831" t="s">
        <v>41</v>
      </c>
      <c r="G831" t="s">
        <v>8</v>
      </c>
      <c r="H831" s="8">
        <v>153</v>
      </c>
      <c r="I831" s="9">
        <v>114723.73</v>
      </c>
      <c r="J831" s="9">
        <v>5571.68</v>
      </c>
      <c r="K831" s="9">
        <v>798.95</v>
      </c>
      <c r="L831" s="9">
        <v>108353.1</v>
      </c>
      <c r="M831" s="9">
        <v>111282.15</v>
      </c>
      <c r="N831" s="6" t="str">
        <f>_xlfn.XLOOKUP(tblSales[[#This Row],[ProductID]],tblProducts[ProductID],tblProducts[ProductName],"Not Found")</f>
        <v>GlucoRelief</v>
      </c>
      <c r="O831" s="8">
        <f>YEAR(tblSales[[#This Row],[Month]])</f>
        <v>2025</v>
      </c>
      <c r="P831" s="8">
        <f>MONTH(tblSales[[#This Row],[Month]])</f>
        <v>6</v>
      </c>
      <c r="Q831" s="6">
        <f>IFERROR(tblSales[[#This Row],[NetSalesTRY]]/tblSales[[#This Row],[Units]],0)</f>
        <v>708.19019607843143</v>
      </c>
      <c r="R831" s="17">
        <f>IFERROR(tblSales[[#This Row],[NetSalesTRY]]/tblSales[[#This Row],[TargetTRY]],0)</f>
        <v>0.97367906712801655</v>
      </c>
      <c r="S831" s="6">
        <f>tblSales[[#This Row],[NetSalesTRY]]-tblSales[[#This Row],[TargetTRY]]</f>
        <v>-2929.0499999999884</v>
      </c>
      <c r="T831" s="6">
        <f>MAX(tblSales[[#This Row],[TargetTRY]]-tblSales[[#This Row],[NetSalesTRY]],0)</f>
        <v>2929.0499999999884</v>
      </c>
    </row>
    <row r="832" spans="1:20">
      <c r="A832" t="s">
        <v>1220</v>
      </c>
      <c r="B832" s="15">
        <v>45809</v>
      </c>
      <c r="C832" t="s">
        <v>21</v>
      </c>
      <c r="D832" t="s">
        <v>22</v>
      </c>
      <c r="E832" t="s">
        <v>43</v>
      </c>
      <c r="F832" t="s">
        <v>41</v>
      </c>
      <c r="G832" t="s">
        <v>11</v>
      </c>
      <c r="H832" s="8">
        <v>172</v>
      </c>
      <c r="I832" s="9">
        <v>105072.18</v>
      </c>
      <c r="J832" s="9">
        <v>4612.17</v>
      </c>
      <c r="K832" s="9">
        <v>867.47</v>
      </c>
      <c r="L832" s="9">
        <v>99592.53</v>
      </c>
      <c r="M832" s="9">
        <v>104731.8</v>
      </c>
      <c r="N832" s="6" t="str">
        <f>_xlfn.XLOOKUP(tblSales[[#This Row],[ProductID]],tblProducts[ProductID],tblProducts[ProductName],"Not Found")</f>
        <v>RespiraX</v>
      </c>
      <c r="O832" s="8">
        <f>YEAR(tblSales[[#This Row],[Month]])</f>
        <v>2025</v>
      </c>
      <c r="P832" s="8">
        <f>MONTH(tblSales[[#This Row],[Month]])</f>
        <v>6</v>
      </c>
      <c r="Q832" s="6">
        <f>IFERROR(tblSales[[#This Row],[NetSalesTRY]]/tblSales[[#This Row],[Units]],0)</f>
        <v>579.02633720930237</v>
      </c>
      <c r="R832" s="17">
        <f>IFERROR(tblSales[[#This Row],[NetSalesTRY]]/tblSales[[#This Row],[TargetTRY]],0)</f>
        <v>0.95092923066346602</v>
      </c>
      <c r="S832" s="6">
        <f>tblSales[[#This Row],[NetSalesTRY]]-tblSales[[#This Row],[TargetTRY]]</f>
        <v>-5139.2700000000041</v>
      </c>
      <c r="T832" s="6">
        <f>MAX(tblSales[[#This Row],[TargetTRY]]-tblSales[[#This Row],[NetSalesTRY]],0)</f>
        <v>5139.2700000000041</v>
      </c>
    </row>
    <row r="833" spans="1:20">
      <c r="A833" t="s">
        <v>1221</v>
      </c>
      <c r="B833" s="15">
        <v>45809</v>
      </c>
      <c r="C833" t="s">
        <v>21</v>
      </c>
      <c r="D833" t="s">
        <v>22</v>
      </c>
      <c r="E833" t="s">
        <v>43</v>
      </c>
      <c r="F833" t="s">
        <v>41</v>
      </c>
      <c r="G833" t="s">
        <v>14</v>
      </c>
      <c r="H833" s="8">
        <v>89</v>
      </c>
      <c r="I833" s="9">
        <v>98478.55</v>
      </c>
      <c r="J833" s="9">
        <v>5307.42</v>
      </c>
      <c r="K833" s="9">
        <v>876.95</v>
      </c>
      <c r="L833" s="9">
        <v>92294.18</v>
      </c>
      <c r="M833" s="9">
        <v>102161.7</v>
      </c>
      <c r="N833" s="6" t="str">
        <f>_xlfn.XLOOKUP(tblSales[[#This Row],[ProductID]],tblProducts[ProductID],tblProducts[ProductName],"Not Found")</f>
        <v>NeuroCalm</v>
      </c>
      <c r="O833" s="8">
        <f>YEAR(tblSales[[#This Row],[Month]])</f>
        <v>2025</v>
      </c>
      <c r="P833" s="8">
        <f>MONTH(tblSales[[#This Row],[Month]])</f>
        <v>6</v>
      </c>
      <c r="Q833" s="6">
        <f>IFERROR(tblSales[[#This Row],[NetSalesTRY]]/tblSales[[#This Row],[Units]],0)</f>
        <v>1037.0132584269661</v>
      </c>
      <c r="R833" s="17">
        <f>IFERROR(tblSales[[#This Row],[NetSalesTRY]]/tblSales[[#This Row],[TargetTRY]],0)</f>
        <v>0.90341272707873888</v>
      </c>
      <c r="S833" s="6">
        <f>tblSales[[#This Row],[NetSalesTRY]]-tblSales[[#This Row],[TargetTRY]]</f>
        <v>-9867.5200000000041</v>
      </c>
      <c r="T833" s="6">
        <f>MAX(tblSales[[#This Row],[TargetTRY]]-tblSales[[#This Row],[NetSalesTRY]],0)</f>
        <v>9867.5200000000041</v>
      </c>
    </row>
    <row r="834" spans="1:20">
      <c r="A834" t="s">
        <v>1222</v>
      </c>
      <c r="B834" s="15">
        <v>45809</v>
      </c>
      <c r="C834" t="s">
        <v>21</v>
      </c>
      <c r="D834" t="s">
        <v>22</v>
      </c>
      <c r="E834" t="s">
        <v>46</v>
      </c>
      <c r="F834" t="s">
        <v>44</v>
      </c>
      <c r="G834" t="s">
        <v>5</v>
      </c>
      <c r="H834" s="8">
        <v>92</v>
      </c>
      <c r="I834" s="9">
        <v>89574.26</v>
      </c>
      <c r="J834" s="9">
        <v>3607.84</v>
      </c>
      <c r="K834" s="9">
        <v>1132.73</v>
      </c>
      <c r="L834" s="9">
        <v>84833.68</v>
      </c>
      <c r="M834" s="9">
        <v>109092.11</v>
      </c>
      <c r="N834" s="6" t="str">
        <f>_xlfn.XLOOKUP(tblSales[[#This Row],[ProductID]],tblProducts[ProductID],tblProducts[ProductName],"Not Found")</f>
        <v>Cardiovan</v>
      </c>
      <c r="O834" s="8">
        <f>YEAR(tblSales[[#This Row],[Month]])</f>
        <v>2025</v>
      </c>
      <c r="P834" s="8">
        <f>MONTH(tblSales[[#This Row],[Month]])</f>
        <v>6</v>
      </c>
      <c r="Q834" s="6">
        <f>IFERROR(tblSales[[#This Row],[NetSalesTRY]]/tblSales[[#This Row],[Units]],0)</f>
        <v>922.10521739130422</v>
      </c>
      <c r="R834" s="17">
        <f>IFERROR(tblSales[[#This Row],[NetSalesTRY]]/tblSales[[#This Row],[TargetTRY]],0)</f>
        <v>0.77763350621781901</v>
      </c>
      <c r="S834" s="6">
        <f>tblSales[[#This Row],[NetSalesTRY]]-tblSales[[#This Row],[TargetTRY]]</f>
        <v>-24258.430000000008</v>
      </c>
      <c r="T834" s="6">
        <f>MAX(tblSales[[#This Row],[TargetTRY]]-tblSales[[#This Row],[NetSalesTRY]],0)</f>
        <v>24258.430000000008</v>
      </c>
    </row>
    <row r="835" spans="1:20">
      <c r="A835" t="s">
        <v>1223</v>
      </c>
      <c r="B835" s="15">
        <v>45809</v>
      </c>
      <c r="C835" t="s">
        <v>21</v>
      </c>
      <c r="D835" t="s">
        <v>22</v>
      </c>
      <c r="E835" t="s">
        <v>46</v>
      </c>
      <c r="F835" t="s">
        <v>44</v>
      </c>
      <c r="G835" t="s">
        <v>8</v>
      </c>
      <c r="H835" s="8">
        <v>131</v>
      </c>
      <c r="I835" s="9">
        <v>99507.13</v>
      </c>
      <c r="J835" s="9">
        <v>5120.96</v>
      </c>
      <c r="K835" s="9">
        <v>1034.8</v>
      </c>
      <c r="L835" s="9">
        <v>93351.37</v>
      </c>
      <c r="M835" s="9">
        <v>98391.24</v>
      </c>
      <c r="N835" s="6" t="str">
        <f>_xlfn.XLOOKUP(tblSales[[#This Row],[ProductID]],tblProducts[ProductID],tblProducts[ProductName],"Not Found")</f>
        <v>GlucoRelief</v>
      </c>
      <c r="O835" s="8">
        <f>YEAR(tblSales[[#This Row],[Month]])</f>
        <v>2025</v>
      </c>
      <c r="P835" s="8">
        <f>MONTH(tblSales[[#This Row],[Month]])</f>
        <v>6</v>
      </c>
      <c r="Q835" s="6">
        <f>IFERROR(tblSales[[#This Row],[NetSalesTRY]]/tblSales[[#This Row],[Units]],0)</f>
        <v>712.60587786259543</v>
      </c>
      <c r="R835" s="17">
        <f>IFERROR(tblSales[[#This Row],[NetSalesTRY]]/tblSales[[#This Row],[TargetTRY]],0)</f>
        <v>0.94877724886890324</v>
      </c>
      <c r="S835" s="6">
        <f>tblSales[[#This Row],[NetSalesTRY]]-tblSales[[#This Row],[TargetTRY]]</f>
        <v>-5039.8700000000099</v>
      </c>
      <c r="T835" s="6">
        <f>MAX(tblSales[[#This Row],[TargetTRY]]-tblSales[[#This Row],[NetSalesTRY]],0)</f>
        <v>5039.8700000000099</v>
      </c>
    </row>
    <row r="836" spans="1:20">
      <c r="A836" t="s">
        <v>1224</v>
      </c>
      <c r="B836" s="15">
        <v>45809</v>
      </c>
      <c r="C836" t="s">
        <v>21</v>
      </c>
      <c r="D836" t="s">
        <v>22</v>
      </c>
      <c r="E836" t="s">
        <v>46</v>
      </c>
      <c r="F836" t="s">
        <v>44</v>
      </c>
      <c r="G836" t="s">
        <v>11</v>
      </c>
      <c r="H836" s="8">
        <v>147</v>
      </c>
      <c r="I836" s="9">
        <v>89925.65</v>
      </c>
      <c r="J836" s="9">
        <v>5034.03</v>
      </c>
      <c r="K836" s="9">
        <v>1133.7</v>
      </c>
      <c r="L836" s="9">
        <v>83757.919999999998</v>
      </c>
      <c r="M836" s="9">
        <v>92242.3</v>
      </c>
      <c r="N836" s="6" t="str">
        <f>_xlfn.XLOOKUP(tblSales[[#This Row],[ProductID]],tblProducts[ProductID],tblProducts[ProductName],"Not Found")</f>
        <v>RespiraX</v>
      </c>
      <c r="O836" s="8">
        <f>YEAR(tblSales[[#This Row],[Month]])</f>
        <v>2025</v>
      </c>
      <c r="P836" s="8">
        <f>MONTH(tblSales[[#This Row],[Month]])</f>
        <v>6</v>
      </c>
      <c r="Q836" s="6">
        <f>IFERROR(tblSales[[#This Row],[NetSalesTRY]]/tblSales[[#This Row],[Units]],0)</f>
        <v>569.78176870748302</v>
      </c>
      <c r="R836" s="17">
        <f>IFERROR(tblSales[[#This Row],[NetSalesTRY]]/tblSales[[#This Row],[TargetTRY]],0)</f>
        <v>0.90802072368100095</v>
      </c>
      <c r="S836" s="6">
        <f>tblSales[[#This Row],[NetSalesTRY]]-tblSales[[#This Row],[TargetTRY]]</f>
        <v>-8484.3800000000047</v>
      </c>
      <c r="T836" s="6">
        <f>MAX(tblSales[[#This Row],[TargetTRY]]-tblSales[[#This Row],[NetSalesTRY]],0)</f>
        <v>8484.3800000000047</v>
      </c>
    </row>
    <row r="837" spans="1:20">
      <c r="A837" t="s">
        <v>1225</v>
      </c>
      <c r="B837" s="15">
        <v>45809</v>
      </c>
      <c r="C837" t="s">
        <v>21</v>
      </c>
      <c r="D837" t="s">
        <v>22</v>
      </c>
      <c r="E837" t="s">
        <v>46</v>
      </c>
      <c r="F837" t="s">
        <v>44</v>
      </c>
      <c r="G837" t="s">
        <v>14</v>
      </c>
      <c r="H837" s="8">
        <v>81</v>
      </c>
      <c r="I837" s="9">
        <v>88377.36</v>
      </c>
      <c r="J837" s="9">
        <v>3261.4</v>
      </c>
      <c r="K837" s="9">
        <v>662.07</v>
      </c>
      <c r="L837" s="9">
        <v>84453.89</v>
      </c>
      <c r="M837" s="9">
        <v>90111.61</v>
      </c>
      <c r="N837" s="6" t="str">
        <f>_xlfn.XLOOKUP(tblSales[[#This Row],[ProductID]],tblProducts[ProductID],tblProducts[ProductName],"Not Found")</f>
        <v>NeuroCalm</v>
      </c>
      <c r="O837" s="8">
        <f>YEAR(tblSales[[#This Row],[Month]])</f>
        <v>2025</v>
      </c>
      <c r="P837" s="8">
        <f>MONTH(tblSales[[#This Row],[Month]])</f>
        <v>6</v>
      </c>
      <c r="Q837" s="6">
        <f>IFERROR(tblSales[[#This Row],[NetSalesTRY]]/tblSales[[#This Row],[Units]],0)</f>
        <v>1042.6406172839506</v>
      </c>
      <c r="R837" s="17">
        <f>IFERROR(tblSales[[#This Row],[NetSalesTRY]]/tblSales[[#This Row],[TargetTRY]],0)</f>
        <v>0.93721430568158748</v>
      </c>
      <c r="S837" s="6">
        <f>tblSales[[#This Row],[NetSalesTRY]]-tblSales[[#This Row],[TargetTRY]]</f>
        <v>-5657.7200000000012</v>
      </c>
      <c r="T837" s="6">
        <f>MAX(tblSales[[#This Row],[TargetTRY]]-tblSales[[#This Row],[NetSalesTRY]],0)</f>
        <v>5657.7200000000012</v>
      </c>
    </row>
    <row r="838" spans="1:20">
      <c r="A838" t="s">
        <v>1226</v>
      </c>
      <c r="B838" s="15">
        <v>45809</v>
      </c>
      <c r="C838" t="s">
        <v>21</v>
      </c>
      <c r="D838" t="s">
        <v>22</v>
      </c>
      <c r="E838" t="s">
        <v>49</v>
      </c>
      <c r="F838" t="s">
        <v>47</v>
      </c>
      <c r="G838" t="s">
        <v>5</v>
      </c>
      <c r="H838" s="8">
        <v>108</v>
      </c>
      <c r="I838" s="9">
        <v>106185.13</v>
      </c>
      <c r="J838" s="9">
        <v>6149.48</v>
      </c>
      <c r="K838" s="9">
        <v>822.96</v>
      </c>
      <c r="L838" s="9">
        <v>99212.69</v>
      </c>
      <c r="M838" s="9">
        <v>123169.85</v>
      </c>
      <c r="N838" s="6" t="str">
        <f>_xlfn.XLOOKUP(tblSales[[#This Row],[ProductID]],tblProducts[ProductID],tblProducts[ProductName],"Not Found")</f>
        <v>Cardiovan</v>
      </c>
      <c r="O838" s="8">
        <f>YEAR(tblSales[[#This Row],[Month]])</f>
        <v>2025</v>
      </c>
      <c r="P838" s="8">
        <f>MONTH(tblSales[[#This Row],[Month]])</f>
        <v>6</v>
      </c>
      <c r="Q838" s="6">
        <f>IFERROR(tblSales[[#This Row],[NetSalesTRY]]/tblSales[[#This Row],[Units]],0)</f>
        <v>918.63601851851854</v>
      </c>
      <c r="R838" s="17">
        <f>IFERROR(tblSales[[#This Row],[NetSalesTRY]]/tblSales[[#This Row],[TargetTRY]],0)</f>
        <v>0.80549493240431813</v>
      </c>
      <c r="S838" s="6">
        <f>tblSales[[#This Row],[NetSalesTRY]]-tblSales[[#This Row],[TargetTRY]]</f>
        <v>-23957.160000000003</v>
      </c>
      <c r="T838" s="6">
        <f>MAX(tblSales[[#This Row],[TargetTRY]]-tblSales[[#This Row],[NetSalesTRY]],0)</f>
        <v>23957.160000000003</v>
      </c>
    </row>
    <row r="839" spans="1:20">
      <c r="A839" t="s">
        <v>1227</v>
      </c>
      <c r="B839" s="15">
        <v>45809</v>
      </c>
      <c r="C839" t="s">
        <v>21</v>
      </c>
      <c r="D839" t="s">
        <v>22</v>
      </c>
      <c r="E839" t="s">
        <v>49</v>
      </c>
      <c r="F839" t="s">
        <v>47</v>
      </c>
      <c r="G839" t="s">
        <v>8</v>
      </c>
      <c r="H839" s="8">
        <v>143</v>
      </c>
      <c r="I839" s="9">
        <v>107951.13</v>
      </c>
      <c r="J839" s="9">
        <v>5142.9799999999996</v>
      </c>
      <c r="K839" s="9">
        <v>674.88</v>
      </c>
      <c r="L839" s="9">
        <v>102133.27</v>
      </c>
      <c r="M839" s="9">
        <v>109239.77</v>
      </c>
      <c r="N839" s="6" t="str">
        <f>_xlfn.XLOOKUP(tblSales[[#This Row],[ProductID]],tblProducts[ProductID],tblProducts[ProductName],"Not Found")</f>
        <v>GlucoRelief</v>
      </c>
      <c r="O839" s="8">
        <f>YEAR(tblSales[[#This Row],[Month]])</f>
        <v>2025</v>
      </c>
      <c r="P839" s="8">
        <f>MONTH(tblSales[[#This Row],[Month]])</f>
        <v>6</v>
      </c>
      <c r="Q839" s="6">
        <f>IFERROR(tblSales[[#This Row],[NetSalesTRY]]/tblSales[[#This Row],[Units]],0)</f>
        <v>714.21867132867135</v>
      </c>
      <c r="R839" s="17">
        <f>IFERROR(tblSales[[#This Row],[NetSalesTRY]]/tblSales[[#This Row],[TargetTRY]],0)</f>
        <v>0.93494585351104276</v>
      </c>
      <c r="S839" s="6">
        <f>tblSales[[#This Row],[NetSalesTRY]]-tblSales[[#This Row],[TargetTRY]]</f>
        <v>-7106.5</v>
      </c>
      <c r="T839" s="6">
        <f>MAX(tblSales[[#This Row],[TargetTRY]]-tblSales[[#This Row],[NetSalesTRY]],0)</f>
        <v>7106.5</v>
      </c>
    </row>
    <row r="840" spans="1:20">
      <c r="A840" t="s">
        <v>1228</v>
      </c>
      <c r="B840" s="15">
        <v>45809</v>
      </c>
      <c r="C840" t="s">
        <v>21</v>
      </c>
      <c r="D840" t="s">
        <v>22</v>
      </c>
      <c r="E840" t="s">
        <v>49</v>
      </c>
      <c r="F840" t="s">
        <v>47</v>
      </c>
      <c r="G840" t="s">
        <v>11</v>
      </c>
      <c r="H840" s="8">
        <v>171</v>
      </c>
      <c r="I840" s="9">
        <v>106827.37</v>
      </c>
      <c r="J840" s="9">
        <v>6368.36</v>
      </c>
      <c r="K840" s="9">
        <v>511.02</v>
      </c>
      <c r="L840" s="9">
        <v>99947.99</v>
      </c>
      <c r="M840" s="9">
        <v>102150.85</v>
      </c>
      <c r="N840" s="6" t="str">
        <f>_xlfn.XLOOKUP(tblSales[[#This Row],[ProductID]],tblProducts[ProductID],tblProducts[ProductName],"Not Found")</f>
        <v>RespiraX</v>
      </c>
      <c r="O840" s="8">
        <f>YEAR(tblSales[[#This Row],[Month]])</f>
        <v>2025</v>
      </c>
      <c r="P840" s="8">
        <f>MONTH(tblSales[[#This Row],[Month]])</f>
        <v>6</v>
      </c>
      <c r="Q840" s="6">
        <f>IFERROR(tblSales[[#This Row],[NetSalesTRY]]/tblSales[[#This Row],[Units]],0)</f>
        <v>584.49116959064327</v>
      </c>
      <c r="R840" s="17">
        <f>IFERROR(tblSales[[#This Row],[NetSalesTRY]]/tblSales[[#This Row],[TargetTRY]],0)</f>
        <v>0.97843522594280907</v>
      </c>
      <c r="S840" s="6">
        <f>tblSales[[#This Row],[NetSalesTRY]]-tblSales[[#This Row],[TargetTRY]]</f>
        <v>-2202.8600000000006</v>
      </c>
      <c r="T840" s="6">
        <f>MAX(tblSales[[#This Row],[TargetTRY]]-tblSales[[#This Row],[NetSalesTRY]],0)</f>
        <v>2202.8600000000006</v>
      </c>
    </row>
    <row r="841" spans="1:20">
      <c r="A841" t="s">
        <v>1229</v>
      </c>
      <c r="B841" s="15">
        <v>45809</v>
      </c>
      <c r="C841" t="s">
        <v>21</v>
      </c>
      <c r="D841" t="s">
        <v>22</v>
      </c>
      <c r="E841" t="s">
        <v>49</v>
      </c>
      <c r="F841" t="s">
        <v>47</v>
      </c>
      <c r="G841" t="s">
        <v>14</v>
      </c>
      <c r="H841" s="8">
        <v>98</v>
      </c>
      <c r="I841" s="9">
        <v>106288.81</v>
      </c>
      <c r="J841" s="9">
        <v>4423.96</v>
      </c>
      <c r="K841" s="9">
        <v>461.89</v>
      </c>
      <c r="L841" s="9">
        <v>101402.95</v>
      </c>
      <c r="M841" s="9">
        <v>99858.28</v>
      </c>
      <c r="N841" s="6" t="str">
        <f>_xlfn.XLOOKUP(tblSales[[#This Row],[ProductID]],tblProducts[ProductID],tblProducts[ProductName],"Not Found")</f>
        <v>NeuroCalm</v>
      </c>
      <c r="O841" s="8">
        <f>YEAR(tblSales[[#This Row],[Month]])</f>
        <v>2025</v>
      </c>
      <c r="P841" s="8">
        <f>MONTH(tblSales[[#This Row],[Month]])</f>
        <v>6</v>
      </c>
      <c r="Q841" s="6">
        <f>IFERROR(tblSales[[#This Row],[NetSalesTRY]]/tblSales[[#This Row],[Units]],0)</f>
        <v>1034.7239795918367</v>
      </c>
      <c r="R841" s="17">
        <f>IFERROR(tblSales[[#This Row],[NetSalesTRY]]/tblSales[[#This Row],[TargetTRY]],0)</f>
        <v>1.0154686221312845</v>
      </c>
      <c r="S841" s="6">
        <f>tblSales[[#This Row],[NetSalesTRY]]-tblSales[[#This Row],[TargetTRY]]</f>
        <v>1544.6699999999983</v>
      </c>
      <c r="T841" s="6">
        <f>MAX(tblSales[[#This Row],[TargetTRY]]-tblSales[[#This Row],[NetSalesTRY]],0)</f>
        <v>0</v>
      </c>
    </row>
    <row r="842" spans="1:20">
      <c r="A842" t="s">
        <v>1230</v>
      </c>
      <c r="B842" s="15">
        <v>45809</v>
      </c>
      <c r="C842" t="s">
        <v>23</v>
      </c>
      <c r="D842" t="s">
        <v>24</v>
      </c>
      <c r="E842" t="s">
        <v>52</v>
      </c>
      <c r="F842" t="s">
        <v>50</v>
      </c>
      <c r="G842" t="s">
        <v>5</v>
      </c>
      <c r="H842" s="8">
        <v>133</v>
      </c>
      <c r="I842" s="9">
        <v>130606.62</v>
      </c>
      <c r="J842" s="9">
        <v>5226.9399999999996</v>
      </c>
      <c r="K842" s="9">
        <v>1681.49</v>
      </c>
      <c r="L842" s="9">
        <v>123698.2</v>
      </c>
      <c r="M842" s="9">
        <v>120159.4</v>
      </c>
      <c r="N842" s="6" t="str">
        <f>_xlfn.XLOOKUP(tblSales[[#This Row],[ProductID]],tblProducts[ProductID],tblProducts[ProductName],"Not Found")</f>
        <v>Cardiovan</v>
      </c>
      <c r="O842" s="8">
        <f>YEAR(tblSales[[#This Row],[Month]])</f>
        <v>2025</v>
      </c>
      <c r="P842" s="8">
        <f>MONTH(tblSales[[#This Row],[Month]])</f>
        <v>6</v>
      </c>
      <c r="Q842" s="6">
        <f>IFERROR(tblSales[[#This Row],[NetSalesTRY]]/tblSales[[#This Row],[Units]],0)</f>
        <v>930.06165413533836</v>
      </c>
      <c r="R842" s="17">
        <f>IFERROR(tblSales[[#This Row],[NetSalesTRY]]/tblSales[[#This Row],[TargetTRY]],0)</f>
        <v>1.0294508794151769</v>
      </c>
      <c r="S842" s="6">
        <f>tblSales[[#This Row],[NetSalesTRY]]-tblSales[[#This Row],[TargetTRY]]</f>
        <v>3538.8000000000029</v>
      </c>
      <c r="T842" s="6">
        <f>MAX(tblSales[[#This Row],[TargetTRY]]-tblSales[[#This Row],[NetSalesTRY]],0)</f>
        <v>0</v>
      </c>
    </row>
    <row r="843" spans="1:20">
      <c r="A843" t="s">
        <v>1231</v>
      </c>
      <c r="B843" s="15">
        <v>45809</v>
      </c>
      <c r="C843" t="s">
        <v>23</v>
      </c>
      <c r="D843" t="s">
        <v>24</v>
      </c>
      <c r="E843" t="s">
        <v>52</v>
      </c>
      <c r="F843" t="s">
        <v>50</v>
      </c>
      <c r="G843" t="s">
        <v>8</v>
      </c>
      <c r="H843" s="8">
        <v>164</v>
      </c>
      <c r="I843" s="9">
        <v>124888.15</v>
      </c>
      <c r="J843" s="9">
        <v>8084.06</v>
      </c>
      <c r="K843" s="9">
        <v>1117.8399999999999</v>
      </c>
      <c r="L843" s="9">
        <v>115686.24</v>
      </c>
      <c r="M843" s="9">
        <v>110745.02</v>
      </c>
      <c r="N843" s="6" t="str">
        <f>_xlfn.XLOOKUP(tblSales[[#This Row],[ProductID]],tblProducts[ProductID],tblProducts[ProductName],"Not Found")</f>
        <v>GlucoRelief</v>
      </c>
      <c r="O843" s="8">
        <f>YEAR(tblSales[[#This Row],[Month]])</f>
        <v>2025</v>
      </c>
      <c r="P843" s="8">
        <f>MONTH(tblSales[[#This Row],[Month]])</f>
        <v>6</v>
      </c>
      <c r="Q843" s="6">
        <f>IFERROR(tblSales[[#This Row],[NetSalesTRY]]/tblSales[[#This Row],[Units]],0)</f>
        <v>705.40390243902448</v>
      </c>
      <c r="R843" s="17">
        <f>IFERROR(tblSales[[#This Row],[NetSalesTRY]]/tblSales[[#This Row],[TargetTRY]],0)</f>
        <v>1.0446179882400131</v>
      </c>
      <c r="S843" s="6">
        <f>tblSales[[#This Row],[NetSalesTRY]]-tblSales[[#This Row],[TargetTRY]]</f>
        <v>4941.2200000000012</v>
      </c>
      <c r="T843" s="6">
        <f>MAX(tblSales[[#This Row],[TargetTRY]]-tblSales[[#This Row],[NetSalesTRY]],0)</f>
        <v>0</v>
      </c>
    </row>
    <row r="844" spans="1:20">
      <c r="A844" t="s">
        <v>1232</v>
      </c>
      <c r="B844" s="15">
        <v>45809</v>
      </c>
      <c r="C844" t="s">
        <v>23</v>
      </c>
      <c r="D844" t="s">
        <v>24</v>
      </c>
      <c r="E844" t="s">
        <v>52</v>
      </c>
      <c r="F844" t="s">
        <v>50</v>
      </c>
      <c r="G844" t="s">
        <v>11</v>
      </c>
      <c r="H844" s="8">
        <v>165</v>
      </c>
      <c r="I844" s="9">
        <v>100993.35</v>
      </c>
      <c r="J844" s="9">
        <v>7541.18</v>
      </c>
      <c r="K844" s="9">
        <v>1245.46</v>
      </c>
      <c r="L844" s="9">
        <v>92206.71</v>
      </c>
      <c r="M844" s="9">
        <v>102300.06</v>
      </c>
      <c r="N844" s="6" t="str">
        <f>_xlfn.XLOOKUP(tblSales[[#This Row],[ProductID]],tblProducts[ProductID],tblProducts[ProductName],"Not Found")</f>
        <v>RespiraX</v>
      </c>
      <c r="O844" s="8">
        <f>YEAR(tblSales[[#This Row],[Month]])</f>
        <v>2025</v>
      </c>
      <c r="P844" s="8">
        <f>MONTH(tblSales[[#This Row],[Month]])</f>
        <v>6</v>
      </c>
      <c r="Q844" s="6">
        <f>IFERROR(tblSales[[#This Row],[NetSalesTRY]]/tblSales[[#This Row],[Units]],0)</f>
        <v>558.82854545454552</v>
      </c>
      <c r="R844" s="17">
        <f>IFERROR(tblSales[[#This Row],[NetSalesTRY]]/tblSales[[#This Row],[TargetTRY]],0)</f>
        <v>0.90133583499364522</v>
      </c>
      <c r="S844" s="6">
        <f>tblSales[[#This Row],[NetSalesTRY]]-tblSales[[#This Row],[TargetTRY]]</f>
        <v>-10093.349999999991</v>
      </c>
      <c r="T844" s="6">
        <f>MAX(tblSales[[#This Row],[TargetTRY]]-tblSales[[#This Row],[NetSalesTRY]],0)</f>
        <v>10093.349999999991</v>
      </c>
    </row>
    <row r="845" spans="1:20">
      <c r="A845" t="s">
        <v>1233</v>
      </c>
      <c r="B845" s="15">
        <v>45809</v>
      </c>
      <c r="C845" t="s">
        <v>23</v>
      </c>
      <c r="D845" t="s">
        <v>24</v>
      </c>
      <c r="E845" t="s">
        <v>52</v>
      </c>
      <c r="F845" t="s">
        <v>50</v>
      </c>
      <c r="G845" t="s">
        <v>14</v>
      </c>
      <c r="H845" s="8">
        <v>97</v>
      </c>
      <c r="I845" s="9">
        <v>107980.31</v>
      </c>
      <c r="J845" s="9">
        <v>6287.13</v>
      </c>
      <c r="K845" s="9">
        <v>1379.32</v>
      </c>
      <c r="L845" s="9">
        <v>100313.86</v>
      </c>
      <c r="M845" s="9">
        <v>98916.25</v>
      </c>
      <c r="N845" s="6" t="str">
        <f>_xlfn.XLOOKUP(tblSales[[#This Row],[ProductID]],tblProducts[ProductID],tblProducts[ProductName],"Not Found")</f>
        <v>NeuroCalm</v>
      </c>
      <c r="O845" s="8">
        <f>YEAR(tblSales[[#This Row],[Month]])</f>
        <v>2025</v>
      </c>
      <c r="P845" s="8">
        <f>MONTH(tblSales[[#This Row],[Month]])</f>
        <v>6</v>
      </c>
      <c r="Q845" s="6">
        <f>IFERROR(tblSales[[#This Row],[NetSalesTRY]]/tblSales[[#This Row],[Units]],0)</f>
        <v>1034.1635051546391</v>
      </c>
      <c r="R845" s="17">
        <f>IFERROR(tblSales[[#This Row],[NetSalesTRY]]/tblSales[[#This Row],[TargetTRY]],0)</f>
        <v>1.014129225481152</v>
      </c>
      <c r="S845" s="6">
        <f>tblSales[[#This Row],[NetSalesTRY]]-tblSales[[#This Row],[TargetTRY]]</f>
        <v>1397.6100000000006</v>
      </c>
      <c r="T845" s="6">
        <f>MAX(tblSales[[#This Row],[TargetTRY]]-tblSales[[#This Row],[NetSalesTRY]],0)</f>
        <v>0</v>
      </c>
    </row>
    <row r="846" spans="1:20">
      <c r="A846" t="s">
        <v>1234</v>
      </c>
      <c r="B846" s="15">
        <v>45809</v>
      </c>
      <c r="C846" t="s">
        <v>23</v>
      </c>
      <c r="D846" t="s">
        <v>24</v>
      </c>
      <c r="E846" t="s">
        <v>55</v>
      </c>
      <c r="F846" t="s">
        <v>53</v>
      </c>
      <c r="G846" t="s">
        <v>5</v>
      </c>
      <c r="H846" s="8">
        <v>134</v>
      </c>
      <c r="I846" s="9">
        <v>131354.35999999999</v>
      </c>
      <c r="J846" s="9">
        <v>9601.1</v>
      </c>
      <c r="K846" s="9">
        <v>561.80999999999995</v>
      </c>
      <c r="L846" s="9">
        <v>121191.45</v>
      </c>
      <c r="M846" s="9">
        <v>124621.52</v>
      </c>
      <c r="N846" s="6" t="str">
        <f>_xlfn.XLOOKUP(tblSales[[#This Row],[ProductID]],tblProducts[ProductID],tblProducts[ProductName],"Not Found")</f>
        <v>Cardiovan</v>
      </c>
      <c r="O846" s="8">
        <f>YEAR(tblSales[[#This Row],[Month]])</f>
        <v>2025</v>
      </c>
      <c r="P846" s="8">
        <f>MONTH(tblSales[[#This Row],[Month]])</f>
        <v>6</v>
      </c>
      <c r="Q846" s="6">
        <f>IFERROR(tblSales[[#This Row],[NetSalesTRY]]/tblSales[[#This Row],[Units]],0)</f>
        <v>904.41380597014927</v>
      </c>
      <c r="R846" s="17">
        <f>IFERROR(tblSales[[#This Row],[NetSalesTRY]]/tblSales[[#This Row],[TargetTRY]],0)</f>
        <v>0.97247610204080315</v>
      </c>
      <c r="S846" s="6">
        <f>tblSales[[#This Row],[NetSalesTRY]]-tblSales[[#This Row],[TargetTRY]]</f>
        <v>-3430.070000000007</v>
      </c>
      <c r="T846" s="6">
        <f>MAX(tblSales[[#This Row],[TargetTRY]]-tblSales[[#This Row],[NetSalesTRY]],0)</f>
        <v>3430.070000000007</v>
      </c>
    </row>
    <row r="847" spans="1:20">
      <c r="A847" t="s">
        <v>1235</v>
      </c>
      <c r="B847" s="15">
        <v>45809</v>
      </c>
      <c r="C847" t="s">
        <v>23</v>
      </c>
      <c r="D847" t="s">
        <v>24</v>
      </c>
      <c r="E847" t="s">
        <v>55</v>
      </c>
      <c r="F847" t="s">
        <v>53</v>
      </c>
      <c r="G847" t="s">
        <v>8</v>
      </c>
      <c r="H847" s="8">
        <v>163</v>
      </c>
      <c r="I847" s="9">
        <v>124330.2</v>
      </c>
      <c r="J847" s="9">
        <v>5247.11</v>
      </c>
      <c r="K847" s="9">
        <v>762.56</v>
      </c>
      <c r="L847" s="9">
        <v>118320.54</v>
      </c>
      <c r="M847" s="9">
        <v>109950.21</v>
      </c>
      <c r="N847" s="6" t="str">
        <f>_xlfn.XLOOKUP(tblSales[[#This Row],[ProductID]],tblProducts[ProductID],tblProducts[ProductName],"Not Found")</f>
        <v>GlucoRelief</v>
      </c>
      <c r="O847" s="8">
        <f>YEAR(tblSales[[#This Row],[Month]])</f>
        <v>2025</v>
      </c>
      <c r="P847" s="8">
        <f>MONTH(tblSales[[#This Row],[Month]])</f>
        <v>6</v>
      </c>
      <c r="Q847" s="6">
        <f>IFERROR(tblSales[[#This Row],[NetSalesTRY]]/tblSales[[#This Row],[Units]],0)</f>
        <v>725.8928834355828</v>
      </c>
      <c r="R847" s="17">
        <f>IFERROR(tblSales[[#This Row],[NetSalesTRY]]/tblSales[[#This Row],[TargetTRY]],0)</f>
        <v>1.0761283675583702</v>
      </c>
      <c r="S847" s="6">
        <f>tblSales[[#This Row],[NetSalesTRY]]-tblSales[[#This Row],[TargetTRY]]</f>
        <v>8370.3299999999872</v>
      </c>
      <c r="T847" s="6">
        <f>MAX(tblSales[[#This Row],[TargetTRY]]-tblSales[[#This Row],[NetSalesTRY]],0)</f>
        <v>0</v>
      </c>
    </row>
    <row r="848" spans="1:20">
      <c r="A848" t="s">
        <v>1236</v>
      </c>
      <c r="B848" s="15">
        <v>45809</v>
      </c>
      <c r="C848" t="s">
        <v>23</v>
      </c>
      <c r="D848" t="s">
        <v>24</v>
      </c>
      <c r="E848" t="s">
        <v>55</v>
      </c>
      <c r="F848" t="s">
        <v>53</v>
      </c>
      <c r="G848" t="s">
        <v>11</v>
      </c>
      <c r="H848" s="8">
        <v>175</v>
      </c>
      <c r="I848" s="9">
        <v>109068.12</v>
      </c>
      <c r="J848" s="9">
        <v>4856.78</v>
      </c>
      <c r="K848" s="9">
        <v>986.35</v>
      </c>
      <c r="L848" s="9">
        <v>103224.99</v>
      </c>
      <c r="M848" s="9">
        <v>103447.17</v>
      </c>
      <c r="N848" s="6" t="str">
        <f>_xlfn.XLOOKUP(tblSales[[#This Row],[ProductID]],tblProducts[ProductID],tblProducts[ProductName],"Not Found")</f>
        <v>RespiraX</v>
      </c>
      <c r="O848" s="8">
        <f>YEAR(tblSales[[#This Row],[Month]])</f>
        <v>2025</v>
      </c>
      <c r="P848" s="8">
        <f>MONTH(tblSales[[#This Row],[Month]])</f>
        <v>6</v>
      </c>
      <c r="Q848" s="6">
        <f>IFERROR(tblSales[[#This Row],[NetSalesTRY]]/tblSales[[#This Row],[Units]],0)</f>
        <v>589.85708571428574</v>
      </c>
      <c r="R848" s="17">
        <f>IFERROR(tblSales[[#This Row],[NetSalesTRY]]/tblSales[[#This Row],[TargetTRY]],0)</f>
        <v>0.99785223704041404</v>
      </c>
      <c r="S848" s="6">
        <f>tblSales[[#This Row],[NetSalesTRY]]-tblSales[[#This Row],[TargetTRY]]</f>
        <v>-222.17999999999302</v>
      </c>
      <c r="T848" s="6">
        <f>MAX(tblSales[[#This Row],[TargetTRY]]-tblSales[[#This Row],[NetSalesTRY]],0)</f>
        <v>222.17999999999302</v>
      </c>
    </row>
    <row r="849" spans="1:20">
      <c r="A849" t="s">
        <v>1237</v>
      </c>
      <c r="B849" s="15">
        <v>45809</v>
      </c>
      <c r="C849" t="s">
        <v>23</v>
      </c>
      <c r="D849" t="s">
        <v>24</v>
      </c>
      <c r="E849" t="s">
        <v>55</v>
      </c>
      <c r="F849" t="s">
        <v>53</v>
      </c>
      <c r="G849" t="s">
        <v>14</v>
      </c>
      <c r="H849" s="8">
        <v>99</v>
      </c>
      <c r="I849" s="9">
        <v>109175.88</v>
      </c>
      <c r="J849" s="9">
        <v>6116.97</v>
      </c>
      <c r="K849" s="9">
        <v>1090.77</v>
      </c>
      <c r="L849" s="9">
        <v>101968.13</v>
      </c>
      <c r="M849" s="9">
        <v>102592.34</v>
      </c>
      <c r="N849" s="6" t="str">
        <f>_xlfn.XLOOKUP(tblSales[[#This Row],[ProductID]],tblProducts[ProductID],tblProducts[ProductName],"Not Found")</f>
        <v>NeuroCalm</v>
      </c>
      <c r="O849" s="8">
        <f>YEAR(tblSales[[#This Row],[Month]])</f>
        <v>2025</v>
      </c>
      <c r="P849" s="8">
        <f>MONTH(tblSales[[#This Row],[Month]])</f>
        <v>6</v>
      </c>
      <c r="Q849" s="6">
        <f>IFERROR(tblSales[[#This Row],[NetSalesTRY]]/tblSales[[#This Row],[Units]],0)</f>
        <v>1029.9811111111112</v>
      </c>
      <c r="R849" s="17">
        <f>IFERROR(tblSales[[#This Row],[NetSalesTRY]]/tblSales[[#This Row],[TargetTRY]],0)</f>
        <v>0.99391562761898211</v>
      </c>
      <c r="S849" s="6">
        <f>tblSales[[#This Row],[NetSalesTRY]]-tblSales[[#This Row],[TargetTRY]]</f>
        <v>-624.20999999999185</v>
      </c>
      <c r="T849" s="6">
        <f>MAX(tblSales[[#This Row],[TargetTRY]]-tblSales[[#This Row],[NetSalesTRY]],0)</f>
        <v>624.20999999999185</v>
      </c>
    </row>
    <row r="850" spans="1:20">
      <c r="A850" t="s">
        <v>1238</v>
      </c>
      <c r="B850" s="15">
        <v>45809</v>
      </c>
      <c r="C850" t="s">
        <v>23</v>
      </c>
      <c r="D850" t="s">
        <v>24</v>
      </c>
      <c r="E850" t="s">
        <v>58</v>
      </c>
      <c r="F850" t="s">
        <v>56</v>
      </c>
      <c r="G850" t="s">
        <v>5</v>
      </c>
      <c r="H850" s="8">
        <v>138</v>
      </c>
      <c r="I850" s="9">
        <v>133983.81</v>
      </c>
      <c r="J850" s="9">
        <v>9356.9500000000007</v>
      </c>
      <c r="K850" s="9">
        <v>1620.16</v>
      </c>
      <c r="L850" s="9">
        <v>123006.7</v>
      </c>
      <c r="M850" s="9">
        <v>127485.72</v>
      </c>
      <c r="N850" s="6" t="str">
        <f>_xlfn.XLOOKUP(tblSales[[#This Row],[ProductID]],tblProducts[ProductID],tblProducts[ProductName],"Not Found")</f>
        <v>Cardiovan</v>
      </c>
      <c r="O850" s="8">
        <f>YEAR(tblSales[[#This Row],[Month]])</f>
        <v>2025</v>
      </c>
      <c r="P850" s="8">
        <f>MONTH(tblSales[[#This Row],[Month]])</f>
        <v>6</v>
      </c>
      <c r="Q850" s="6">
        <f>IFERROR(tblSales[[#This Row],[NetSalesTRY]]/tblSales[[#This Row],[Units]],0)</f>
        <v>891.3528985507246</v>
      </c>
      <c r="R850" s="17">
        <f>IFERROR(tblSales[[#This Row],[NetSalesTRY]]/tblSales[[#This Row],[TargetTRY]],0)</f>
        <v>0.96486649642014799</v>
      </c>
      <c r="S850" s="6">
        <f>tblSales[[#This Row],[NetSalesTRY]]-tblSales[[#This Row],[TargetTRY]]</f>
        <v>-4479.0200000000041</v>
      </c>
      <c r="T850" s="6">
        <f>MAX(tblSales[[#This Row],[TargetTRY]]-tblSales[[#This Row],[NetSalesTRY]],0)</f>
        <v>4479.0200000000041</v>
      </c>
    </row>
    <row r="851" spans="1:20">
      <c r="A851" t="s">
        <v>1239</v>
      </c>
      <c r="B851" s="15">
        <v>45809</v>
      </c>
      <c r="C851" t="s">
        <v>23</v>
      </c>
      <c r="D851" t="s">
        <v>24</v>
      </c>
      <c r="E851" t="s">
        <v>58</v>
      </c>
      <c r="F851" t="s">
        <v>56</v>
      </c>
      <c r="G851" t="s">
        <v>8</v>
      </c>
      <c r="H851" s="8">
        <v>167</v>
      </c>
      <c r="I851" s="9">
        <v>126672.13</v>
      </c>
      <c r="J851" s="9">
        <v>9213.89</v>
      </c>
      <c r="K851" s="9">
        <v>1724.42</v>
      </c>
      <c r="L851" s="9">
        <v>115733.82</v>
      </c>
      <c r="M851" s="9">
        <v>114946.5</v>
      </c>
      <c r="N851" s="6" t="str">
        <f>_xlfn.XLOOKUP(tblSales[[#This Row],[ProductID]],tblProducts[ProductID],tblProducts[ProductName],"Not Found")</f>
        <v>GlucoRelief</v>
      </c>
      <c r="O851" s="8">
        <f>YEAR(tblSales[[#This Row],[Month]])</f>
        <v>2025</v>
      </c>
      <c r="P851" s="8">
        <f>MONTH(tblSales[[#This Row],[Month]])</f>
        <v>6</v>
      </c>
      <c r="Q851" s="6">
        <f>IFERROR(tblSales[[#This Row],[NetSalesTRY]]/tblSales[[#This Row],[Units]],0)</f>
        <v>693.016886227545</v>
      </c>
      <c r="R851" s="17">
        <f>IFERROR(tblSales[[#This Row],[NetSalesTRY]]/tblSales[[#This Row],[TargetTRY]],0)</f>
        <v>1.0068494473515941</v>
      </c>
      <c r="S851" s="6">
        <f>tblSales[[#This Row],[NetSalesTRY]]-tblSales[[#This Row],[TargetTRY]]</f>
        <v>787.32000000000698</v>
      </c>
      <c r="T851" s="6">
        <f>MAX(tblSales[[#This Row],[TargetTRY]]-tblSales[[#This Row],[NetSalesTRY]],0)</f>
        <v>0</v>
      </c>
    </row>
    <row r="852" spans="1:20">
      <c r="A852" t="s">
        <v>1240</v>
      </c>
      <c r="B852" s="15">
        <v>45809</v>
      </c>
      <c r="C852" t="s">
        <v>23</v>
      </c>
      <c r="D852" t="s">
        <v>24</v>
      </c>
      <c r="E852" t="s">
        <v>58</v>
      </c>
      <c r="F852" t="s">
        <v>56</v>
      </c>
      <c r="G852" t="s">
        <v>11</v>
      </c>
      <c r="H852" s="8">
        <v>173</v>
      </c>
      <c r="I852" s="9">
        <v>107729.96</v>
      </c>
      <c r="J852" s="9">
        <v>5359.44</v>
      </c>
      <c r="K852" s="9">
        <v>615.78</v>
      </c>
      <c r="L852" s="9">
        <v>101754.74</v>
      </c>
      <c r="M852" s="9">
        <v>106101.11</v>
      </c>
      <c r="N852" s="6" t="str">
        <f>_xlfn.XLOOKUP(tblSales[[#This Row],[ProductID]],tblProducts[ProductID],tblProducts[ProductName],"Not Found")</f>
        <v>RespiraX</v>
      </c>
      <c r="O852" s="8">
        <f>YEAR(tblSales[[#This Row],[Month]])</f>
        <v>2025</v>
      </c>
      <c r="P852" s="8">
        <f>MONTH(tblSales[[#This Row],[Month]])</f>
        <v>6</v>
      </c>
      <c r="Q852" s="6">
        <f>IFERROR(tblSales[[#This Row],[NetSalesTRY]]/tblSales[[#This Row],[Units]],0)</f>
        <v>588.17768786127169</v>
      </c>
      <c r="R852" s="17">
        <f>IFERROR(tblSales[[#This Row],[NetSalesTRY]]/tblSales[[#This Row],[TargetTRY]],0)</f>
        <v>0.95903558407635892</v>
      </c>
      <c r="S852" s="6">
        <f>tblSales[[#This Row],[NetSalesTRY]]-tblSales[[#This Row],[TargetTRY]]</f>
        <v>-4346.3699999999953</v>
      </c>
      <c r="T852" s="6">
        <f>MAX(tblSales[[#This Row],[TargetTRY]]-tblSales[[#This Row],[NetSalesTRY]],0)</f>
        <v>4346.3699999999953</v>
      </c>
    </row>
    <row r="853" spans="1:20">
      <c r="A853" t="s">
        <v>1241</v>
      </c>
      <c r="B853" s="15">
        <v>45809</v>
      </c>
      <c r="C853" t="s">
        <v>23</v>
      </c>
      <c r="D853" t="s">
        <v>24</v>
      </c>
      <c r="E853" t="s">
        <v>58</v>
      </c>
      <c r="F853" t="s">
        <v>56</v>
      </c>
      <c r="G853" t="s">
        <v>14</v>
      </c>
      <c r="H853" s="8">
        <v>103</v>
      </c>
      <c r="I853" s="9">
        <v>113388.26</v>
      </c>
      <c r="J853" s="9">
        <v>5981.99</v>
      </c>
      <c r="K853" s="9">
        <v>1205.6600000000001</v>
      </c>
      <c r="L853" s="9">
        <v>106200.61</v>
      </c>
      <c r="M853" s="9">
        <v>104547.61</v>
      </c>
      <c r="N853" s="6" t="str">
        <f>_xlfn.XLOOKUP(tblSales[[#This Row],[ProductID]],tblProducts[ProductID],tblProducts[ProductName],"Not Found")</f>
        <v>NeuroCalm</v>
      </c>
      <c r="O853" s="8">
        <f>YEAR(tblSales[[#This Row],[Month]])</f>
        <v>2025</v>
      </c>
      <c r="P853" s="8">
        <f>MONTH(tblSales[[#This Row],[Month]])</f>
        <v>6</v>
      </c>
      <c r="Q853" s="6">
        <f>IFERROR(tblSales[[#This Row],[NetSalesTRY]]/tblSales[[#This Row],[Units]],0)</f>
        <v>1031.0738834951455</v>
      </c>
      <c r="R853" s="17">
        <f>IFERROR(tblSales[[#This Row],[NetSalesTRY]]/tblSales[[#This Row],[TargetTRY]],0)</f>
        <v>1.0158109783666982</v>
      </c>
      <c r="S853" s="6">
        <f>tblSales[[#This Row],[NetSalesTRY]]-tblSales[[#This Row],[TargetTRY]]</f>
        <v>1653</v>
      </c>
      <c r="T853" s="6">
        <f>MAX(tblSales[[#This Row],[TargetTRY]]-tblSales[[#This Row],[NetSalesTRY]],0)</f>
        <v>0</v>
      </c>
    </row>
    <row r="854" spans="1:20">
      <c r="A854" t="s">
        <v>1242</v>
      </c>
      <c r="B854" s="15">
        <v>45809</v>
      </c>
      <c r="C854" t="s">
        <v>25</v>
      </c>
      <c r="D854" t="s">
        <v>26</v>
      </c>
      <c r="E854" t="s">
        <v>61</v>
      </c>
      <c r="F854" t="s">
        <v>59</v>
      </c>
      <c r="G854" t="s">
        <v>5</v>
      </c>
      <c r="H854" s="8">
        <v>107</v>
      </c>
      <c r="I854" s="9">
        <v>104736.44</v>
      </c>
      <c r="J854" s="9">
        <v>5576.05</v>
      </c>
      <c r="K854" s="9">
        <v>719.45</v>
      </c>
      <c r="L854" s="9">
        <v>98440.94</v>
      </c>
      <c r="M854" s="9">
        <v>98724.3</v>
      </c>
      <c r="N854" s="6" t="str">
        <f>_xlfn.XLOOKUP(tblSales[[#This Row],[ProductID]],tblProducts[ProductID],tblProducts[ProductName],"Not Found")</f>
        <v>Cardiovan</v>
      </c>
      <c r="O854" s="8">
        <f>YEAR(tblSales[[#This Row],[Month]])</f>
        <v>2025</v>
      </c>
      <c r="P854" s="8">
        <f>MONTH(tblSales[[#This Row],[Month]])</f>
        <v>6</v>
      </c>
      <c r="Q854" s="6">
        <f>IFERROR(tblSales[[#This Row],[NetSalesTRY]]/tblSales[[#This Row],[Units]],0)</f>
        <v>920.00878504672903</v>
      </c>
      <c r="R854" s="17">
        <f>IFERROR(tblSales[[#This Row],[NetSalesTRY]]/tblSales[[#This Row],[TargetTRY]],0)</f>
        <v>0.99712978466294522</v>
      </c>
      <c r="S854" s="6">
        <f>tblSales[[#This Row],[NetSalesTRY]]-tblSales[[#This Row],[TargetTRY]]</f>
        <v>-283.36000000000058</v>
      </c>
      <c r="T854" s="6">
        <f>MAX(tblSales[[#This Row],[TargetTRY]]-tblSales[[#This Row],[NetSalesTRY]],0)</f>
        <v>283.36000000000058</v>
      </c>
    </row>
    <row r="855" spans="1:20">
      <c r="A855" t="s">
        <v>1243</v>
      </c>
      <c r="B855" s="15">
        <v>45809</v>
      </c>
      <c r="C855" t="s">
        <v>25</v>
      </c>
      <c r="D855" t="s">
        <v>26</v>
      </c>
      <c r="E855" t="s">
        <v>61</v>
      </c>
      <c r="F855" t="s">
        <v>59</v>
      </c>
      <c r="G855" t="s">
        <v>8</v>
      </c>
      <c r="H855" s="8">
        <v>119</v>
      </c>
      <c r="I855" s="9">
        <v>89421.43</v>
      </c>
      <c r="J855" s="9">
        <v>5148.54</v>
      </c>
      <c r="K855" s="9">
        <v>771.34</v>
      </c>
      <c r="L855" s="9">
        <v>83501.55</v>
      </c>
      <c r="M855" s="9">
        <v>88396.41</v>
      </c>
      <c r="N855" s="6" t="str">
        <f>_xlfn.XLOOKUP(tblSales[[#This Row],[ProductID]],tblProducts[ProductID],tblProducts[ProductName],"Not Found")</f>
        <v>GlucoRelief</v>
      </c>
      <c r="O855" s="8">
        <f>YEAR(tblSales[[#This Row],[Month]])</f>
        <v>2025</v>
      </c>
      <c r="P855" s="8">
        <f>MONTH(tblSales[[#This Row],[Month]])</f>
        <v>6</v>
      </c>
      <c r="Q855" s="6">
        <f>IFERROR(tblSales[[#This Row],[NetSalesTRY]]/tblSales[[#This Row],[Units]],0)</f>
        <v>701.69369747899157</v>
      </c>
      <c r="R855" s="17">
        <f>IFERROR(tblSales[[#This Row],[NetSalesTRY]]/tblSales[[#This Row],[TargetTRY]],0)</f>
        <v>0.94462603175852955</v>
      </c>
      <c r="S855" s="6">
        <f>tblSales[[#This Row],[NetSalesTRY]]-tblSales[[#This Row],[TargetTRY]]</f>
        <v>-4894.8600000000006</v>
      </c>
      <c r="T855" s="6">
        <f>MAX(tblSales[[#This Row],[TargetTRY]]-tblSales[[#This Row],[NetSalesTRY]],0)</f>
        <v>4894.8600000000006</v>
      </c>
    </row>
    <row r="856" spans="1:20">
      <c r="A856" t="s">
        <v>1244</v>
      </c>
      <c r="B856" s="15">
        <v>45809</v>
      </c>
      <c r="C856" t="s">
        <v>25</v>
      </c>
      <c r="D856" t="s">
        <v>26</v>
      </c>
      <c r="E856" t="s">
        <v>61</v>
      </c>
      <c r="F856" t="s">
        <v>59</v>
      </c>
      <c r="G856" t="s">
        <v>11</v>
      </c>
      <c r="H856" s="8">
        <v>134</v>
      </c>
      <c r="I856" s="9">
        <v>82335.199999999997</v>
      </c>
      <c r="J856" s="9">
        <v>5169.29</v>
      </c>
      <c r="K856" s="9">
        <v>715.86</v>
      </c>
      <c r="L856" s="9">
        <v>76450.06</v>
      </c>
      <c r="M856" s="9">
        <v>85238.35</v>
      </c>
      <c r="N856" s="6" t="str">
        <f>_xlfn.XLOOKUP(tblSales[[#This Row],[ProductID]],tblProducts[ProductID],tblProducts[ProductName],"Not Found")</f>
        <v>RespiraX</v>
      </c>
      <c r="O856" s="8">
        <f>YEAR(tblSales[[#This Row],[Month]])</f>
        <v>2025</v>
      </c>
      <c r="P856" s="8">
        <f>MONTH(tblSales[[#This Row],[Month]])</f>
        <v>6</v>
      </c>
      <c r="Q856" s="6">
        <f>IFERROR(tblSales[[#This Row],[NetSalesTRY]]/tblSales[[#This Row],[Units]],0)</f>
        <v>570.52283582089547</v>
      </c>
      <c r="R856" s="17">
        <f>IFERROR(tblSales[[#This Row],[NetSalesTRY]]/tblSales[[#This Row],[TargetTRY]],0)</f>
        <v>0.89689746458020358</v>
      </c>
      <c r="S856" s="6">
        <f>tblSales[[#This Row],[NetSalesTRY]]-tblSales[[#This Row],[TargetTRY]]</f>
        <v>-8788.2900000000081</v>
      </c>
      <c r="T856" s="6">
        <f>MAX(tblSales[[#This Row],[TargetTRY]]-tblSales[[#This Row],[NetSalesTRY]],0)</f>
        <v>8788.2900000000081</v>
      </c>
    </row>
    <row r="857" spans="1:20">
      <c r="A857" t="s">
        <v>1245</v>
      </c>
      <c r="B857" s="15">
        <v>45809</v>
      </c>
      <c r="C857" t="s">
        <v>25</v>
      </c>
      <c r="D857" t="s">
        <v>26</v>
      </c>
      <c r="E857" t="s">
        <v>61</v>
      </c>
      <c r="F857" t="s">
        <v>59</v>
      </c>
      <c r="G857" t="s">
        <v>14</v>
      </c>
      <c r="H857" s="8">
        <v>74</v>
      </c>
      <c r="I857" s="9">
        <v>81209.759999999995</v>
      </c>
      <c r="J857" s="9">
        <v>3117.46</v>
      </c>
      <c r="K857" s="9">
        <v>1128.78</v>
      </c>
      <c r="L857" s="9">
        <v>76963.520000000004</v>
      </c>
      <c r="M857" s="9">
        <v>81633.97</v>
      </c>
      <c r="N857" s="6" t="str">
        <f>_xlfn.XLOOKUP(tblSales[[#This Row],[ProductID]],tblProducts[ProductID],tblProducts[ProductName],"Not Found")</f>
        <v>NeuroCalm</v>
      </c>
      <c r="O857" s="8">
        <f>YEAR(tblSales[[#This Row],[Month]])</f>
        <v>2025</v>
      </c>
      <c r="P857" s="8">
        <f>MONTH(tblSales[[#This Row],[Month]])</f>
        <v>6</v>
      </c>
      <c r="Q857" s="6">
        <f>IFERROR(tblSales[[#This Row],[NetSalesTRY]]/tblSales[[#This Row],[Units]],0)</f>
        <v>1040.0475675675675</v>
      </c>
      <c r="R857" s="17">
        <f>IFERROR(tblSales[[#This Row],[NetSalesTRY]]/tblSales[[#This Row],[TargetTRY]],0)</f>
        <v>0.94278791047403432</v>
      </c>
      <c r="S857" s="6">
        <f>tblSales[[#This Row],[NetSalesTRY]]-tblSales[[#This Row],[TargetTRY]]</f>
        <v>-4670.4499999999971</v>
      </c>
      <c r="T857" s="6">
        <f>MAX(tblSales[[#This Row],[TargetTRY]]-tblSales[[#This Row],[NetSalesTRY]],0)</f>
        <v>4670.4499999999971</v>
      </c>
    </row>
    <row r="858" spans="1:20">
      <c r="A858" t="s">
        <v>1246</v>
      </c>
      <c r="B858" s="15">
        <v>45809</v>
      </c>
      <c r="C858" t="s">
        <v>25</v>
      </c>
      <c r="D858" t="s">
        <v>26</v>
      </c>
      <c r="E858" t="s">
        <v>64</v>
      </c>
      <c r="F858" t="s">
        <v>62</v>
      </c>
      <c r="G858" t="s">
        <v>5</v>
      </c>
      <c r="H858" s="8">
        <v>96</v>
      </c>
      <c r="I858" s="9">
        <v>95401.71</v>
      </c>
      <c r="J858" s="9">
        <v>5561.66</v>
      </c>
      <c r="K858" s="9">
        <v>853.02</v>
      </c>
      <c r="L858" s="9">
        <v>88987.02</v>
      </c>
      <c r="M858" s="9">
        <v>99487.87</v>
      </c>
      <c r="N858" s="6" t="str">
        <f>_xlfn.XLOOKUP(tblSales[[#This Row],[ProductID]],tblProducts[ProductID],tblProducts[ProductName],"Not Found")</f>
        <v>Cardiovan</v>
      </c>
      <c r="O858" s="8">
        <f>YEAR(tblSales[[#This Row],[Month]])</f>
        <v>2025</v>
      </c>
      <c r="P858" s="8">
        <f>MONTH(tblSales[[#This Row],[Month]])</f>
        <v>6</v>
      </c>
      <c r="Q858" s="6">
        <f>IFERROR(tblSales[[#This Row],[NetSalesTRY]]/tblSales[[#This Row],[Units]],0)</f>
        <v>926.948125</v>
      </c>
      <c r="R858" s="17">
        <f>IFERROR(tblSales[[#This Row],[NetSalesTRY]]/tblSales[[#This Row],[TargetTRY]],0)</f>
        <v>0.8944509516587299</v>
      </c>
      <c r="S858" s="6">
        <f>tblSales[[#This Row],[NetSalesTRY]]-tblSales[[#This Row],[TargetTRY]]</f>
        <v>-10500.849999999991</v>
      </c>
      <c r="T858" s="6">
        <f>MAX(tblSales[[#This Row],[TargetTRY]]-tblSales[[#This Row],[NetSalesTRY]],0)</f>
        <v>10500.849999999991</v>
      </c>
    </row>
    <row r="859" spans="1:20">
      <c r="A859" t="s">
        <v>1247</v>
      </c>
      <c r="B859" s="15">
        <v>45809</v>
      </c>
      <c r="C859" t="s">
        <v>25</v>
      </c>
      <c r="D859" t="s">
        <v>26</v>
      </c>
      <c r="E859" t="s">
        <v>64</v>
      </c>
      <c r="F859" t="s">
        <v>62</v>
      </c>
      <c r="G859" t="s">
        <v>8</v>
      </c>
      <c r="H859" s="8">
        <v>122</v>
      </c>
      <c r="I859" s="9">
        <v>93827.01</v>
      </c>
      <c r="J859" s="9">
        <v>5647.36</v>
      </c>
      <c r="K859" s="9">
        <v>689.92</v>
      </c>
      <c r="L859" s="9">
        <v>87489.72</v>
      </c>
      <c r="M859" s="9">
        <v>90085.25</v>
      </c>
      <c r="N859" s="6" t="str">
        <f>_xlfn.XLOOKUP(tblSales[[#This Row],[ProductID]],tblProducts[ProductID],tblProducts[ProductName],"Not Found")</f>
        <v>GlucoRelief</v>
      </c>
      <c r="O859" s="8">
        <f>YEAR(tblSales[[#This Row],[Month]])</f>
        <v>2025</v>
      </c>
      <c r="P859" s="8">
        <f>MONTH(tblSales[[#This Row],[Month]])</f>
        <v>6</v>
      </c>
      <c r="Q859" s="6">
        <f>IFERROR(tblSales[[#This Row],[NetSalesTRY]]/tblSales[[#This Row],[Units]],0)</f>
        <v>717.12885245901646</v>
      </c>
      <c r="R859" s="17">
        <f>IFERROR(tblSales[[#This Row],[NetSalesTRY]]/tblSales[[#This Row],[TargetTRY]],0)</f>
        <v>0.97118806907901123</v>
      </c>
      <c r="S859" s="6">
        <f>tblSales[[#This Row],[NetSalesTRY]]-tblSales[[#This Row],[TargetTRY]]</f>
        <v>-2595.5299999999988</v>
      </c>
      <c r="T859" s="6">
        <f>MAX(tblSales[[#This Row],[TargetTRY]]-tblSales[[#This Row],[NetSalesTRY]],0)</f>
        <v>2595.5299999999988</v>
      </c>
    </row>
    <row r="860" spans="1:20">
      <c r="A860" t="s">
        <v>1248</v>
      </c>
      <c r="B860" s="15">
        <v>45809</v>
      </c>
      <c r="C860" t="s">
        <v>25</v>
      </c>
      <c r="D860" t="s">
        <v>26</v>
      </c>
      <c r="E860" t="s">
        <v>64</v>
      </c>
      <c r="F860" t="s">
        <v>62</v>
      </c>
      <c r="G860" t="s">
        <v>11</v>
      </c>
      <c r="H860" s="8">
        <v>142</v>
      </c>
      <c r="I860" s="9">
        <v>86724.24</v>
      </c>
      <c r="J860" s="9">
        <v>4812.17</v>
      </c>
      <c r="K860" s="9">
        <v>400.68</v>
      </c>
      <c r="L860" s="9">
        <v>81511.38</v>
      </c>
      <c r="M860" s="9">
        <v>83062.679999999993</v>
      </c>
      <c r="N860" s="6" t="str">
        <f>_xlfn.XLOOKUP(tblSales[[#This Row],[ProductID]],tblProducts[ProductID],tblProducts[ProductName],"Not Found")</f>
        <v>RespiraX</v>
      </c>
      <c r="O860" s="8">
        <f>YEAR(tblSales[[#This Row],[Month]])</f>
        <v>2025</v>
      </c>
      <c r="P860" s="8">
        <f>MONTH(tblSales[[#This Row],[Month]])</f>
        <v>6</v>
      </c>
      <c r="Q860" s="6">
        <f>IFERROR(tblSales[[#This Row],[NetSalesTRY]]/tblSales[[#This Row],[Units]],0)</f>
        <v>574.02380281690148</v>
      </c>
      <c r="R860" s="17">
        <f>IFERROR(tblSales[[#This Row],[NetSalesTRY]]/tblSales[[#This Row],[TargetTRY]],0)</f>
        <v>0.9813237425038539</v>
      </c>
      <c r="S860" s="6">
        <f>tblSales[[#This Row],[NetSalesTRY]]-tblSales[[#This Row],[TargetTRY]]</f>
        <v>-1551.2999999999884</v>
      </c>
      <c r="T860" s="6">
        <f>MAX(tblSales[[#This Row],[TargetTRY]]-tblSales[[#This Row],[NetSalesTRY]],0)</f>
        <v>1551.2999999999884</v>
      </c>
    </row>
    <row r="861" spans="1:20">
      <c r="A861" t="s">
        <v>1249</v>
      </c>
      <c r="B861" s="15">
        <v>45809</v>
      </c>
      <c r="C861" t="s">
        <v>25</v>
      </c>
      <c r="D861" t="s">
        <v>26</v>
      </c>
      <c r="E861" t="s">
        <v>64</v>
      </c>
      <c r="F861" t="s">
        <v>62</v>
      </c>
      <c r="G861" t="s">
        <v>14</v>
      </c>
      <c r="H861" s="8">
        <v>77</v>
      </c>
      <c r="I861" s="9">
        <v>85858.86</v>
      </c>
      <c r="J861" s="9">
        <v>6079.05</v>
      </c>
      <c r="K861" s="9">
        <v>937.99</v>
      </c>
      <c r="L861" s="9">
        <v>78841.820000000007</v>
      </c>
      <c r="M861" s="9">
        <v>80968.210000000006</v>
      </c>
      <c r="N861" s="6" t="str">
        <f>_xlfn.XLOOKUP(tblSales[[#This Row],[ProductID]],tblProducts[ProductID],tblProducts[ProductName],"Not Found")</f>
        <v>NeuroCalm</v>
      </c>
      <c r="O861" s="8">
        <f>YEAR(tblSales[[#This Row],[Month]])</f>
        <v>2025</v>
      </c>
      <c r="P861" s="8">
        <f>MONTH(tblSales[[#This Row],[Month]])</f>
        <v>6</v>
      </c>
      <c r="Q861" s="6">
        <f>IFERROR(tblSales[[#This Row],[NetSalesTRY]]/tblSales[[#This Row],[Units]],0)</f>
        <v>1023.9197402597404</v>
      </c>
      <c r="R861" s="17">
        <f>IFERROR(tblSales[[#This Row],[NetSalesTRY]]/tblSales[[#This Row],[TargetTRY]],0)</f>
        <v>0.97373796456658734</v>
      </c>
      <c r="S861" s="6">
        <f>tblSales[[#This Row],[NetSalesTRY]]-tblSales[[#This Row],[TargetTRY]]</f>
        <v>-2126.3899999999994</v>
      </c>
      <c r="T861" s="6">
        <f>MAX(tblSales[[#This Row],[TargetTRY]]-tblSales[[#This Row],[NetSalesTRY]],0)</f>
        <v>2126.3899999999994</v>
      </c>
    </row>
    <row r="862" spans="1:20">
      <c r="A862" t="s">
        <v>1250</v>
      </c>
      <c r="B862" s="15">
        <v>45809</v>
      </c>
      <c r="C862" t="s">
        <v>25</v>
      </c>
      <c r="D862" t="s">
        <v>26</v>
      </c>
      <c r="E862" t="s">
        <v>67</v>
      </c>
      <c r="F862" t="s">
        <v>65</v>
      </c>
      <c r="G862" t="s">
        <v>5</v>
      </c>
      <c r="H862" s="8">
        <v>110</v>
      </c>
      <c r="I862" s="9">
        <v>107173.55</v>
      </c>
      <c r="J862" s="9">
        <v>5537.49</v>
      </c>
      <c r="K862" s="9">
        <v>1236.8399999999999</v>
      </c>
      <c r="L862" s="9">
        <v>100399.22</v>
      </c>
      <c r="M862" s="9">
        <v>112920.73</v>
      </c>
      <c r="N862" s="6" t="str">
        <f>_xlfn.XLOOKUP(tblSales[[#This Row],[ProductID]],tblProducts[ProductID],tblProducts[ProductName],"Not Found")</f>
        <v>Cardiovan</v>
      </c>
      <c r="O862" s="8">
        <f>YEAR(tblSales[[#This Row],[Month]])</f>
        <v>2025</v>
      </c>
      <c r="P862" s="8">
        <f>MONTH(tblSales[[#This Row],[Month]])</f>
        <v>6</v>
      </c>
      <c r="Q862" s="6">
        <f>IFERROR(tblSales[[#This Row],[NetSalesTRY]]/tblSales[[#This Row],[Units]],0)</f>
        <v>912.7201818181818</v>
      </c>
      <c r="R862" s="17">
        <f>IFERROR(tblSales[[#This Row],[NetSalesTRY]]/tblSales[[#This Row],[TargetTRY]],0)</f>
        <v>0.88911238884126953</v>
      </c>
      <c r="S862" s="6">
        <f>tblSales[[#This Row],[NetSalesTRY]]-tblSales[[#This Row],[TargetTRY]]</f>
        <v>-12521.509999999995</v>
      </c>
      <c r="T862" s="6">
        <f>MAX(tblSales[[#This Row],[TargetTRY]]-tblSales[[#This Row],[NetSalesTRY]],0)</f>
        <v>12521.509999999995</v>
      </c>
    </row>
    <row r="863" spans="1:20">
      <c r="A863" t="s">
        <v>1251</v>
      </c>
      <c r="B863" s="15">
        <v>45809</v>
      </c>
      <c r="C863" t="s">
        <v>25</v>
      </c>
      <c r="D863" t="s">
        <v>26</v>
      </c>
      <c r="E863" t="s">
        <v>67</v>
      </c>
      <c r="F863" t="s">
        <v>65</v>
      </c>
      <c r="G863" t="s">
        <v>8</v>
      </c>
      <c r="H863" s="8">
        <v>137</v>
      </c>
      <c r="I863" s="9">
        <v>105305.58</v>
      </c>
      <c r="J863" s="9">
        <v>7739.71</v>
      </c>
      <c r="K863" s="9">
        <v>800.76</v>
      </c>
      <c r="L863" s="9">
        <v>96765.119999999995</v>
      </c>
      <c r="M863" s="9">
        <v>100463.15</v>
      </c>
      <c r="N863" s="6" t="str">
        <f>_xlfn.XLOOKUP(tblSales[[#This Row],[ProductID]],tblProducts[ProductID],tblProducts[ProductName],"Not Found")</f>
        <v>GlucoRelief</v>
      </c>
      <c r="O863" s="8">
        <f>YEAR(tblSales[[#This Row],[Month]])</f>
        <v>2025</v>
      </c>
      <c r="P863" s="8">
        <f>MONTH(tblSales[[#This Row],[Month]])</f>
        <v>6</v>
      </c>
      <c r="Q863" s="6">
        <f>IFERROR(tblSales[[#This Row],[NetSalesTRY]]/tblSales[[#This Row],[Units]],0)</f>
        <v>706.31474452554744</v>
      </c>
      <c r="R863" s="17">
        <f>IFERROR(tblSales[[#This Row],[NetSalesTRY]]/tblSales[[#This Row],[TargetTRY]],0)</f>
        <v>0.96319018465974837</v>
      </c>
      <c r="S863" s="6">
        <f>tblSales[[#This Row],[NetSalesTRY]]-tblSales[[#This Row],[TargetTRY]]</f>
        <v>-3698.0299999999988</v>
      </c>
      <c r="T863" s="6">
        <f>MAX(tblSales[[#This Row],[TargetTRY]]-tblSales[[#This Row],[NetSalesTRY]],0)</f>
        <v>3698.0299999999988</v>
      </c>
    </row>
    <row r="864" spans="1:20">
      <c r="A864" t="s">
        <v>1252</v>
      </c>
      <c r="B864" s="15">
        <v>45809</v>
      </c>
      <c r="C864" t="s">
        <v>25</v>
      </c>
      <c r="D864" t="s">
        <v>26</v>
      </c>
      <c r="E864" t="s">
        <v>67</v>
      </c>
      <c r="F864" t="s">
        <v>65</v>
      </c>
      <c r="G864" t="s">
        <v>11</v>
      </c>
      <c r="H864" s="8">
        <v>152</v>
      </c>
      <c r="I864" s="9">
        <v>93182.720000000001</v>
      </c>
      <c r="J864" s="9">
        <v>6273.91</v>
      </c>
      <c r="K864" s="9">
        <v>1255.1099999999999</v>
      </c>
      <c r="L864" s="9">
        <v>85653.69</v>
      </c>
      <c r="M864" s="9">
        <v>93820.73</v>
      </c>
      <c r="N864" s="6" t="str">
        <f>_xlfn.XLOOKUP(tblSales[[#This Row],[ProductID]],tblProducts[ProductID],tblProducts[ProductName],"Not Found")</f>
        <v>RespiraX</v>
      </c>
      <c r="O864" s="8">
        <f>YEAR(tblSales[[#This Row],[Month]])</f>
        <v>2025</v>
      </c>
      <c r="P864" s="8">
        <f>MONTH(tblSales[[#This Row],[Month]])</f>
        <v>6</v>
      </c>
      <c r="Q864" s="6">
        <f>IFERROR(tblSales[[#This Row],[NetSalesTRY]]/tblSales[[#This Row],[Units]],0)</f>
        <v>563.51111842105263</v>
      </c>
      <c r="R864" s="17">
        <f>IFERROR(tblSales[[#This Row],[NetSalesTRY]]/tblSales[[#This Row],[TargetTRY]],0)</f>
        <v>0.91295058139070129</v>
      </c>
      <c r="S864" s="6">
        <f>tblSales[[#This Row],[NetSalesTRY]]-tblSales[[#This Row],[TargetTRY]]</f>
        <v>-8167.0399999999936</v>
      </c>
      <c r="T864" s="6">
        <f>MAX(tblSales[[#This Row],[TargetTRY]]-tblSales[[#This Row],[NetSalesTRY]],0)</f>
        <v>8167.0399999999936</v>
      </c>
    </row>
    <row r="865" spans="1:20">
      <c r="A865" t="s">
        <v>1253</v>
      </c>
      <c r="B865" s="15">
        <v>45809</v>
      </c>
      <c r="C865" t="s">
        <v>25</v>
      </c>
      <c r="D865" t="s">
        <v>26</v>
      </c>
      <c r="E865" t="s">
        <v>67</v>
      </c>
      <c r="F865" t="s">
        <v>65</v>
      </c>
      <c r="G865" t="s">
        <v>14</v>
      </c>
      <c r="H865" s="8">
        <v>83</v>
      </c>
      <c r="I865" s="9">
        <v>90646.45</v>
      </c>
      <c r="J865" s="9">
        <v>4490.87</v>
      </c>
      <c r="K865" s="9">
        <v>608.57000000000005</v>
      </c>
      <c r="L865" s="9">
        <v>85547.02</v>
      </c>
      <c r="M865" s="9">
        <v>92270.62</v>
      </c>
      <c r="N865" s="6" t="str">
        <f>_xlfn.XLOOKUP(tblSales[[#This Row],[ProductID]],tblProducts[ProductID],tblProducts[ProductName],"Not Found")</f>
        <v>NeuroCalm</v>
      </c>
      <c r="O865" s="8">
        <f>YEAR(tblSales[[#This Row],[Month]])</f>
        <v>2025</v>
      </c>
      <c r="P865" s="8">
        <f>MONTH(tblSales[[#This Row],[Month]])</f>
        <v>6</v>
      </c>
      <c r="Q865" s="6">
        <f>IFERROR(tblSales[[#This Row],[NetSalesTRY]]/tblSales[[#This Row],[Units]],0)</f>
        <v>1030.6869879518072</v>
      </c>
      <c r="R865" s="17">
        <f>IFERROR(tblSales[[#This Row],[NetSalesTRY]]/tblSales[[#This Row],[TargetTRY]],0)</f>
        <v>0.92713173489026091</v>
      </c>
      <c r="S865" s="6">
        <f>tblSales[[#This Row],[NetSalesTRY]]-tblSales[[#This Row],[TargetTRY]]</f>
        <v>-6723.5999999999913</v>
      </c>
      <c r="T865" s="6">
        <f>MAX(tblSales[[#This Row],[TargetTRY]]-tblSales[[#This Row],[NetSalesTRY]],0)</f>
        <v>6723.5999999999913</v>
      </c>
    </row>
    <row r="866" spans="1:20">
      <c r="A866" t="s">
        <v>1254</v>
      </c>
      <c r="B866" s="15">
        <v>45839</v>
      </c>
      <c r="C866" t="s">
        <v>19</v>
      </c>
      <c r="D866" t="s">
        <v>20</v>
      </c>
      <c r="E866" t="s">
        <v>34</v>
      </c>
      <c r="F866" t="s">
        <v>32</v>
      </c>
      <c r="G866" t="s">
        <v>5</v>
      </c>
      <c r="H866" s="8">
        <v>145</v>
      </c>
      <c r="I866" s="9">
        <v>141409.79</v>
      </c>
      <c r="J866" s="9">
        <v>8145.47</v>
      </c>
      <c r="K866" s="9">
        <v>774.29</v>
      </c>
      <c r="L866" s="9">
        <v>132490.03</v>
      </c>
      <c r="M866" s="9">
        <v>144346.01999999999</v>
      </c>
      <c r="N866" s="6" t="str">
        <f>_xlfn.XLOOKUP(tblSales[[#This Row],[ProductID]],tblProducts[ProductID],tblProducts[ProductName],"Not Found")</f>
        <v>Cardiovan</v>
      </c>
      <c r="O866" s="8">
        <f>YEAR(tblSales[[#This Row],[Month]])</f>
        <v>2025</v>
      </c>
      <c r="P866" s="8">
        <f>MONTH(tblSales[[#This Row],[Month]])</f>
        <v>7</v>
      </c>
      <c r="Q866" s="6">
        <f>IFERROR(tblSales[[#This Row],[NetSalesTRY]]/tblSales[[#This Row],[Units]],0)</f>
        <v>913.72434482758615</v>
      </c>
      <c r="R866" s="17">
        <f>IFERROR(tblSales[[#This Row],[NetSalesTRY]]/tblSales[[#This Row],[TargetTRY]],0)</f>
        <v>0.91786410182975608</v>
      </c>
      <c r="S866" s="6">
        <f>tblSales[[#This Row],[NetSalesTRY]]-tblSales[[#This Row],[TargetTRY]]</f>
        <v>-11855.989999999991</v>
      </c>
      <c r="T866" s="6">
        <f>MAX(tblSales[[#This Row],[TargetTRY]]-tblSales[[#This Row],[NetSalesTRY]],0)</f>
        <v>11855.989999999991</v>
      </c>
    </row>
    <row r="867" spans="1:20">
      <c r="A867" t="s">
        <v>1255</v>
      </c>
      <c r="B867" s="15">
        <v>45839</v>
      </c>
      <c r="C867" t="s">
        <v>19</v>
      </c>
      <c r="D867" t="s">
        <v>20</v>
      </c>
      <c r="E867" t="s">
        <v>34</v>
      </c>
      <c r="F867" t="s">
        <v>32</v>
      </c>
      <c r="G867" t="s">
        <v>8</v>
      </c>
      <c r="H867" s="8">
        <v>198</v>
      </c>
      <c r="I867" s="9">
        <v>150702.31</v>
      </c>
      <c r="J867" s="9">
        <v>10820.81</v>
      </c>
      <c r="K867" s="9">
        <v>1085.0999999999999</v>
      </c>
      <c r="L867" s="9">
        <v>138796.4</v>
      </c>
      <c r="M867" s="9">
        <v>130350.35</v>
      </c>
      <c r="N867" s="6" t="str">
        <f>_xlfn.XLOOKUP(tblSales[[#This Row],[ProductID]],tblProducts[ProductID],tblProducts[ProductName],"Not Found")</f>
        <v>GlucoRelief</v>
      </c>
      <c r="O867" s="8">
        <f>YEAR(tblSales[[#This Row],[Month]])</f>
        <v>2025</v>
      </c>
      <c r="P867" s="8">
        <f>MONTH(tblSales[[#This Row],[Month]])</f>
        <v>7</v>
      </c>
      <c r="Q867" s="6">
        <f>IFERROR(tblSales[[#This Row],[NetSalesTRY]]/tblSales[[#This Row],[Units]],0)</f>
        <v>700.99191919191912</v>
      </c>
      <c r="R867" s="17">
        <f>IFERROR(tblSales[[#This Row],[NetSalesTRY]]/tblSales[[#This Row],[TargetTRY]],0)</f>
        <v>1.064794992878807</v>
      </c>
      <c r="S867" s="6">
        <f>tblSales[[#This Row],[NetSalesTRY]]-tblSales[[#This Row],[TargetTRY]]</f>
        <v>8446.0499999999884</v>
      </c>
      <c r="T867" s="6">
        <f>MAX(tblSales[[#This Row],[TargetTRY]]-tblSales[[#This Row],[NetSalesTRY]],0)</f>
        <v>0</v>
      </c>
    </row>
    <row r="868" spans="1:20">
      <c r="A868" t="s">
        <v>1256</v>
      </c>
      <c r="B868" s="15">
        <v>45839</v>
      </c>
      <c r="C868" t="s">
        <v>19</v>
      </c>
      <c r="D868" t="s">
        <v>20</v>
      </c>
      <c r="E868" t="s">
        <v>34</v>
      </c>
      <c r="F868" t="s">
        <v>32</v>
      </c>
      <c r="G868" t="s">
        <v>11</v>
      </c>
      <c r="H868" s="8">
        <v>214</v>
      </c>
      <c r="I868" s="9">
        <v>134620.67000000001</v>
      </c>
      <c r="J868" s="9">
        <v>6734.26</v>
      </c>
      <c r="K868" s="9">
        <v>1271.58</v>
      </c>
      <c r="L868" s="9">
        <v>126614.82</v>
      </c>
      <c r="M868" s="9">
        <v>122847.96</v>
      </c>
      <c r="N868" s="6" t="str">
        <f>_xlfn.XLOOKUP(tblSales[[#This Row],[ProductID]],tblProducts[ProductID],tblProducts[ProductName],"Not Found")</f>
        <v>RespiraX</v>
      </c>
      <c r="O868" s="8">
        <f>YEAR(tblSales[[#This Row],[Month]])</f>
        <v>2025</v>
      </c>
      <c r="P868" s="8">
        <f>MONTH(tblSales[[#This Row],[Month]])</f>
        <v>7</v>
      </c>
      <c r="Q868" s="6">
        <f>IFERROR(tblSales[[#This Row],[NetSalesTRY]]/tblSales[[#This Row],[Units]],0)</f>
        <v>591.65803738317766</v>
      </c>
      <c r="R868" s="17">
        <f>IFERROR(tblSales[[#This Row],[NetSalesTRY]]/tblSales[[#This Row],[TargetTRY]],0)</f>
        <v>1.0306627802366437</v>
      </c>
      <c r="S868" s="6">
        <f>tblSales[[#This Row],[NetSalesTRY]]-tblSales[[#This Row],[TargetTRY]]</f>
        <v>3766.8600000000006</v>
      </c>
      <c r="T868" s="6">
        <f>MAX(tblSales[[#This Row],[TargetTRY]]-tblSales[[#This Row],[NetSalesTRY]],0)</f>
        <v>0</v>
      </c>
    </row>
    <row r="869" spans="1:20">
      <c r="A869" t="s">
        <v>1257</v>
      </c>
      <c r="B869" s="15">
        <v>45839</v>
      </c>
      <c r="C869" t="s">
        <v>19</v>
      </c>
      <c r="D869" t="s">
        <v>20</v>
      </c>
      <c r="E869" t="s">
        <v>34</v>
      </c>
      <c r="F869" t="s">
        <v>32</v>
      </c>
      <c r="G869" t="s">
        <v>14</v>
      </c>
      <c r="H869" s="8">
        <v>115</v>
      </c>
      <c r="I869" s="9">
        <v>126522.47</v>
      </c>
      <c r="J869" s="9">
        <v>7387.58</v>
      </c>
      <c r="K869" s="9">
        <v>1557.79</v>
      </c>
      <c r="L869" s="9">
        <v>117577.1</v>
      </c>
      <c r="M869" s="9">
        <v>120382.17</v>
      </c>
      <c r="N869" s="6" t="str">
        <f>_xlfn.XLOOKUP(tblSales[[#This Row],[ProductID]],tblProducts[ProductID],tblProducts[ProductName],"Not Found")</f>
        <v>NeuroCalm</v>
      </c>
      <c r="O869" s="8">
        <f>YEAR(tblSales[[#This Row],[Month]])</f>
        <v>2025</v>
      </c>
      <c r="P869" s="8">
        <f>MONTH(tblSales[[#This Row],[Month]])</f>
        <v>7</v>
      </c>
      <c r="Q869" s="6">
        <f>IFERROR(tblSales[[#This Row],[NetSalesTRY]]/tblSales[[#This Row],[Units]],0)</f>
        <v>1022.4095652173913</v>
      </c>
      <c r="R869" s="17">
        <f>IFERROR(tblSales[[#This Row],[NetSalesTRY]]/tblSales[[#This Row],[TargetTRY]],0)</f>
        <v>0.97669862571841004</v>
      </c>
      <c r="S869" s="6">
        <f>tblSales[[#This Row],[NetSalesTRY]]-tblSales[[#This Row],[TargetTRY]]</f>
        <v>-2805.0699999999924</v>
      </c>
      <c r="T869" s="6">
        <f>MAX(tblSales[[#This Row],[TargetTRY]]-tblSales[[#This Row],[NetSalesTRY]],0)</f>
        <v>2805.0699999999924</v>
      </c>
    </row>
    <row r="870" spans="1:20">
      <c r="A870" t="s">
        <v>1258</v>
      </c>
      <c r="B870" s="15">
        <v>45839</v>
      </c>
      <c r="C870" t="s">
        <v>19</v>
      </c>
      <c r="D870" t="s">
        <v>20</v>
      </c>
      <c r="E870" t="s">
        <v>37</v>
      </c>
      <c r="F870" t="s">
        <v>35</v>
      </c>
      <c r="G870" t="s">
        <v>5</v>
      </c>
      <c r="H870" s="8">
        <v>148</v>
      </c>
      <c r="I870" s="9">
        <v>147143.94</v>
      </c>
      <c r="J870" s="9">
        <v>5593.82</v>
      </c>
      <c r="K870" s="9">
        <v>875.9</v>
      </c>
      <c r="L870" s="9">
        <v>140674.22</v>
      </c>
      <c r="M870" s="9">
        <v>144754.95000000001</v>
      </c>
      <c r="N870" s="6" t="str">
        <f>_xlfn.XLOOKUP(tblSales[[#This Row],[ProductID]],tblProducts[ProductID],tblProducts[ProductName],"Not Found")</f>
        <v>Cardiovan</v>
      </c>
      <c r="O870" s="8">
        <f>YEAR(tblSales[[#This Row],[Month]])</f>
        <v>2025</v>
      </c>
      <c r="P870" s="8">
        <f>MONTH(tblSales[[#This Row],[Month]])</f>
        <v>7</v>
      </c>
      <c r="Q870" s="6">
        <f>IFERROR(tblSales[[#This Row],[NetSalesTRY]]/tblSales[[#This Row],[Units]],0)</f>
        <v>950.50148648648644</v>
      </c>
      <c r="R870" s="17">
        <f>IFERROR(tblSales[[#This Row],[NetSalesTRY]]/tblSales[[#This Row],[TargetTRY]],0)</f>
        <v>0.97180939235583996</v>
      </c>
      <c r="S870" s="6">
        <f>tblSales[[#This Row],[NetSalesTRY]]-tblSales[[#This Row],[TargetTRY]]</f>
        <v>-4080.7300000000105</v>
      </c>
      <c r="T870" s="6">
        <f>MAX(tblSales[[#This Row],[TargetTRY]]-tblSales[[#This Row],[NetSalesTRY]],0)</f>
        <v>4080.7300000000105</v>
      </c>
    </row>
    <row r="871" spans="1:20">
      <c r="A871" t="s">
        <v>1259</v>
      </c>
      <c r="B871" s="15">
        <v>45839</v>
      </c>
      <c r="C871" t="s">
        <v>19</v>
      </c>
      <c r="D871" t="s">
        <v>20</v>
      </c>
      <c r="E871" t="s">
        <v>37</v>
      </c>
      <c r="F871" t="s">
        <v>35</v>
      </c>
      <c r="G871" t="s">
        <v>8</v>
      </c>
      <c r="H871" s="8">
        <v>186</v>
      </c>
      <c r="I871" s="9">
        <v>141792.25</v>
      </c>
      <c r="J871" s="9">
        <v>9816.24</v>
      </c>
      <c r="K871" s="9">
        <v>1471.78</v>
      </c>
      <c r="L871" s="9">
        <v>130504.24</v>
      </c>
      <c r="M871" s="9">
        <v>132169.29</v>
      </c>
      <c r="N871" s="6" t="str">
        <f>_xlfn.XLOOKUP(tblSales[[#This Row],[ProductID]],tblProducts[ProductID],tblProducts[ProductName],"Not Found")</f>
        <v>GlucoRelief</v>
      </c>
      <c r="O871" s="8">
        <f>YEAR(tblSales[[#This Row],[Month]])</f>
        <v>2025</v>
      </c>
      <c r="P871" s="8">
        <f>MONTH(tblSales[[#This Row],[Month]])</f>
        <v>7</v>
      </c>
      <c r="Q871" s="6">
        <f>IFERROR(tblSales[[#This Row],[NetSalesTRY]]/tblSales[[#This Row],[Units]],0)</f>
        <v>701.63569892473117</v>
      </c>
      <c r="R871" s="17">
        <f>IFERROR(tblSales[[#This Row],[NetSalesTRY]]/tblSales[[#This Row],[TargetTRY]],0)</f>
        <v>0.98740214160188045</v>
      </c>
      <c r="S871" s="6">
        <f>tblSales[[#This Row],[NetSalesTRY]]-tblSales[[#This Row],[TargetTRY]]</f>
        <v>-1665.0500000000029</v>
      </c>
      <c r="T871" s="6">
        <f>MAX(tblSales[[#This Row],[TargetTRY]]-tblSales[[#This Row],[NetSalesTRY]],0)</f>
        <v>1665.0500000000029</v>
      </c>
    </row>
    <row r="872" spans="1:20">
      <c r="A872" t="s">
        <v>1260</v>
      </c>
      <c r="B872" s="15">
        <v>45839</v>
      </c>
      <c r="C872" t="s">
        <v>19</v>
      </c>
      <c r="D872" t="s">
        <v>20</v>
      </c>
      <c r="E872" t="s">
        <v>37</v>
      </c>
      <c r="F872" t="s">
        <v>35</v>
      </c>
      <c r="G872" t="s">
        <v>11</v>
      </c>
      <c r="H872" s="8">
        <v>213</v>
      </c>
      <c r="I872" s="9">
        <v>132601.87</v>
      </c>
      <c r="J872" s="9">
        <v>5341.78</v>
      </c>
      <c r="K872" s="9">
        <v>1557.55</v>
      </c>
      <c r="L872" s="9">
        <v>125702.54</v>
      </c>
      <c r="M872" s="9">
        <v>124142.73</v>
      </c>
      <c r="N872" s="6" t="str">
        <f>_xlfn.XLOOKUP(tblSales[[#This Row],[ProductID]],tblProducts[ProductID],tblProducts[ProductName],"Not Found")</f>
        <v>RespiraX</v>
      </c>
      <c r="O872" s="8">
        <f>YEAR(tblSales[[#This Row],[Month]])</f>
        <v>2025</v>
      </c>
      <c r="P872" s="8">
        <f>MONTH(tblSales[[#This Row],[Month]])</f>
        <v>7</v>
      </c>
      <c r="Q872" s="6">
        <f>IFERROR(tblSales[[#This Row],[NetSalesTRY]]/tblSales[[#This Row],[Units]],0)</f>
        <v>590.15276995305157</v>
      </c>
      <c r="R872" s="17">
        <f>IFERROR(tblSales[[#This Row],[NetSalesTRY]]/tblSales[[#This Row],[TargetTRY]],0)</f>
        <v>1.0125646503826684</v>
      </c>
      <c r="S872" s="6">
        <f>tblSales[[#This Row],[NetSalesTRY]]-tblSales[[#This Row],[TargetTRY]]</f>
        <v>1559.8099999999977</v>
      </c>
      <c r="T872" s="6">
        <f>MAX(tblSales[[#This Row],[TargetTRY]]-tblSales[[#This Row],[NetSalesTRY]],0)</f>
        <v>0</v>
      </c>
    </row>
    <row r="873" spans="1:20">
      <c r="A873" t="s">
        <v>1261</v>
      </c>
      <c r="B873" s="15">
        <v>45839</v>
      </c>
      <c r="C873" t="s">
        <v>19</v>
      </c>
      <c r="D873" t="s">
        <v>20</v>
      </c>
      <c r="E873" t="s">
        <v>37</v>
      </c>
      <c r="F873" t="s">
        <v>35</v>
      </c>
      <c r="G873" t="s">
        <v>14</v>
      </c>
      <c r="H873" s="8">
        <v>122</v>
      </c>
      <c r="I873" s="9">
        <v>135858.5</v>
      </c>
      <c r="J873" s="9">
        <v>5002.5</v>
      </c>
      <c r="K873" s="9">
        <v>1677.23</v>
      </c>
      <c r="L873" s="9">
        <v>129178.77</v>
      </c>
      <c r="M873" s="9">
        <v>120728.74</v>
      </c>
      <c r="N873" s="6" t="str">
        <f>_xlfn.XLOOKUP(tblSales[[#This Row],[ProductID]],tblProducts[ProductID],tblProducts[ProductName],"Not Found")</f>
        <v>NeuroCalm</v>
      </c>
      <c r="O873" s="8">
        <f>YEAR(tblSales[[#This Row],[Month]])</f>
        <v>2025</v>
      </c>
      <c r="P873" s="8">
        <f>MONTH(tblSales[[#This Row],[Month]])</f>
        <v>7</v>
      </c>
      <c r="Q873" s="6">
        <f>IFERROR(tblSales[[#This Row],[NetSalesTRY]]/tblSales[[#This Row],[Units]],0)</f>
        <v>1058.8423770491804</v>
      </c>
      <c r="R873" s="17">
        <f>IFERROR(tblSales[[#This Row],[NetSalesTRY]]/tblSales[[#This Row],[TargetTRY]],0)</f>
        <v>1.0699918677193185</v>
      </c>
      <c r="S873" s="6">
        <f>tblSales[[#This Row],[NetSalesTRY]]-tblSales[[#This Row],[TargetTRY]]</f>
        <v>8450.0299999999988</v>
      </c>
      <c r="T873" s="6">
        <f>MAX(tblSales[[#This Row],[TargetTRY]]-tblSales[[#This Row],[NetSalesTRY]],0)</f>
        <v>0</v>
      </c>
    </row>
    <row r="874" spans="1:20">
      <c r="A874" t="s">
        <v>1262</v>
      </c>
      <c r="B874" s="15">
        <v>45839</v>
      </c>
      <c r="C874" t="s">
        <v>19</v>
      </c>
      <c r="D874" t="s">
        <v>20</v>
      </c>
      <c r="E874" t="s">
        <v>40</v>
      </c>
      <c r="F874" t="s">
        <v>38</v>
      </c>
      <c r="G874" t="s">
        <v>5</v>
      </c>
      <c r="H874" s="8">
        <v>171</v>
      </c>
      <c r="I874" s="9">
        <v>165621.92000000001</v>
      </c>
      <c r="J874" s="9">
        <v>9741.52</v>
      </c>
      <c r="K874" s="9">
        <v>1920.48</v>
      </c>
      <c r="L874" s="9">
        <v>153959.92000000001</v>
      </c>
      <c r="M874" s="9">
        <v>160161.07999999999</v>
      </c>
      <c r="N874" s="6" t="str">
        <f>_xlfn.XLOOKUP(tblSales[[#This Row],[ProductID]],tblProducts[ProductID],tblProducts[ProductName],"Not Found")</f>
        <v>Cardiovan</v>
      </c>
      <c r="O874" s="8">
        <f>YEAR(tblSales[[#This Row],[Month]])</f>
        <v>2025</v>
      </c>
      <c r="P874" s="8">
        <f>MONTH(tblSales[[#This Row],[Month]])</f>
        <v>7</v>
      </c>
      <c r="Q874" s="6">
        <f>IFERROR(tblSales[[#This Row],[NetSalesTRY]]/tblSales[[#This Row],[Units]],0)</f>
        <v>900.35040935672521</v>
      </c>
      <c r="R874" s="17">
        <f>IFERROR(tblSales[[#This Row],[NetSalesTRY]]/tblSales[[#This Row],[TargetTRY]],0)</f>
        <v>0.9612817296187065</v>
      </c>
      <c r="S874" s="6">
        <f>tblSales[[#This Row],[NetSalesTRY]]-tblSales[[#This Row],[TargetTRY]]</f>
        <v>-6201.1599999999744</v>
      </c>
      <c r="T874" s="6">
        <f>MAX(tblSales[[#This Row],[TargetTRY]]-tblSales[[#This Row],[NetSalesTRY]],0)</f>
        <v>6201.1599999999744</v>
      </c>
    </row>
    <row r="875" spans="1:20">
      <c r="A875" t="s">
        <v>1263</v>
      </c>
      <c r="B875" s="15">
        <v>45839</v>
      </c>
      <c r="C875" t="s">
        <v>19</v>
      </c>
      <c r="D875" t="s">
        <v>20</v>
      </c>
      <c r="E875" t="s">
        <v>40</v>
      </c>
      <c r="F875" t="s">
        <v>38</v>
      </c>
      <c r="G875" t="s">
        <v>8</v>
      </c>
      <c r="H875" s="8">
        <v>208</v>
      </c>
      <c r="I875" s="9">
        <v>155914.70000000001</v>
      </c>
      <c r="J875" s="9">
        <v>7393.05</v>
      </c>
      <c r="K875" s="9">
        <v>1032.3499999999999</v>
      </c>
      <c r="L875" s="9">
        <v>147489.29999999999</v>
      </c>
      <c r="M875" s="9">
        <v>143910.13</v>
      </c>
      <c r="N875" s="6" t="str">
        <f>_xlfn.XLOOKUP(tblSales[[#This Row],[ProductID]],tblProducts[ProductID],tblProducts[ProductName],"Not Found")</f>
        <v>GlucoRelief</v>
      </c>
      <c r="O875" s="8">
        <f>YEAR(tblSales[[#This Row],[Month]])</f>
        <v>2025</v>
      </c>
      <c r="P875" s="8">
        <f>MONTH(tblSales[[#This Row],[Month]])</f>
        <v>7</v>
      </c>
      <c r="Q875" s="6">
        <f>IFERROR(tblSales[[#This Row],[NetSalesTRY]]/tblSales[[#This Row],[Units]],0)</f>
        <v>709.083173076923</v>
      </c>
      <c r="R875" s="17">
        <f>IFERROR(tblSales[[#This Row],[NetSalesTRY]]/tblSales[[#This Row],[TargetTRY]],0)</f>
        <v>1.0248708690625183</v>
      </c>
      <c r="S875" s="6">
        <f>tblSales[[#This Row],[NetSalesTRY]]-tblSales[[#This Row],[TargetTRY]]</f>
        <v>3579.1699999999837</v>
      </c>
      <c r="T875" s="6">
        <f>MAX(tblSales[[#This Row],[TargetTRY]]-tblSales[[#This Row],[NetSalesTRY]],0)</f>
        <v>0</v>
      </c>
    </row>
    <row r="876" spans="1:20">
      <c r="A876" t="s">
        <v>1264</v>
      </c>
      <c r="B876" s="15">
        <v>45839</v>
      </c>
      <c r="C876" t="s">
        <v>19</v>
      </c>
      <c r="D876" t="s">
        <v>20</v>
      </c>
      <c r="E876" t="s">
        <v>40</v>
      </c>
      <c r="F876" t="s">
        <v>38</v>
      </c>
      <c r="G876" t="s">
        <v>11</v>
      </c>
      <c r="H876" s="8">
        <v>242</v>
      </c>
      <c r="I876" s="9">
        <v>149675.32999999999</v>
      </c>
      <c r="J876" s="9">
        <v>7384.35</v>
      </c>
      <c r="K876" s="9">
        <v>2082.9899999999998</v>
      </c>
      <c r="L876" s="9">
        <v>140207.99</v>
      </c>
      <c r="M876" s="9">
        <v>136201.32999999999</v>
      </c>
      <c r="N876" s="6" t="str">
        <f>_xlfn.XLOOKUP(tblSales[[#This Row],[ProductID]],tblProducts[ProductID],tblProducts[ProductName],"Not Found")</f>
        <v>RespiraX</v>
      </c>
      <c r="O876" s="8">
        <f>YEAR(tblSales[[#This Row],[Month]])</f>
        <v>2025</v>
      </c>
      <c r="P876" s="8">
        <f>MONTH(tblSales[[#This Row],[Month]])</f>
        <v>7</v>
      </c>
      <c r="Q876" s="6">
        <f>IFERROR(tblSales[[#This Row],[NetSalesTRY]]/tblSales[[#This Row],[Units]],0)</f>
        <v>579.3718595041322</v>
      </c>
      <c r="R876" s="17">
        <f>IFERROR(tblSales[[#This Row],[NetSalesTRY]]/tblSales[[#This Row],[TargetTRY]],0)</f>
        <v>1.0294171870421529</v>
      </c>
      <c r="S876" s="6">
        <f>tblSales[[#This Row],[NetSalesTRY]]-tblSales[[#This Row],[TargetTRY]]</f>
        <v>4006.6600000000035</v>
      </c>
      <c r="T876" s="6">
        <f>MAX(tblSales[[#This Row],[TargetTRY]]-tblSales[[#This Row],[NetSalesTRY]],0)</f>
        <v>0</v>
      </c>
    </row>
    <row r="877" spans="1:20">
      <c r="A877" t="s">
        <v>1265</v>
      </c>
      <c r="B877" s="15">
        <v>45839</v>
      </c>
      <c r="C877" t="s">
        <v>19</v>
      </c>
      <c r="D877" t="s">
        <v>20</v>
      </c>
      <c r="E877" t="s">
        <v>40</v>
      </c>
      <c r="F877" t="s">
        <v>38</v>
      </c>
      <c r="G877" t="s">
        <v>14</v>
      </c>
      <c r="H877" s="8">
        <v>120</v>
      </c>
      <c r="I877" s="9">
        <v>133012.14000000001</v>
      </c>
      <c r="J877" s="9">
        <v>8113.89</v>
      </c>
      <c r="K877" s="9">
        <v>1475.55</v>
      </c>
      <c r="L877" s="9">
        <v>123422.69</v>
      </c>
      <c r="M877" s="9">
        <v>131910.43</v>
      </c>
      <c r="N877" s="6" t="str">
        <f>_xlfn.XLOOKUP(tblSales[[#This Row],[ProductID]],tblProducts[ProductID],tblProducts[ProductName],"Not Found")</f>
        <v>NeuroCalm</v>
      </c>
      <c r="O877" s="8">
        <f>YEAR(tblSales[[#This Row],[Month]])</f>
        <v>2025</v>
      </c>
      <c r="P877" s="8">
        <f>MONTH(tblSales[[#This Row],[Month]])</f>
        <v>7</v>
      </c>
      <c r="Q877" s="6">
        <f>IFERROR(tblSales[[#This Row],[NetSalesTRY]]/tblSales[[#This Row],[Units]],0)</f>
        <v>1028.5224166666667</v>
      </c>
      <c r="R877" s="17">
        <f>IFERROR(tblSales[[#This Row],[NetSalesTRY]]/tblSales[[#This Row],[TargetTRY]],0)</f>
        <v>0.93565527760011102</v>
      </c>
      <c r="S877" s="6">
        <f>tblSales[[#This Row],[NetSalesTRY]]-tblSales[[#This Row],[TargetTRY]]</f>
        <v>-8487.7399999999907</v>
      </c>
      <c r="T877" s="6">
        <f>MAX(tblSales[[#This Row],[TargetTRY]]-tblSales[[#This Row],[NetSalesTRY]],0)</f>
        <v>8487.7399999999907</v>
      </c>
    </row>
    <row r="878" spans="1:20">
      <c r="A878" t="s">
        <v>1266</v>
      </c>
      <c r="B878" s="15">
        <v>45839</v>
      </c>
      <c r="C878" t="s">
        <v>21</v>
      </c>
      <c r="D878" t="s">
        <v>22</v>
      </c>
      <c r="E878" t="s">
        <v>43</v>
      </c>
      <c r="F878" t="s">
        <v>41</v>
      </c>
      <c r="G878" t="s">
        <v>5</v>
      </c>
      <c r="H878" s="8">
        <v>98</v>
      </c>
      <c r="I878" s="9">
        <v>95976.88</v>
      </c>
      <c r="J878" s="9">
        <v>6340.05</v>
      </c>
      <c r="K878" s="9">
        <v>812.11</v>
      </c>
      <c r="L878" s="9">
        <v>88824.72</v>
      </c>
      <c r="M878" s="9">
        <v>116741.5</v>
      </c>
      <c r="N878" s="6" t="str">
        <f>_xlfn.XLOOKUP(tblSales[[#This Row],[ProductID]],tblProducts[ProductID],tblProducts[ProductName],"Not Found")</f>
        <v>Cardiovan</v>
      </c>
      <c r="O878" s="8">
        <f>YEAR(tblSales[[#This Row],[Month]])</f>
        <v>2025</v>
      </c>
      <c r="P878" s="8">
        <f>MONTH(tblSales[[#This Row],[Month]])</f>
        <v>7</v>
      </c>
      <c r="Q878" s="6">
        <f>IFERROR(tblSales[[#This Row],[NetSalesTRY]]/tblSales[[#This Row],[Units]],0)</f>
        <v>906.37469387755107</v>
      </c>
      <c r="R878" s="17">
        <f>IFERROR(tblSales[[#This Row],[NetSalesTRY]]/tblSales[[#This Row],[TargetTRY]],0)</f>
        <v>0.76086670121593436</v>
      </c>
      <c r="S878" s="6">
        <f>tblSales[[#This Row],[NetSalesTRY]]-tblSales[[#This Row],[TargetTRY]]</f>
        <v>-27916.78</v>
      </c>
      <c r="T878" s="6">
        <f>MAX(tblSales[[#This Row],[TargetTRY]]-tblSales[[#This Row],[NetSalesTRY]],0)</f>
        <v>27916.78</v>
      </c>
    </row>
    <row r="879" spans="1:20">
      <c r="A879" t="s">
        <v>1267</v>
      </c>
      <c r="B879" s="15">
        <v>45839</v>
      </c>
      <c r="C879" t="s">
        <v>21</v>
      </c>
      <c r="D879" t="s">
        <v>22</v>
      </c>
      <c r="E879" t="s">
        <v>43</v>
      </c>
      <c r="F879" t="s">
        <v>41</v>
      </c>
      <c r="G879" t="s">
        <v>8</v>
      </c>
      <c r="H879" s="8">
        <v>138</v>
      </c>
      <c r="I879" s="9">
        <v>105950.14</v>
      </c>
      <c r="J879" s="9">
        <v>5003.55</v>
      </c>
      <c r="K879" s="9">
        <v>684.26</v>
      </c>
      <c r="L879" s="9">
        <v>100262.33</v>
      </c>
      <c r="M879" s="9">
        <v>105072.54</v>
      </c>
      <c r="N879" s="6" t="str">
        <f>_xlfn.XLOOKUP(tblSales[[#This Row],[ProductID]],tblProducts[ProductID],tblProducts[ProductName],"Not Found")</f>
        <v>GlucoRelief</v>
      </c>
      <c r="O879" s="8">
        <f>YEAR(tblSales[[#This Row],[Month]])</f>
        <v>2025</v>
      </c>
      <c r="P879" s="8">
        <f>MONTH(tblSales[[#This Row],[Month]])</f>
        <v>7</v>
      </c>
      <c r="Q879" s="6">
        <f>IFERROR(tblSales[[#This Row],[NetSalesTRY]]/tblSales[[#This Row],[Units]],0)</f>
        <v>726.53862318840584</v>
      </c>
      <c r="R879" s="17">
        <f>IFERROR(tblSales[[#This Row],[NetSalesTRY]]/tblSales[[#This Row],[TargetTRY]],0)</f>
        <v>0.95422010355893183</v>
      </c>
      <c r="S879" s="6">
        <f>tblSales[[#This Row],[NetSalesTRY]]-tblSales[[#This Row],[TargetTRY]]</f>
        <v>-4810.2099999999919</v>
      </c>
      <c r="T879" s="6">
        <f>MAX(tblSales[[#This Row],[TargetTRY]]-tblSales[[#This Row],[NetSalesTRY]],0)</f>
        <v>4810.2099999999919</v>
      </c>
    </row>
    <row r="880" spans="1:20">
      <c r="A880" t="s">
        <v>1268</v>
      </c>
      <c r="B880" s="15">
        <v>45839</v>
      </c>
      <c r="C880" t="s">
        <v>21</v>
      </c>
      <c r="D880" t="s">
        <v>22</v>
      </c>
      <c r="E880" t="s">
        <v>43</v>
      </c>
      <c r="F880" t="s">
        <v>41</v>
      </c>
      <c r="G880" t="s">
        <v>11</v>
      </c>
      <c r="H880" s="8">
        <v>171</v>
      </c>
      <c r="I880" s="9">
        <v>104450.01</v>
      </c>
      <c r="J880" s="9">
        <v>5709.74</v>
      </c>
      <c r="K880" s="9">
        <v>517.62</v>
      </c>
      <c r="L880" s="9">
        <v>98222.65</v>
      </c>
      <c r="M880" s="9">
        <v>100585.35</v>
      </c>
      <c r="N880" s="6" t="str">
        <f>_xlfn.XLOOKUP(tblSales[[#This Row],[ProductID]],tblProducts[ProductID],tblProducts[ProductName],"Not Found")</f>
        <v>RespiraX</v>
      </c>
      <c r="O880" s="8">
        <f>YEAR(tblSales[[#This Row],[Month]])</f>
        <v>2025</v>
      </c>
      <c r="P880" s="8">
        <f>MONTH(tblSales[[#This Row],[Month]])</f>
        <v>7</v>
      </c>
      <c r="Q880" s="6">
        <f>IFERROR(tblSales[[#This Row],[NetSalesTRY]]/tblSales[[#This Row],[Units]],0)</f>
        <v>574.40146198830405</v>
      </c>
      <c r="R880" s="17">
        <f>IFERROR(tblSales[[#This Row],[NetSalesTRY]]/tblSales[[#This Row],[TargetTRY]],0)</f>
        <v>0.97651049581275995</v>
      </c>
      <c r="S880" s="6">
        <f>tblSales[[#This Row],[NetSalesTRY]]-tblSales[[#This Row],[TargetTRY]]</f>
        <v>-2362.7000000000116</v>
      </c>
      <c r="T880" s="6">
        <f>MAX(tblSales[[#This Row],[TargetTRY]]-tblSales[[#This Row],[NetSalesTRY]],0)</f>
        <v>2362.7000000000116</v>
      </c>
    </row>
    <row r="881" spans="1:20">
      <c r="A881" t="s">
        <v>1269</v>
      </c>
      <c r="B881" s="15">
        <v>45839</v>
      </c>
      <c r="C881" t="s">
        <v>21</v>
      </c>
      <c r="D881" t="s">
        <v>22</v>
      </c>
      <c r="E881" t="s">
        <v>43</v>
      </c>
      <c r="F881" t="s">
        <v>41</v>
      </c>
      <c r="G881" t="s">
        <v>14</v>
      </c>
      <c r="H881" s="8">
        <v>93</v>
      </c>
      <c r="I881" s="9">
        <v>102098.3</v>
      </c>
      <c r="J881" s="9">
        <v>5605.18</v>
      </c>
      <c r="K881" s="9">
        <v>992.92</v>
      </c>
      <c r="L881" s="9">
        <v>95500.2</v>
      </c>
      <c r="M881" s="9">
        <v>96157.08</v>
      </c>
      <c r="N881" s="6" t="str">
        <f>_xlfn.XLOOKUP(tblSales[[#This Row],[ProductID]],tblProducts[ProductID],tblProducts[ProductName],"Not Found")</f>
        <v>NeuroCalm</v>
      </c>
      <c r="O881" s="8">
        <f>YEAR(tblSales[[#This Row],[Month]])</f>
        <v>2025</v>
      </c>
      <c r="P881" s="8">
        <f>MONTH(tblSales[[#This Row],[Month]])</f>
        <v>7</v>
      </c>
      <c r="Q881" s="6">
        <f>IFERROR(tblSales[[#This Row],[NetSalesTRY]]/tblSales[[#This Row],[Units]],0)</f>
        <v>1026.8838709677418</v>
      </c>
      <c r="R881" s="17">
        <f>IFERROR(tblSales[[#This Row],[NetSalesTRY]]/tblSales[[#This Row],[TargetTRY]],0)</f>
        <v>0.99316867775102979</v>
      </c>
      <c r="S881" s="6">
        <f>tblSales[[#This Row],[NetSalesTRY]]-tblSales[[#This Row],[TargetTRY]]</f>
        <v>-656.88000000000466</v>
      </c>
      <c r="T881" s="6">
        <f>MAX(tblSales[[#This Row],[TargetTRY]]-tblSales[[#This Row],[NetSalesTRY]],0)</f>
        <v>656.88000000000466</v>
      </c>
    </row>
    <row r="882" spans="1:20">
      <c r="A882" t="s">
        <v>1270</v>
      </c>
      <c r="B882" s="15">
        <v>45839</v>
      </c>
      <c r="C882" t="s">
        <v>21</v>
      </c>
      <c r="D882" t="s">
        <v>22</v>
      </c>
      <c r="E882" t="s">
        <v>46</v>
      </c>
      <c r="F882" t="s">
        <v>44</v>
      </c>
      <c r="G882" t="s">
        <v>5</v>
      </c>
      <c r="H882" s="8">
        <v>87</v>
      </c>
      <c r="I882" s="9">
        <v>86485.91</v>
      </c>
      <c r="J882" s="9">
        <v>5553.75</v>
      </c>
      <c r="K882" s="9">
        <v>754.44</v>
      </c>
      <c r="L882" s="9">
        <v>80177.73</v>
      </c>
      <c r="M882" s="9">
        <v>102250.82</v>
      </c>
      <c r="N882" s="6" t="str">
        <f>_xlfn.XLOOKUP(tblSales[[#This Row],[ProductID]],tblProducts[ProductID],tblProducts[ProductName],"Not Found")</f>
        <v>Cardiovan</v>
      </c>
      <c r="O882" s="8">
        <f>YEAR(tblSales[[#This Row],[Month]])</f>
        <v>2025</v>
      </c>
      <c r="P882" s="8">
        <f>MONTH(tblSales[[#This Row],[Month]])</f>
        <v>7</v>
      </c>
      <c r="Q882" s="6">
        <f>IFERROR(tblSales[[#This Row],[NetSalesTRY]]/tblSales[[#This Row],[Units]],0)</f>
        <v>921.58310344827578</v>
      </c>
      <c r="R882" s="17">
        <f>IFERROR(tblSales[[#This Row],[NetSalesTRY]]/tblSales[[#This Row],[TargetTRY]],0)</f>
        <v>0.78412799036721648</v>
      </c>
      <c r="S882" s="6">
        <f>tblSales[[#This Row],[NetSalesTRY]]-tblSales[[#This Row],[TargetTRY]]</f>
        <v>-22073.090000000011</v>
      </c>
      <c r="T882" s="6">
        <f>MAX(tblSales[[#This Row],[TargetTRY]]-tblSales[[#This Row],[NetSalesTRY]],0)</f>
        <v>22073.090000000011</v>
      </c>
    </row>
    <row r="883" spans="1:20">
      <c r="A883" t="s">
        <v>1271</v>
      </c>
      <c r="B883" s="15">
        <v>45839</v>
      </c>
      <c r="C883" t="s">
        <v>21</v>
      </c>
      <c r="D883" t="s">
        <v>22</v>
      </c>
      <c r="E883" t="s">
        <v>46</v>
      </c>
      <c r="F883" t="s">
        <v>44</v>
      </c>
      <c r="G883" t="s">
        <v>8</v>
      </c>
      <c r="H883" s="8">
        <v>133</v>
      </c>
      <c r="I883" s="9">
        <v>101944.26</v>
      </c>
      <c r="J883" s="9">
        <v>4672.2</v>
      </c>
      <c r="K883" s="9">
        <v>811.31</v>
      </c>
      <c r="L883" s="9">
        <v>96460.75</v>
      </c>
      <c r="M883" s="9">
        <v>92486.65</v>
      </c>
      <c r="N883" s="6" t="str">
        <f>_xlfn.XLOOKUP(tblSales[[#This Row],[ProductID]],tblProducts[ProductID],tblProducts[ProductName],"Not Found")</f>
        <v>GlucoRelief</v>
      </c>
      <c r="O883" s="8">
        <f>YEAR(tblSales[[#This Row],[Month]])</f>
        <v>2025</v>
      </c>
      <c r="P883" s="8">
        <f>MONTH(tblSales[[#This Row],[Month]])</f>
        <v>7</v>
      </c>
      <c r="Q883" s="6">
        <f>IFERROR(tblSales[[#This Row],[NetSalesTRY]]/tblSales[[#This Row],[Units]],0)</f>
        <v>725.26879699248116</v>
      </c>
      <c r="R883" s="17">
        <f>IFERROR(tblSales[[#This Row],[NetSalesTRY]]/tblSales[[#This Row],[TargetTRY]],0)</f>
        <v>1.0429694447793276</v>
      </c>
      <c r="S883" s="6">
        <f>tblSales[[#This Row],[NetSalesTRY]]-tblSales[[#This Row],[TargetTRY]]</f>
        <v>3974.1000000000058</v>
      </c>
      <c r="T883" s="6">
        <f>MAX(tblSales[[#This Row],[TargetTRY]]-tblSales[[#This Row],[NetSalesTRY]],0)</f>
        <v>0</v>
      </c>
    </row>
    <row r="884" spans="1:20">
      <c r="A884" t="s">
        <v>1272</v>
      </c>
      <c r="B884" s="15">
        <v>45839</v>
      </c>
      <c r="C884" t="s">
        <v>21</v>
      </c>
      <c r="D884" t="s">
        <v>22</v>
      </c>
      <c r="E884" t="s">
        <v>46</v>
      </c>
      <c r="F884" t="s">
        <v>44</v>
      </c>
      <c r="G884" t="s">
        <v>11</v>
      </c>
      <c r="H884" s="8">
        <v>142</v>
      </c>
      <c r="I884" s="9">
        <v>89272.78</v>
      </c>
      <c r="J884" s="9">
        <v>5182.25</v>
      </c>
      <c r="K884" s="9">
        <v>926.58</v>
      </c>
      <c r="L884" s="9">
        <v>83163.94</v>
      </c>
      <c r="M884" s="9">
        <v>87385.83</v>
      </c>
      <c r="N884" s="6" t="str">
        <f>_xlfn.XLOOKUP(tblSales[[#This Row],[ProductID]],tblProducts[ProductID],tblProducts[ProductName],"Not Found")</f>
        <v>RespiraX</v>
      </c>
      <c r="O884" s="8">
        <f>YEAR(tblSales[[#This Row],[Month]])</f>
        <v>2025</v>
      </c>
      <c r="P884" s="8">
        <f>MONTH(tblSales[[#This Row],[Month]])</f>
        <v>7</v>
      </c>
      <c r="Q884" s="6">
        <f>IFERROR(tblSales[[#This Row],[NetSalesTRY]]/tblSales[[#This Row],[Units]],0)</f>
        <v>585.66154929577465</v>
      </c>
      <c r="R884" s="17">
        <f>IFERROR(tblSales[[#This Row],[NetSalesTRY]]/tblSales[[#This Row],[TargetTRY]],0)</f>
        <v>0.95168678949436081</v>
      </c>
      <c r="S884" s="6">
        <f>tblSales[[#This Row],[NetSalesTRY]]-tblSales[[#This Row],[TargetTRY]]</f>
        <v>-4221.8899999999994</v>
      </c>
      <c r="T884" s="6">
        <f>MAX(tblSales[[#This Row],[TargetTRY]]-tblSales[[#This Row],[NetSalesTRY]],0)</f>
        <v>4221.8899999999994</v>
      </c>
    </row>
    <row r="885" spans="1:20">
      <c r="A885" t="s">
        <v>1273</v>
      </c>
      <c r="B885" s="15">
        <v>45839</v>
      </c>
      <c r="C885" t="s">
        <v>21</v>
      </c>
      <c r="D885" t="s">
        <v>22</v>
      </c>
      <c r="E885" t="s">
        <v>46</v>
      </c>
      <c r="F885" t="s">
        <v>44</v>
      </c>
      <c r="G885" t="s">
        <v>14</v>
      </c>
      <c r="H885" s="8">
        <v>79</v>
      </c>
      <c r="I885" s="9">
        <v>87106.13</v>
      </c>
      <c r="J885" s="9">
        <v>5955.55</v>
      </c>
      <c r="K885" s="9">
        <v>1020.45</v>
      </c>
      <c r="L885" s="9">
        <v>80130.13</v>
      </c>
      <c r="M885" s="9">
        <v>85056.49</v>
      </c>
      <c r="N885" s="6" t="str">
        <f>_xlfn.XLOOKUP(tblSales[[#This Row],[ProductID]],tblProducts[ProductID],tblProducts[ProductName],"Not Found")</f>
        <v>NeuroCalm</v>
      </c>
      <c r="O885" s="8">
        <f>YEAR(tblSales[[#This Row],[Month]])</f>
        <v>2025</v>
      </c>
      <c r="P885" s="8">
        <f>MONTH(tblSales[[#This Row],[Month]])</f>
        <v>7</v>
      </c>
      <c r="Q885" s="6">
        <f>IFERROR(tblSales[[#This Row],[NetSalesTRY]]/tblSales[[#This Row],[Units]],0)</f>
        <v>1014.3054430379748</v>
      </c>
      <c r="R885" s="17">
        <f>IFERROR(tblSales[[#This Row],[NetSalesTRY]]/tblSales[[#This Row],[TargetTRY]],0)</f>
        <v>0.94208131560566399</v>
      </c>
      <c r="S885" s="6">
        <f>tblSales[[#This Row],[NetSalesTRY]]-tblSales[[#This Row],[TargetTRY]]</f>
        <v>-4926.3600000000006</v>
      </c>
      <c r="T885" s="6">
        <f>MAX(tblSales[[#This Row],[TargetTRY]]-tblSales[[#This Row],[NetSalesTRY]],0)</f>
        <v>4926.3600000000006</v>
      </c>
    </row>
    <row r="886" spans="1:20">
      <c r="A886" t="s">
        <v>1274</v>
      </c>
      <c r="B886" s="15">
        <v>45839</v>
      </c>
      <c r="C886" t="s">
        <v>21</v>
      </c>
      <c r="D886" t="s">
        <v>22</v>
      </c>
      <c r="E886" t="s">
        <v>49</v>
      </c>
      <c r="F886" t="s">
        <v>47</v>
      </c>
      <c r="G886" t="s">
        <v>5</v>
      </c>
      <c r="H886" s="8">
        <v>105</v>
      </c>
      <c r="I886" s="9">
        <v>103563.89</v>
      </c>
      <c r="J886" s="9">
        <v>6897.72</v>
      </c>
      <c r="K886" s="9">
        <v>1116.18</v>
      </c>
      <c r="L886" s="9">
        <v>95550</v>
      </c>
      <c r="M886" s="9">
        <v>116328.04</v>
      </c>
      <c r="N886" s="6" t="str">
        <f>_xlfn.XLOOKUP(tblSales[[#This Row],[ProductID]],tblProducts[ProductID],tblProducts[ProductName],"Not Found")</f>
        <v>Cardiovan</v>
      </c>
      <c r="O886" s="8">
        <f>YEAR(tblSales[[#This Row],[Month]])</f>
        <v>2025</v>
      </c>
      <c r="P886" s="8">
        <f>MONTH(tblSales[[#This Row],[Month]])</f>
        <v>7</v>
      </c>
      <c r="Q886" s="6">
        <f>IFERROR(tblSales[[#This Row],[NetSalesTRY]]/tblSales[[#This Row],[Units]],0)</f>
        <v>910</v>
      </c>
      <c r="R886" s="17">
        <f>IFERROR(tblSales[[#This Row],[NetSalesTRY]]/tblSales[[#This Row],[TargetTRY]],0)</f>
        <v>0.82138407902342381</v>
      </c>
      <c r="S886" s="6">
        <f>tblSales[[#This Row],[NetSalesTRY]]-tblSales[[#This Row],[TargetTRY]]</f>
        <v>-20778.039999999994</v>
      </c>
      <c r="T886" s="6">
        <f>MAX(tblSales[[#This Row],[TargetTRY]]-tblSales[[#This Row],[NetSalesTRY]],0)</f>
        <v>20778.039999999994</v>
      </c>
    </row>
    <row r="887" spans="1:20">
      <c r="A887" t="s">
        <v>1275</v>
      </c>
      <c r="B887" s="15">
        <v>45839</v>
      </c>
      <c r="C887" t="s">
        <v>21</v>
      </c>
      <c r="D887" t="s">
        <v>22</v>
      </c>
      <c r="E887" t="s">
        <v>49</v>
      </c>
      <c r="F887" t="s">
        <v>47</v>
      </c>
      <c r="G887" t="s">
        <v>8</v>
      </c>
      <c r="H887" s="8">
        <v>146</v>
      </c>
      <c r="I887" s="9">
        <v>112446.99</v>
      </c>
      <c r="J887" s="9">
        <v>6491.93</v>
      </c>
      <c r="K887" s="9">
        <v>1301.77</v>
      </c>
      <c r="L887" s="9">
        <v>104653.28</v>
      </c>
      <c r="M887" s="9">
        <v>104651.86</v>
      </c>
      <c r="N887" s="6" t="str">
        <f>_xlfn.XLOOKUP(tblSales[[#This Row],[ProductID]],tblProducts[ProductID],tblProducts[ProductName],"Not Found")</f>
        <v>GlucoRelief</v>
      </c>
      <c r="O887" s="8">
        <f>YEAR(tblSales[[#This Row],[Month]])</f>
        <v>2025</v>
      </c>
      <c r="P887" s="8">
        <f>MONTH(tblSales[[#This Row],[Month]])</f>
        <v>7</v>
      </c>
      <c r="Q887" s="6">
        <f>IFERROR(tblSales[[#This Row],[NetSalesTRY]]/tblSales[[#This Row],[Units]],0)</f>
        <v>716.80328767123285</v>
      </c>
      <c r="R887" s="17">
        <f>IFERROR(tblSales[[#This Row],[NetSalesTRY]]/tblSales[[#This Row],[TargetTRY]],0)</f>
        <v>1.0000135687984906</v>
      </c>
      <c r="S887" s="6">
        <f>tblSales[[#This Row],[NetSalesTRY]]-tblSales[[#This Row],[TargetTRY]]</f>
        <v>1.4199999999982538</v>
      </c>
      <c r="T887" s="6">
        <f>MAX(tblSales[[#This Row],[TargetTRY]]-tblSales[[#This Row],[NetSalesTRY]],0)</f>
        <v>0</v>
      </c>
    </row>
    <row r="888" spans="1:20">
      <c r="A888" t="s">
        <v>1276</v>
      </c>
      <c r="B888" s="15">
        <v>45839</v>
      </c>
      <c r="C888" t="s">
        <v>21</v>
      </c>
      <c r="D888" t="s">
        <v>22</v>
      </c>
      <c r="E888" t="s">
        <v>49</v>
      </c>
      <c r="F888" t="s">
        <v>47</v>
      </c>
      <c r="G888" t="s">
        <v>11</v>
      </c>
      <c r="H888" s="8">
        <v>156</v>
      </c>
      <c r="I888" s="9">
        <v>97401.49</v>
      </c>
      <c r="J888" s="9">
        <v>5529.5</v>
      </c>
      <c r="K888" s="9">
        <v>1037.73</v>
      </c>
      <c r="L888" s="9">
        <v>90834.26</v>
      </c>
      <c r="M888" s="9">
        <v>100308.38</v>
      </c>
      <c r="N888" s="6" t="str">
        <f>_xlfn.XLOOKUP(tblSales[[#This Row],[ProductID]],tblProducts[ProductID],tblProducts[ProductName],"Not Found")</f>
        <v>RespiraX</v>
      </c>
      <c r="O888" s="8">
        <f>YEAR(tblSales[[#This Row],[Month]])</f>
        <v>2025</v>
      </c>
      <c r="P888" s="8">
        <f>MONTH(tblSales[[#This Row],[Month]])</f>
        <v>7</v>
      </c>
      <c r="Q888" s="6">
        <f>IFERROR(tblSales[[#This Row],[NetSalesTRY]]/tblSales[[#This Row],[Units]],0)</f>
        <v>582.27089743589738</v>
      </c>
      <c r="R888" s="17">
        <f>IFERROR(tblSales[[#This Row],[NetSalesTRY]]/tblSales[[#This Row],[TargetTRY]],0)</f>
        <v>0.90555006471044586</v>
      </c>
      <c r="S888" s="6">
        <f>tblSales[[#This Row],[NetSalesTRY]]-tblSales[[#This Row],[TargetTRY]]</f>
        <v>-9474.1200000000099</v>
      </c>
      <c r="T888" s="6">
        <f>MAX(tblSales[[#This Row],[TargetTRY]]-tblSales[[#This Row],[NetSalesTRY]],0)</f>
        <v>9474.1200000000099</v>
      </c>
    </row>
    <row r="889" spans="1:20">
      <c r="A889" t="s">
        <v>1277</v>
      </c>
      <c r="B889" s="15">
        <v>45839</v>
      </c>
      <c r="C889" t="s">
        <v>21</v>
      </c>
      <c r="D889" t="s">
        <v>22</v>
      </c>
      <c r="E889" t="s">
        <v>49</v>
      </c>
      <c r="F889" t="s">
        <v>47</v>
      </c>
      <c r="G889" t="s">
        <v>14</v>
      </c>
      <c r="H889" s="8">
        <v>93</v>
      </c>
      <c r="I889" s="9">
        <v>102969.72</v>
      </c>
      <c r="J889" s="9">
        <v>7233.61</v>
      </c>
      <c r="K889" s="9">
        <v>613.66999999999996</v>
      </c>
      <c r="L889" s="9">
        <v>95122.43</v>
      </c>
      <c r="M889" s="9">
        <v>95657.51</v>
      </c>
      <c r="N889" s="6" t="str">
        <f>_xlfn.XLOOKUP(tblSales[[#This Row],[ProductID]],tblProducts[ProductID],tblProducts[ProductName],"Not Found")</f>
        <v>NeuroCalm</v>
      </c>
      <c r="O889" s="8">
        <f>YEAR(tblSales[[#This Row],[Month]])</f>
        <v>2025</v>
      </c>
      <c r="P889" s="8">
        <f>MONTH(tblSales[[#This Row],[Month]])</f>
        <v>7</v>
      </c>
      <c r="Q889" s="6">
        <f>IFERROR(tblSales[[#This Row],[NetSalesTRY]]/tblSales[[#This Row],[Units]],0)</f>
        <v>1022.8218279569892</v>
      </c>
      <c r="R889" s="17">
        <f>IFERROR(tblSales[[#This Row],[NetSalesTRY]]/tblSales[[#This Row],[TargetTRY]],0)</f>
        <v>0.994406293870706</v>
      </c>
      <c r="S889" s="6">
        <f>tblSales[[#This Row],[NetSalesTRY]]-tblSales[[#This Row],[TargetTRY]]</f>
        <v>-535.08000000000175</v>
      </c>
      <c r="T889" s="6">
        <f>MAX(tblSales[[#This Row],[TargetTRY]]-tblSales[[#This Row],[NetSalesTRY]],0)</f>
        <v>535.08000000000175</v>
      </c>
    </row>
    <row r="890" spans="1:20">
      <c r="A890" t="s">
        <v>1278</v>
      </c>
      <c r="B890" s="15">
        <v>45839</v>
      </c>
      <c r="C890" t="s">
        <v>23</v>
      </c>
      <c r="D890" t="s">
        <v>24</v>
      </c>
      <c r="E890" t="s">
        <v>52</v>
      </c>
      <c r="F890" t="s">
        <v>50</v>
      </c>
      <c r="G890" t="s">
        <v>5</v>
      </c>
      <c r="H890" s="8">
        <v>122</v>
      </c>
      <c r="I890" s="9">
        <v>118388.57</v>
      </c>
      <c r="J890" s="9">
        <v>7932.45</v>
      </c>
      <c r="K890" s="9">
        <v>583.9</v>
      </c>
      <c r="L890" s="9">
        <v>109872.22</v>
      </c>
      <c r="M890" s="9">
        <v>116620.87</v>
      </c>
      <c r="N890" s="6" t="str">
        <f>_xlfn.XLOOKUP(tblSales[[#This Row],[ProductID]],tblProducts[ProductID],tblProducts[ProductName],"Not Found")</f>
        <v>Cardiovan</v>
      </c>
      <c r="O890" s="8">
        <f>YEAR(tblSales[[#This Row],[Month]])</f>
        <v>2025</v>
      </c>
      <c r="P890" s="8">
        <f>MONTH(tblSales[[#This Row],[Month]])</f>
        <v>7</v>
      </c>
      <c r="Q890" s="6">
        <f>IFERROR(tblSales[[#This Row],[NetSalesTRY]]/tblSales[[#This Row],[Units]],0)</f>
        <v>900.5919672131148</v>
      </c>
      <c r="R890" s="17">
        <f>IFERROR(tblSales[[#This Row],[NetSalesTRY]]/tblSales[[#This Row],[TargetTRY]],0)</f>
        <v>0.94213171278862873</v>
      </c>
      <c r="S890" s="6">
        <f>tblSales[[#This Row],[NetSalesTRY]]-tblSales[[#This Row],[TargetTRY]]</f>
        <v>-6748.6499999999942</v>
      </c>
      <c r="T890" s="6">
        <f>MAX(tblSales[[#This Row],[TargetTRY]]-tblSales[[#This Row],[NetSalesTRY]],0)</f>
        <v>6748.6499999999942</v>
      </c>
    </row>
    <row r="891" spans="1:20">
      <c r="A891" t="s">
        <v>1279</v>
      </c>
      <c r="B891" s="15">
        <v>45839</v>
      </c>
      <c r="C891" t="s">
        <v>23</v>
      </c>
      <c r="D891" t="s">
        <v>24</v>
      </c>
      <c r="E891" t="s">
        <v>52</v>
      </c>
      <c r="F891" t="s">
        <v>50</v>
      </c>
      <c r="G891" t="s">
        <v>8</v>
      </c>
      <c r="H891" s="8">
        <v>150</v>
      </c>
      <c r="I891" s="9">
        <v>114683.38</v>
      </c>
      <c r="J891" s="9">
        <v>5734.42</v>
      </c>
      <c r="K891" s="9">
        <v>1340.78</v>
      </c>
      <c r="L891" s="9">
        <v>107608.18</v>
      </c>
      <c r="M891" s="9">
        <v>105805.58</v>
      </c>
      <c r="N891" s="6" t="str">
        <f>_xlfn.XLOOKUP(tblSales[[#This Row],[ProductID]],tblProducts[ProductID],tblProducts[ProductName],"Not Found")</f>
        <v>GlucoRelief</v>
      </c>
      <c r="O891" s="8">
        <f>YEAR(tblSales[[#This Row],[Month]])</f>
        <v>2025</v>
      </c>
      <c r="P891" s="8">
        <f>MONTH(tblSales[[#This Row],[Month]])</f>
        <v>7</v>
      </c>
      <c r="Q891" s="6">
        <f>IFERROR(tblSales[[#This Row],[NetSalesTRY]]/tblSales[[#This Row],[Units]],0)</f>
        <v>717.38786666666658</v>
      </c>
      <c r="R891" s="17">
        <f>IFERROR(tblSales[[#This Row],[NetSalesTRY]]/tblSales[[#This Row],[TargetTRY]],0)</f>
        <v>1.017036908639412</v>
      </c>
      <c r="S891" s="6">
        <f>tblSales[[#This Row],[NetSalesTRY]]-tblSales[[#This Row],[TargetTRY]]</f>
        <v>1802.5999999999913</v>
      </c>
      <c r="T891" s="6">
        <f>MAX(tblSales[[#This Row],[TargetTRY]]-tblSales[[#This Row],[NetSalesTRY]],0)</f>
        <v>0</v>
      </c>
    </row>
    <row r="892" spans="1:20">
      <c r="A892" t="s">
        <v>1280</v>
      </c>
      <c r="B892" s="15">
        <v>45839</v>
      </c>
      <c r="C892" t="s">
        <v>23</v>
      </c>
      <c r="D892" t="s">
        <v>24</v>
      </c>
      <c r="E892" t="s">
        <v>52</v>
      </c>
      <c r="F892" t="s">
        <v>50</v>
      </c>
      <c r="G892" t="s">
        <v>11</v>
      </c>
      <c r="H892" s="8">
        <v>160</v>
      </c>
      <c r="I892" s="9">
        <v>98868.81</v>
      </c>
      <c r="J892" s="9">
        <v>4083.64</v>
      </c>
      <c r="K892" s="9">
        <v>971.56</v>
      </c>
      <c r="L892" s="9">
        <v>93813.62</v>
      </c>
      <c r="M892" s="9">
        <v>99184.49</v>
      </c>
      <c r="N892" s="6" t="str">
        <f>_xlfn.XLOOKUP(tblSales[[#This Row],[ProductID]],tblProducts[ProductID],tblProducts[ProductName],"Not Found")</f>
        <v>RespiraX</v>
      </c>
      <c r="O892" s="8">
        <f>YEAR(tblSales[[#This Row],[Month]])</f>
        <v>2025</v>
      </c>
      <c r="P892" s="8">
        <f>MONTH(tblSales[[#This Row],[Month]])</f>
        <v>7</v>
      </c>
      <c r="Q892" s="6">
        <f>IFERROR(tblSales[[#This Row],[NetSalesTRY]]/tblSales[[#This Row],[Units]],0)</f>
        <v>586.33512499999995</v>
      </c>
      <c r="R892" s="17">
        <f>IFERROR(tblSales[[#This Row],[NetSalesTRY]]/tblSales[[#This Row],[TargetTRY]],0)</f>
        <v>0.94584969887933068</v>
      </c>
      <c r="S892" s="6">
        <f>tblSales[[#This Row],[NetSalesTRY]]-tblSales[[#This Row],[TargetTRY]]</f>
        <v>-5370.8700000000099</v>
      </c>
      <c r="T892" s="6">
        <f>MAX(tblSales[[#This Row],[TargetTRY]]-tblSales[[#This Row],[NetSalesTRY]],0)</f>
        <v>5370.8700000000099</v>
      </c>
    </row>
    <row r="893" spans="1:20">
      <c r="A893" t="s">
        <v>1281</v>
      </c>
      <c r="B893" s="15">
        <v>45839</v>
      </c>
      <c r="C893" t="s">
        <v>23</v>
      </c>
      <c r="D893" t="s">
        <v>24</v>
      </c>
      <c r="E893" t="s">
        <v>52</v>
      </c>
      <c r="F893" t="s">
        <v>50</v>
      </c>
      <c r="G893" t="s">
        <v>14</v>
      </c>
      <c r="H893" s="8">
        <v>96</v>
      </c>
      <c r="I893" s="9">
        <v>107162.35</v>
      </c>
      <c r="J893" s="9">
        <v>7891.28</v>
      </c>
      <c r="K893" s="9">
        <v>1030.02</v>
      </c>
      <c r="L893" s="9">
        <v>98241.05</v>
      </c>
      <c r="M893" s="9">
        <v>97231.18</v>
      </c>
      <c r="N893" s="6" t="str">
        <f>_xlfn.XLOOKUP(tblSales[[#This Row],[ProductID]],tblProducts[ProductID],tblProducts[ProductName],"Not Found")</f>
        <v>NeuroCalm</v>
      </c>
      <c r="O893" s="8">
        <f>YEAR(tblSales[[#This Row],[Month]])</f>
        <v>2025</v>
      </c>
      <c r="P893" s="8">
        <f>MONTH(tblSales[[#This Row],[Month]])</f>
        <v>7</v>
      </c>
      <c r="Q893" s="6">
        <f>IFERROR(tblSales[[#This Row],[NetSalesTRY]]/tblSales[[#This Row],[Units]],0)</f>
        <v>1023.3442708333333</v>
      </c>
      <c r="R893" s="17">
        <f>IFERROR(tblSales[[#This Row],[NetSalesTRY]]/tblSales[[#This Row],[TargetTRY]],0)</f>
        <v>1.0103862773237968</v>
      </c>
      <c r="S893" s="6">
        <f>tblSales[[#This Row],[NetSalesTRY]]-tblSales[[#This Row],[TargetTRY]]</f>
        <v>1009.8700000000099</v>
      </c>
      <c r="T893" s="6">
        <f>MAX(tblSales[[#This Row],[TargetTRY]]-tblSales[[#This Row],[NetSalesTRY]],0)</f>
        <v>0</v>
      </c>
    </row>
    <row r="894" spans="1:20">
      <c r="A894" t="s">
        <v>1282</v>
      </c>
      <c r="B894" s="15">
        <v>45839</v>
      </c>
      <c r="C894" t="s">
        <v>23</v>
      </c>
      <c r="D894" t="s">
        <v>24</v>
      </c>
      <c r="E894" t="s">
        <v>55</v>
      </c>
      <c r="F894" t="s">
        <v>53</v>
      </c>
      <c r="G894" t="s">
        <v>5</v>
      </c>
      <c r="H894" s="8">
        <v>122</v>
      </c>
      <c r="I894" s="9">
        <v>120188.55</v>
      </c>
      <c r="J894" s="9">
        <v>4975.96</v>
      </c>
      <c r="K894" s="9">
        <v>1588.33</v>
      </c>
      <c r="L894" s="9">
        <v>113624.25</v>
      </c>
      <c r="M894" s="9">
        <v>116288.65</v>
      </c>
      <c r="N894" s="6" t="str">
        <f>_xlfn.XLOOKUP(tblSales[[#This Row],[ProductID]],tblProducts[ProductID],tblProducts[ProductName],"Not Found")</f>
        <v>Cardiovan</v>
      </c>
      <c r="O894" s="8">
        <f>YEAR(tblSales[[#This Row],[Month]])</f>
        <v>2025</v>
      </c>
      <c r="P894" s="8">
        <f>MONTH(tblSales[[#This Row],[Month]])</f>
        <v>7</v>
      </c>
      <c r="Q894" s="6">
        <f>IFERROR(tblSales[[#This Row],[NetSalesTRY]]/tblSales[[#This Row],[Units]],0)</f>
        <v>931.34631147540983</v>
      </c>
      <c r="R894" s="17">
        <f>IFERROR(tblSales[[#This Row],[NetSalesTRY]]/tblSales[[#This Row],[TargetTRY]],0)</f>
        <v>0.97708804771574875</v>
      </c>
      <c r="S894" s="6">
        <f>tblSales[[#This Row],[NetSalesTRY]]-tblSales[[#This Row],[TargetTRY]]</f>
        <v>-2664.3999999999942</v>
      </c>
      <c r="T894" s="6">
        <f>MAX(tblSales[[#This Row],[TargetTRY]]-tblSales[[#This Row],[NetSalesTRY]],0)</f>
        <v>2664.3999999999942</v>
      </c>
    </row>
    <row r="895" spans="1:20">
      <c r="A895" t="s">
        <v>1283</v>
      </c>
      <c r="B895" s="15">
        <v>45839</v>
      </c>
      <c r="C895" t="s">
        <v>23</v>
      </c>
      <c r="D895" t="s">
        <v>24</v>
      </c>
      <c r="E895" t="s">
        <v>55</v>
      </c>
      <c r="F895" t="s">
        <v>53</v>
      </c>
      <c r="G895" t="s">
        <v>8</v>
      </c>
      <c r="H895" s="8">
        <v>158</v>
      </c>
      <c r="I895" s="9">
        <v>120625.42</v>
      </c>
      <c r="J895" s="9">
        <v>5086.2700000000004</v>
      </c>
      <c r="K895" s="9">
        <v>1539.79</v>
      </c>
      <c r="L895" s="9">
        <v>113999.36</v>
      </c>
      <c r="M895" s="9">
        <v>105201.47</v>
      </c>
      <c r="N895" s="6" t="str">
        <f>_xlfn.XLOOKUP(tblSales[[#This Row],[ProductID]],tblProducts[ProductID],tblProducts[ProductName],"Not Found")</f>
        <v>GlucoRelief</v>
      </c>
      <c r="O895" s="8">
        <f>YEAR(tblSales[[#This Row],[Month]])</f>
        <v>2025</v>
      </c>
      <c r="P895" s="8">
        <f>MONTH(tblSales[[#This Row],[Month]])</f>
        <v>7</v>
      </c>
      <c r="Q895" s="6">
        <f>IFERROR(tblSales[[#This Row],[NetSalesTRY]]/tblSales[[#This Row],[Units]],0)</f>
        <v>721.51493670886077</v>
      </c>
      <c r="R895" s="17">
        <f>IFERROR(tblSales[[#This Row],[NetSalesTRY]]/tblSales[[#This Row],[TargetTRY]],0)</f>
        <v>1.0836289645002108</v>
      </c>
      <c r="S895" s="6">
        <f>tblSales[[#This Row],[NetSalesTRY]]-tblSales[[#This Row],[TargetTRY]]</f>
        <v>8797.89</v>
      </c>
      <c r="T895" s="6">
        <f>MAX(tblSales[[#This Row],[TargetTRY]]-tblSales[[#This Row],[NetSalesTRY]],0)</f>
        <v>0</v>
      </c>
    </row>
    <row r="896" spans="1:20">
      <c r="A896" t="s">
        <v>1284</v>
      </c>
      <c r="B896" s="15">
        <v>45839</v>
      </c>
      <c r="C896" t="s">
        <v>23</v>
      </c>
      <c r="D896" t="s">
        <v>24</v>
      </c>
      <c r="E896" t="s">
        <v>55</v>
      </c>
      <c r="F896" t="s">
        <v>53</v>
      </c>
      <c r="G896" t="s">
        <v>11</v>
      </c>
      <c r="H896" s="8">
        <v>160</v>
      </c>
      <c r="I896" s="9">
        <v>99856.07</v>
      </c>
      <c r="J896" s="9">
        <v>5838.29</v>
      </c>
      <c r="K896" s="9">
        <v>428.06</v>
      </c>
      <c r="L896" s="9">
        <v>93589.72</v>
      </c>
      <c r="M896" s="9">
        <v>101876.65</v>
      </c>
      <c r="N896" s="6" t="str">
        <f>_xlfn.XLOOKUP(tblSales[[#This Row],[ProductID]],tblProducts[ProductID],tblProducts[ProductName],"Not Found")</f>
        <v>RespiraX</v>
      </c>
      <c r="O896" s="8">
        <f>YEAR(tblSales[[#This Row],[Month]])</f>
        <v>2025</v>
      </c>
      <c r="P896" s="8">
        <f>MONTH(tblSales[[#This Row],[Month]])</f>
        <v>7</v>
      </c>
      <c r="Q896" s="6">
        <f>IFERROR(tblSales[[#This Row],[NetSalesTRY]]/tblSales[[#This Row],[Units]],0)</f>
        <v>584.93574999999998</v>
      </c>
      <c r="R896" s="17">
        <f>IFERROR(tblSales[[#This Row],[NetSalesTRY]]/tblSales[[#This Row],[TargetTRY]],0)</f>
        <v>0.91865721929411703</v>
      </c>
      <c r="S896" s="6">
        <f>tblSales[[#This Row],[NetSalesTRY]]-tblSales[[#This Row],[TargetTRY]]</f>
        <v>-8286.929999999993</v>
      </c>
      <c r="T896" s="6">
        <f>MAX(tblSales[[#This Row],[TargetTRY]]-tblSales[[#This Row],[NetSalesTRY]],0)</f>
        <v>8286.929999999993</v>
      </c>
    </row>
    <row r="897" spans="1:20">
      <c r="A897" t="s">
        <v>1285</v>
      </c>
      <c r="B897" s="15">
        <v>45839</v>
      </c>
      <c r="C897" t="s">
        <v>23</v>
      </c>
      <c r="D897" t="s">
        <v>24</v>
      </c>
      <c r="E897" t="s">
        <v>55</v>
      </c>
      <c r="F897" t="s">
        <v>53</v>
      </c>
      <c r="G897" t="s">
        <v>14</v>
      </c>
      <c r="H897" s="8">
        <v>98</v>
      </c>
      <c r="I897" s="9">
        <v>109273.72</v>
      </c>
      <c r="J897" s="9">
        <v>6829.85</v>
      </c>
      <c r="K897" s="9">
        <v>1107.56</v>
      </c>
      <c r="L897" s="9">
        <v>101336.32000000001</v>
      </c>
      <c r="M897" s="9">
        <v>96735.05</v>
      </c>
      <c r="N897" s="6" t="str">
        <f>_xlfn.XLOOKUP(tblSales[[#This Row],[ProductID]],tblProducts[ProductID],tblProducts[ProductName],"Not Found")</f>
        <v>NeuroCalm</v>
      </c>
      <c r="O897" s="8">
        <f>YEAR(tblSales[[#This Row],[Month]])</f>
        <v>2025</v>
      </c>
      <c r="P897" s="8">
        <f>MONTH(tblSales[[#This Row],[Month]])</f>
        <v>7</v>
      </c>
      <c r="Q897" s="6">
        <f>IFERROR(tblSales[[#This Row],[NetSalesTRY]]/tblSales[[#This Row],[Units]],0)</f>
        <v>1034.0440816326532</v>
      </c>
      <c r="R897" s="17">
        <f>IFERROR(tblSales[[#This Row],[NetSalesTRY]]/tblSales[[#This Row],[TargetTRY]],0)</f>
        <v>1.0475656961980171</v>
      </c>
      <c r="S897" s="6">
        <f>tblSales[[#This Row],[NetSalesTRY]]-tblSales[[#This Row],[TargetTRY]]</f>
        <v>4601.2700000000041</v>
      </c>
      <c r="T897" s="6">
        <f>MAX(tblSales[[#This Row],[TargetTRY]]-tblSales[[#This Row],[NetSalesTRY]],0)</f>
        <v>0</v>
      </c>
    </row>
    <row r="898" spans="1:20">
      <c r="A898" t="s">
        <v>1286</v>
      </c>
      <c r="B898" s="15">
        <v>45839</v>
      </c>
      <c r="C898" t="s">
        <v>23</v>
      </c>
      <c r="D898" t="s">
        <v>24</v>
      </c>
      <c r="E898" t="s">
        <v>58</v>
      </c>
      <c r="F898" t="s">
        <v>56</v>
      </c>
      <c r="G898" t="s">
        <v>5</v>
      </c>
      <c r="H898" s="8">
        <v>131</v>
      </c>
      <c r="I898" s="9">
        <v>126868.84</v>
      </c>
      <c r="J898" s="9">
        <v>9161.57</v>
      </c>
      <c r="K898" s="9">
        <v>1636.68</v>
      </c>
      <c r="L898" s="9">
        <v>116070.59</v>
      </c>
      <c r="M898" s="9">
        <v>120652.27</v>
      </c>
      <c r="N898" s="6" t="str">
        <f>_xlfn.XLOOKUP(tblSales[[#This Row],[ProductID]],tblProducts[ProductID],tblProducts[ProductName],"Not Found")</f>
        <v>Cardiovan</v>
      </c>
      <c r="O898" s="8">
        <f>YEAR(tblSales[[#This Row],[Month]])</f>
        <v>2025</v>
      </c>
      <c r="P898" s="8">
        <f>MONTH(tblSales[[#This Row],[Month]])</f>
        <v>7</v>
      </c>
      <c r="Q898" s="6">
        <f>IFERROR(tblSales[[#This Row],[NetSalesTRY]]/tblSales[[#This Row],[Units]],0)</f>
        <v>886.03503816793886</v>
      </c>
      <c r="R898" s="17">
        <f>IFERROR(tblSales[[#This Row],[NetSalesTRY]]/tblSales[[#This Row],[TargetTRY]],0)</f>
        <v>0.96202574555787468</v>
      </c>
      <c r="S898" s="6">
        <f>tblSales[[#This Row],[NetSalesTRY]]-tblSales[[#This Row],[TargetTRY]]</f>
        <v>-4581.6800000000076</v>
      </c>
      <c r="T898" s="6">
        <f>MAX(tblSales[[#This Row],[TargetTRY]]-tblSales[[#This Row],[NetSalesTRY]],0)</f>
        <v>4581.6800000000076</v>
      </c>
    </row>
    <row r="899" spans="1:20">
      <c r="A899" t="s">
        <v>1287</v>
      </c>
      <c r="B899" s="15">
        <v>45839</v>
      </c>
      <c r="C899" t="s">
        <v>23</v>
      </c>
      <c r="D899" t="s">
        <v>24</v>
      </c>
      <c r="E899" t="s">
        <v>58</v>
      </c>
      <c r="F899" t="s">
        <v>56</v>
      </c>
      <c r="G899" t="s">
        <v>8</v>
      </c>
      <c r="H899" s="8">
        <v>159</v>
      </c>
      <c r="I899" s="9">
        <v>120326.08</v>
      </c>
      <c r="J899" s="9">
        <v>4481.53</v>
      </c>
      <c r="K899" s="9">
        <v>1030.8900000000001</v>
      </c>
      <c r="L899" s="9">
        <v>114813.65</v>
      </c>
      <c r="M899" s="9">
        <v>110851.79</v>
      </c>
      <c r="N899" s="6" t="str">
        <f>_xlfn.XLOOKUP(tblSales[[#This Row],[ProductID]],tblProducts[ProductID],tblProducts[ProductName],"Not Found")</f>
        <v>GlucoRelief</v>
      </c>
      <c r="O899" s="8">
        <f>YEAR(tblSales[[#This Row],[Month]])</f>
        <v>2025</v>
      </c>
      <c r="P899" s="8">
        <f>MONTH(tblSales[[#This Row],[Month]])</f>
        <v>7</v>
      </c>
      <c r="Q899" s="6">
        <f>IFERROR(tblSales[[#This Row],[NetSalesTRY]]/tblSales[[#This Row],[Units]],0)</f>
        <v>722.09842767295595</v>
      </c>
      <c r="R899" s="17">
        <f>IFERROR(tblSales[[#This Row],[NetSalesTRY]]/tblSales[[#This Row],[TargetTRY]],0)</f>
        <v>1.0357401535870554</v>
      </c>
      <c r="S899" s="6">
        <f>tblSales[[#This Row],[NetSalesTRY]]-tblSales[[#This Row],[TargetTRY]]</f>
        <v>3961.8600000000006</v>
      </c>
      <c r="T899" s="6">
        <f>MAX(tblSales[[#This Row],[TargetTRY]]-tblSales[[#This Row],[NetSalesTRY]],0)</f>
        <v>0</v>
      </c>
    </row>
    <row r="900" spans="1:20">
      <c r="A900" t="s">
        <v>1288</v>
      </c>
      <c r="B900" s="15">
        <v>45839</v>
      </c>
      <c r="C900" t="s">
        <v>23</v>
      </c>
      <c r="D900" t="s">
        <v>24</v>
      </c>
      <c r="E900" t="s">
        <v>58</v>
      </c>
      <c r="F900" t="s">
        <v>56</v>
      </c>
      <c r="G900" t="s">
        <v>11</v>
      </c>
      <c r="H900" s="8">
        <v>176</v>
      </c>
      <c r="I900" s="9">
        <v>109808.42</v>
      </c>
      <c r="J900" s="9">
        <v>5034.1099999999997</v>
      </c>
      <c r="K900" s="9">
        <v>767.95</v>
      </c>
      <c r="L900" s="9">
        <v>104006.36</v>
      </c>
      <c r="M900" s="9">
        <v>103192.62</v>
      </c>
      <c r="N900" s="6" t="str">
        <f>_xlfn.XLOOKUP(tblSales[[#This Row],[ProductID]],tblProducts[ProductID],tblProducts[ProductName],"Not Found")</f>
        <v>RespiraX</v>
      </c>
      <c r="O900" s="8">
        <f>YEAR(tblSales[[#This Row],[Month]])</f>
        <v>2025</v>
      </c>
      <c r="P900" s="8">
        <f>MONTH(tblSales[[#This Row],[Month]])</f>
        <v>7</v>
      </c>
      <c r="Q900" s="6">
        <f>IFERROR(tblSales[[#This Row],[NetSalesTRY]]/tblSales[[#This Row],[Units]],0)</f>
        <v>590.94522727272727</v>
      </c>
      <c r="R900" s="17">
        <f>IFERROR(tblSales[[#This Row],[NetSalesTRY]]/tblSales[[#This Row],[TargetTRY]],0)</f>
        <v>1.0078856414344359</v>
      </c>
      <c r="S900" s="6">
        <f>tblSales[[#This Row],[NetSalesTRY]]-tblSales[[#This Row],[TargetTRY]]</f>
        <v>813.74000000000524</v>
      </c>
      <c r="T900" s="6">
        <f>MAX(tblSales[[#This Row],[TargetTRY]]-tblSales[[#This Row],[NetSalesTRY]],0)</f>
        <v>0</v>
      </c>
    </row>
    <row r="901" spans="1:20">
      <c r="A901" t="s">
        <v>1289</v>
      </c>
      <c r="B901" s="15">
        <v>45839</v>
      </c>
      <c r="C901" t="s">
        <v>23</v>
      </c>
      <c r="D901" t="s">
        <v>24</v>
      </c>
      <c r="E901" t="s">
        <v>58</v>
      </c>
      <c r="F901" t="s">
        <v>56</v>
      </c>
      <c r="G901" t="s">
        <v>14</v>
      </c>
      <c r="H901" s="8">
        <v>90</v>
      </c>
      <c r="I901" s="9">
        <v>99935.24</v>
      </c>
      <c r="J901" s="9">
        <v>5917.5</v>
      </c>
      <c r="K901" s="9">
        <v>456.85</v>
      </c>
      <c r="L901" s="9">
        <v>93560.9</v>
      </c>
      <c r="M901" s="9">
        <v>98621.47</v>
      </c>
      <c r="N901" s="6" t="str">
        <f>_xlfn.XLOOKUP(tblSales[[#This Row],[ProductID]],tblProducts[ProductID],tblProducts[ProductName],"Not Found")</f>
        <v>NeuroCalm</v>
      </c>
      <c r="O901" s="8">
        <f>YEAR(tblSales[[#This Row],[Month]])</f>
        <v>2025</v>
      </c>
      <c r="P901" s="8">
        <f>MONTH(tblSales[[#This Row],[Month]])</f>
        <v>7</v>
      </c>
      <c r="Q901" s="6">
        <f>IFERROR(tblSales[[#This Row],[NetSalesTRY]]/tblSales[[#This Row],[Units]],0)</f>
        <v>1039.5655555555554</v>
      </c>
      <c r="R901" s="17">
        <f>IFERROR(tblSales[[#This Row],[NetSalesTRY]]/tblSales[[#This Row],[TargetTRY]],0)</f>
        <v>0.94868693399114812</v>
      </c>
      <c r="S901" s="6">
        <f>tblSales[[#This Row],[NetSalesTRY]]-tblSales[[#This Row],[TargetTRY]]</f>
        <v>-5060.570000000007</v>
      </c>
      <c r="T901" s="6">
        <f>MAX(tblSales[[#This Row],[TargetTRY]]-tblSales[[#This Row],[NetSalesTRY]],0)</f>
        <v>5060.570000000007</v>
      </c>
    </row>
    <row r="902" spans="1:20">
      <c r="A902" t="s">
        <v>1290</v>
      </c>
      <c r="B902" s="15">
        <v>45839</v>
      </c>
      <c r="C902" t="s">
        <v>25</v>
      </c>
      <c r="D902" t="s">
        <v>26</v>
      </c>
      <c r="E902" t="s">
        <v>61</v>
      </c>
      <c r="F902" t="s">
        <v>59</v>
      </c>
      <c r="G902" t="s">
        <v>5</v>
      </c>
      <c r="H902" s="8">
        <v>101</v>
      </c>
      <c r="I902" s="9">
        <v>99212.28</v>
      </c>
      <c r="J902" s="9">
        <v>5166.49</v>
      </c>
      <c r="K902" s="9">
        <v>821.91</v>
      </c>
      <c r="L902" s="9">
        <v>93223.88</v>
      </c>
      <c r="M902" s="9">
        <v>96312.11</v>
      </c>
      <c r="N902" s="6" t="str">
        <f>_xlfn.XLOOKUP(tblSales[[#This Row],[ProductID]],tblProducts[ProductID],tblProducts[ProductName],"Not Found")</f>
        <v>Cardiovan</v>
      </c>
      <c r="O902" s="8">
        <f>YEAR(tblSales[[#This Row],[Month]])</f>
        <v>2025</v>
      </c>
      <c r="P902" s="8">
        <f>MONTH(tblSales[[#This Row],[Month]])</f>
        <v>7</v>
      </c>
      <c r="Q902" s="6">
        <f>IFERROR(tblSales[[#This Row],[NetSalesTRY]]/tblSales[[#This Row],[Units]],0)</f>
        <v>923.00871287128723</v>
      </c>
      <c r="R902" s="17">
        <f>IFERROR(tblSales[[#This Row],[NetSalesTRY]]/tblSales[[#This Row],[TargetTRY]],0)</f>
        <v>0.96793518489004138</v>
      </c>
      <c r="S902" s="6">
        <f>tblSales[[#This Row],[NetSalesTRY]]-tblSales[[#This Row],[TargetTRY]]</f>
        <v>-3088.2299999999959</v>
      </c>
      <c r="T902" s="6">
        <f>MAX(tblSales[[#This Row],[TargetTRY]]-tblSales[[#This Row],[NetSalesTRY]],0)</f>
        <v>3088.2299999999959</v>
      </c>
    </row>
    <row r="903" spans="1:20">
      <c r="A903" t="s">
        <v>1291</v>
      </c>
      <c r="B903" s="15">
        <v>45839</v>
      </c>
      <c r="C903" t="s">
        <v>25</v>
      </c>
      <c r="D903" t="s">
        <v>26</v>
      </c>
      <c r="E903" t="s">
        <v>61</v>
      </c>
      <c r="F903" t="s">
        <v>59</v>
      </c>
      <c r="G903" t="s">
        <v>8</v>
      </c>
      <c r="H903" s="8">
        <v>122</v>
      </c>
      <c r="I903" s="9">
        <v>94008.83</v>
      </c>
      <c r="J903" s="9">
        <v>6061.89</v>
      </c>
      <c r="K903" s="9">
        <v>1267.55</v>
      </c>
      <c r="L903" s="9">
        <v>86679.39</v>
      </c>
      <c r="M903" s="9">
        <v>85694.29</v>
      </c>
      <c r="N903" s="6" t="str">
        <f>_xlfn.XLOOKUP(tblSales[[#This Row],[ProductID]],tblProducts[ProductID],tblProducts[ProductName],"Not Found")</f>
        <v>GlucoRelief</v>
      </c>
      <c r="O903" s="8">
        <f>YEAR(tblSales[[#This Row],[Month]])</f>
        <v>2025</v>
      </c>
      <c r="P903" s="8">
        <f>MONTH(tblSales[[#This Row],[Month]])</f>
        <v>7</v>
      </c>
      <c r="Q903" s="6">
        <f>IFERROR(tblSales[[#This Row],[NetSalesTRY]]/tblSales[[#This Row],[Units]],0)</f>
        <v>710.48680327868851</v>
      </c>
      <c r="R903" s="17">
        <f>IFERROR(tblSales[[#This Row],[NetSalesTRY]]/tblSales[[#This Row],[TargetTRY]],0)</f>
        <v>1.0114955150454015</v>
      </c>
      <c r="S903" s="6">
        <f>tblSales[[#This Row],[NetSalesTRY]]-tblSales[[#This Row],[TargetTRY]]</f>
        <v>985.10000000000582</v>
      </c>
      <c r="T903" s="6">
        <f>MAX(tblSales[[#This Row],[TargetTRY]]-tblSales[[#This Row],[NetSalesTRY]],0)</f>
        <v>0</v>
      </c>
    </row>
    <row r="904" spans="1:20">
      <c r="A904" t="s">
        <v>1292</v>
      </c>
      <c r="B904" s="15">
        <v>45839</v>
      </c>
      <c r="C904" t="s">
        <v>25</v>
      </c>
      <c r="D904" t="s">
        <v>26</v>
      </c>
      <c r="E904" t="s">
        <v>61</v>
      </c>
      <c r="F904" t="s">
        <v>59</v>
      </c>
      <c r="G904" t="s">
        <v>11</v>
      </c>
      <c r="H904" s="8">
        <v>138</v>
      </c>
      <c r="I904" s="9">
        <v>84800.35</v>
      </c>
      <c r="J904" s="9">
        <v>4529.28</v>
      </c>
      <c r="K904" s="9">
        <v>745.61</v>
      </c>
      <c r="L904" s="9">
        <v>79525.460000000006</v>
      </c>
      <c r="M904" s="9">
        <v>80237.97</v>
      </c>
      <c r="N904" s="6" t="str">
        <f>_xlfn.XLOOKUP(tblSales[[#This Row],[ProductID]],tblProducts[ProductID],tblProducts[ProductName],"Not Found")</f>
        <v>RespiraX</v>
      </c>
      <c r="O904" s="8">
        <f>YEAR(tblSales[[#This Row],[Month]])</f>
        <v>2025</v>
      </c>
      <c r="P904" s="8">
        <f>MONTH(tblSales[[#This Row],[Month]])</f>
        <v>7</v>
      </c>
      <c r="Q904" s="6">
        <f>IFERROR(tblSales[[#This Row],[NetSalesTRY]]/tblSales[[#This Row],[Units]],0)</f>
        <v>576.27144927536233</v>
      </c>
      <c r="R904" s="17">
        <f>IFERROR(tblSales[[#This Row],[NetSalesTRY]]/tblSales[[#This Row],[TargetTRY]],0)</f>
        <v>0.99112003955234662</v>
      </c>
      <c r="S904" s="6">
        <f>tblSales[[#This Row],[NetSalesTRY]]-tblSales[[#This Row],[TargetTRY]]</f>
        <v>-712.50999999999476</v>
      </c>
      <c r="T904" s="6">
        <f>MAX(tblSales[[#This Row],[TargetTRY]]-tblSales[[#This Row],[NetSalesTRY]],0)</f>
        <v>712.50999999999476</v>
      </c>
    </row>
    <row r="905" spans="1:20">
      <c r="A905" t="s">
        <v>1293</v>
      </c>
      <c r="B905" s="15">
        <v>45839</v>
      </c>
      <c r="C905" t="s">
        <v>25</v>
      </c>
      <c r="D905" t="s">
        <v>26</v>
      </c>
      <c r="E905" t="s">
        <v>61</v>
      </c>
      <c r="F905" t="s">
        <v>59</v>
      </c>
      <c r="G905" t="s">
        <v>14</v>
      </c>
      <c r="H905" s="8">
        <v>70</v>
      </c>
      <c r="I905" s="9">
        <v>78081.08</v>
      </c>
      <c r="J905" s="9">
        <v>3302.25</v>
      </c>
      <c r="K905" s="9">
        <v>1046.72</v>
      </c>
      <c r="L905" s="9">
        <v>73732.12</v>
      </c>
      <c r="M905" s="9">
        <v>78214.06</v>
      </c>
      <c r="N905" s="6" t="str">
        <f>_xlfn.XLOOKUP(tblSales[[#This Row],[ProductID]],tblProducts[ProductID],tblProducts[ProductName],"Not Found")</f>
        <v>NeuroCalm</v>
      </c>
      <c r="O905" s="8">
        <f>YEAR(tblSales[[#This Row],[Month]])</f>
        <v>2025</v>
      </c>
      <c r="P905" s="8">
        <f>MONTH(tblSales[[#This Row],[Month]])</f>
        <v>7</v>
      </c>
      <c r="Q905" s="6">
        <f>IFERROR(tblSales[[#This Row],[NetSalesTRY]]/tblSales[[#This Row],[Units]],0)</f>
        <v>1053.316</v>
      </c>
      <c r="R905" s="17">
        <f>IFERROR(tblSales[[#This Row],[NetSalesTRY]]/tblSales[[#This Row],[TargetTRY]],0)</f>
        <v>0.94269649216521934</v>
      </c>
      <c r="S905" s="6">
        <f>tblSales[[#This Row],[NetSalesTRY]]-tblSales[[#This Row],[TargetTRY]]</f>
        <v>-4481.9400000000023</v>
      </c>
      <c r="T905" s="6">
        <f>MAX(tblSales[[#This Row],[TargetTRY]]-tblSales[[#This Row],[NetSalesTRY]],0)</f>
        <v>4481.9400000000023</v>
      </c>
    </row>
    <row r="906" spans="1:20">
      <c r="A906" t="s">
        <v>1294</v>
      </c>
      <c r="B906" s="15">
        <v>45839</v>
      </c>
      <c r="C906" t="s">
        <v>25</v>
      </c>
      <c r="D906" t="s">
        <v>26</v>
      </c>
      <c r="E906" t="s">
        <v>64</v>
      </c>
      <c r="F906" t="s">
        <v>62</v>
      </c>
      <c r="G906" t="s">
        <v>5</v>
      </c>
      <c r="H906" s="8">
        <v>98</v>
      </c>
      <c r="I906" s="9">
        <v>96977.35</v>
      </c>
      <c r="J906" s="9">
        <v>4616.4399999999996</v>
      </c>
      <c r="K906" s="9">
        <v>1101.17</v>
      </c>
      <c r="L906" s="9">
        <v>91259.74</v>
      </c>
      <c r="M906" s="9">
        <v>93771.24</v>
      </c>
      <c r="N906" s="6" t="str">
        <f>_xlfn.XLOOKUP(tblSales[[#This Row],[ProductID]],tblProducts[ProductID],tblProducts[ProductName],"Not Found")</f>
        <v>Cardiovan</v>
      </c>
      <c r="O906" s="8">
        <f>YEAR(tblSales[[#This Row],[Month]])</f>
        <v>2025</v>
      </c>
      <c r="P906" s="8">
        <f>MONTH(tblSales[[#This Row],[Month]])</f>
        <v>7</v>
      </c>
      <c r="Q906" s="6">
        <f>IFERROR(tblSales[[#This Row],[NetSalesTRY]]/tblSales[[#This Row],[Units]],0)</f>
        <v>931.22183673469397</v>
      </c>
      <c r="R906" s="17">
        <f>IFERROR(tblSales[[#This Row],[NetSalesTRY]]/tblSales[[#This Row],[TargetTRY]],0)</f>
        <v>0.97321673468325687</v>
      </c>
      <c r="S906" s="6">
        <f>tblSales[[#This Row],[NetSalesTRY]]-tblSales[[#This Row],[TargetTRY]]</f>
        <v>-2511.5</v>
      </c>
      <c r="T906" s="6">
        <f>MAX(tblSales[[#This Row],[TargetTRY]]-tblSales[[#This Row],[NetSalesTRY]],0)</f>
        <v>2511.5</v>
      </c>
    </row>
    <row r="907" spans="1:20">
      <c r="A907" t="s">
        <v>1295</v>
      </c>
      <c r="B907" s="15">
        <v>45839</v>
      </c>
      <c r="C907" t="s">
        <v>25</v>
      </c>
      <c r="D907" t="s">
        <v>26</v>
      </c>
      <c r="E907" t="s">
        <v>64</v>
      </c>
      <c r="F907" t="s">
        <v>62</v>
      </c>
      <c r="G907" t="s">
        <v>8</v>
      </c>
      <c r="H907" s="8">
        <v>122</v>
      </c>
      <c r="I907" s="9">
        <v>93540.84</v>
      </c>
      <c r="J907" s="9">
        <v>6289.14</v>
      </c>
      <c r="K907" s="9">
        <v>1061.97</v>
      </c>
      <c r="L907" s="9">
        <v>86189.73</v>
      </c>
      <c r="M907" s="9">
        <v>84510.47</v>
      </c>
      <c r="N907" s="6" t="str">
        <f>_xlfn.XLOOKUP(tblSales[[#This Row],[ProductID]],tblProducts[ProductID],tblProducts[ProductName],"Not Found")</f>
        <v>GlucoRelief</v>
      </c>
      <c r="O907" s="8">
        <f>YEAR(tblSales[[#This Row],[Month]])</f>
        <v>2025</v>
      </c>
      <c r="P907" s="8">
        <f>MONTH(tblSales[[#This Row],[Month]])</f>
        <v>7</v>
      </c>
      <c r="Q907" s="6">
        <f>IFERROR(tblSales[[#This Row],[NetSalesTRY]]/tblSales[[#This Row],[Units]],0)</f>
        <v>706.47319672131141</v>
      </c>
      <c r="R907" s="17">
        <f>IFERROR(tblSales[[#This Row],[NetSalesTRY]]/tblSales[[#This Row],[TargetTRY]],0)</f>
        <v>1.0198704373552767</v>
      </c>
      <c r="S907" s="6">
        <f>tblSales[[#This Row],[NetSalesTRY]]-tblSales[[#This Row],[TargetTRY]]</f>
        <v>1679.2599999999948</v>
      </c>
      <c r="T907" s="6">
        <f>MAX(tblSales[[#This Row],[TargetTRY]]-tblSales[[#This Row],[NetSalesTRY]],0)</f>
        <v>0</v>
      </c>
    </row>
    <row r="908" spans="1:20">
      <c r="A908" t="s">
        <v>1296</v>
      </c>
      <c r="B908" s="15">
        <v>45839</v>
      </c>
      <c r="C908" t="s">
        <v>25</v>
      </c>
      <c r="D908" t="s">
        <v>26</v>
      </c>
      <c r="E908" t="s">
        <v>64</v>
      </c>
      <c r="F908" t="s">
        <v>62</v>
      </c>
      <c r="G908" t="s">
        <v>11</v>
      </c>
      <c r="H908" s="8">
        <v>140</v>
      </c>
      <c r="I908" s="9">
        <v>86263.01</v>
      </c>
      <c r="J908" s="9">
        <v>5825.96</v>
      </c>
      <c r="K908" s="9">
        <v>1065.3</v>
      </c>
      <c r="L908" s="9">
        <v>79371.759999999995</v>
      </c>
      <c r="M908" s="9">
        <v>80430</v>
      </c>
      <c r="N908" s="6" t="str">
        <f>_xlfn.XLOOKUP(tblSales[[#This Row],[ProductID]],tblProducts[ProductID],tblProducts[ProductName],"Not Found")</f>
        <v>RespiraX</v>
      </c>
      <c r="O908" s="8">
        <f>YEAR(tblSales[[#This Row],[Month]])</f>
        <v>2025</v>
      </c>
      <c r="P908" s="8">
        <f>MONTH(tblSales[[#This Row],[Month]])</f>
        <v>7</v>
      </c>
      <c r="Q908" s="6">
        <f>IFERROR(tblSales[[#This Row],[NetSalesTRY]]/tblSales[[#This Row],[Units]],0)</f>
        <v>566.94114285714284</v>
      </c>
      <c r="R908" s="17">
        <f>IFERROR(tblSales[[#This Row],[NetSalesTRY]]/tblSales[[#This Row],[TargetTRY]],0)</f>
        <v>0.98684272037796839</v>
      </c>
      <c r="S908" s="6">
        <f>tblSales[[#This Row],[NetSalesTRY]]-tblSales[[#This Row],[TargetTRY]]</f>
        <v>-1058.2400000000052</v>
      </c>
      <c r="T908" s="6">
        <f>MAX(tblSales[[#This Row],[TargetTRY]]-tblSales[[#This Row],[NetSalesTRY]],0)</f>
        <v>1058.2400000000052</v>
      </c>
    </row>
    <row r="909" spans="1:20">
      <c r="A909" t="s">
        <v>1297</v>
      </c>
      <c r="B909" s="15">
        <v>45839</v>
      </c>
      <c r="C909" t="s">
        <v>25</v>
      </c>
      <c r="D909" t="s">
        <v>26</v>
      </c>
      <c r="E909" t="s">
        <v>64</v>
      </c>
      <c r="F909" t="s">
        <v>62</v>
      </c>
      <c r="G909" t="s">
        <v>14</v>
      </c>
      <c r="H909" s="8">
        <v>77</v>
      </c>
      <c r="I909" s="9">
        <v>85484.28</v>
      </c>
      <c r="J909" s="9">
        <v>5587.26</v>
      </c>
      <c r="K909" s="9">
        <v>480.44</v>
      </c>
      <c r="L909" s="9">
        <v>79416.59</v>
      </c>
      <c r="M909" s="9">
        <v>77807.27</v>
      </c>
      <c r="N909" s="6" t="str">
        <f>_xlfn.XLOOKUP(tblSales[[#This Row],[ProductID]],tblProducts[ProductID],tblProducts[ProductName],"Not Found")</f>
        <v>NeuroCalm</v>
      </c>
      <c r="O909" s="8">
        <f>YEAR(tblSales[[#This Row],[Month]])</f>
        <v>2025</v>
      </c>
      <c r="P909" s="8">
        <f>MONTH(tblSales[[#This Row],[Month]])</f>
        <v>7</v>
      </c>
      <c r="Q909" s="6">
        <f>IFERROR(tblSales[[#This Row],[NetSalesTRY]]/tblSales[[#This Row],[Units]],0)</f>
        <v>1031.3842857142856</v>
      </c>
      <c r="R909" s="17">
        <f>IFERROR(tblSales[[#This Row],[NetSalesTRY]]/tblSales[[#This Row],[TargetTRY]],0)</f>
        <v>1.0206834142876364</v>
      </c>
      <c r="S909" s="6">
        <f>tblSales[[#This Row],[NetSalesTRY]]-tblSales[[#This Row],[TargetTRY]]</f>
        <v>1609.3199999999924</v>
      </c>
      <c r="T909" s="6">
        <f>MAX(tblSales[[#This Row],[TargetTRY]]-tblSales[[#This Row],[NetSalesTRY]],0)</f>
        <v>0</v>
      </c>
    </row>
    <row r="910" spans="1:20">
      <c r="A910" t="s">
        <v>1298</v>
      </c>
      <c r="B910" s="15">
        <v>45839</v>
      </c>
      <c r="C910" t="s">
        <v>25</v>
      </c>
      <c r="D910" t="s">
        <v>26</v>
      </c>
      <c r="E910" t="s">
        <v>67</v>
      </c>
      <c r="F910" t="s">
        <v>65</v>
      </c>
      <c r="G910" t="s">
        <v>5</v>
      </c>
      <c r="H910" s="8">
        <v>115</v>
      </c>
      <c r="I910" s="9">
        <v>111692.51</v>
      </c>
      <c r="J910" s="9">
        <v>5977.92</v>
      </c>
      <c r="K910" s="9">
        <v>473.36</v>
      </c>
      <c r="L910" s="9">
        <v>105241.23</v>
      </c>
      <c r="M910" s="9">
        <v>107135.67999999999</v>
      </c>
      <c r="N910" s="6" t="str">
        <f>_xlfn.XLOOKUP(tblSales[[#This Row],[ProductID]],tblProducts[ProductID],tblProducts[ProductName],"Not Found")</f>
        <v>Cardiovan</v>
      </c>
      <c r="O910" s="8">
        <f>YEAR(tblSales[[#This Row],[Month]])</f>
        <v>2025</v>
      </c>
      <c r="P910" s="8">
        <f>MONTH(tblSales[[#This Row],[Month]])</f>
        <v>7</v>
      </c>
      <c r="Q910" s="6">
        <f>IFERROR(tblSales[[#This Row],[NetSalesTRY]]/tblSales[[#This Row],[Units]],0)</f>
        <v>915.14113043478255</v>
      </c>
      <c r="R910" s="17">
        <f>IFERROR(tblSales[[#This Row],[NetSalesTRY]]/tblSales[[#This Row],[TargetTRY]],0)</f>
        <v>0.98231728216034098</v>
      </c>
      <c r="S910" s="6">
        <f>tblSales[[#This Row],[NetSalesTRY]]-tblSales[[#This Row],[TargetTRY]]</f>
        <v>-1894.4499999999971</v>
      </c>
      <c r="T910" s="6">
        <f>MAX(tblSales[[#This Row],[TargetTRY]]-tblSales[[#This Row],[NetSalesTRY]],0)</f>
        <v>1894.4499999999971</v>
      </c>
    </row>
    <row r="911" spans="1:20">
      <c r="A911" t="s">
        <v>1299</v>
      </c>
      <c r="B911" s="15">
        <v>45839</v>
      </c>
      <c r="C911" t="s">
        <v>25</v>
      </c>
      <c r="D911" t="s">
        <v>26</v>
      </c>
      <c r="E911" t="s">
        <v>67</v>
      </c>
      <c r="F911" t="s">
        <v>65</v>
      </c>
      <c r="G911" t="s">
        <v>8</v>
      </c>
      <c r="H911" s="8">
        <v>128</v>
      </c>
      <c r="I911" s="9">
        <v>98617.82</v>
      </c>
      <c r="J911" s="9">
        <v>6270.62</v>
      </c>
      <c r="K911" s="9">
        <v>934.67</v>
      </c>
      <c r="L911" s="9">
        <v>91412.53</v>
      </c>
      <c r="M911" s="9">
        <v>97276.83</v>
      </c>
      <c r="N911" s="6" t="str">
        <f>_xlfn.XLOOKUP(tblSales[[#This Row],[ProductID]],tblProducts[ProductID],tblProducts[ProductName],"Not Found")</f>
        <v>GlucoRelief</v>
      </c>
      <c r="O911" s="8">
        <f>YEAR(tblSales[[#This Row],[Month]])</f>
        <v>2025</v>
      </c>
      <c r="P911" s="8">
        <f>MONTH(tblSales[[#This Row],[Month]])</f>
        <v>7</v>
      </c>
      <c r="Q911" s="6">
        <f>IFERROR(tblSales[[#This Row],[NetSalesTRY]]/tblSales[[#This Row],[Units]],0)</f>
        <v>714.16039062499999</v>
      </c>
      <c r="R911" s="17">
        <f>IFERROR(tblSales[[#This Row],[NetSalesTRY]]/tblSales[[#This Row],[TargetTRY]],0)</f>
        <v>0.93971534639852061</v>
      </c>
      <c r="S911" s="6">
        <f>tblSales[[#This Row],[NetSalesTRY]]-tblSales[[#This Row],[TargetTRY]]</f>
        <v>-5864.3000000000029</v>
      </c>
      <c r="T911" s="6">
        <f>MAX(tblSales[[#This Row],[TargetTRY]]-tblSales[[#This Row],[NetSalesTRY]],0)</f>
        <v>5864.3000000000029</v>
      </c>
    </row>
    <row r="912" spans="1:20">
      <c r="A912" t="s">
        <v>1300</v>
      </c>
      <c r="B912" s="15">
        <v>45839</v>
      </c>
      <c r="C912" t="s">
        <v>25</v>
      </c>
      <c r="D912" t="s">
        <v>26</v>
      </c>
      <c r="E912" t="s">
        <v>67</v>
      </c>
      <c r="F912" t="s">
        <v>65</v>
      </c>
      <c r="G912" t="s">
        <v>11</v>
      </c>
      <c r="H912" s="8">
        <v>143</v>
      </c>
      <c r="I912" s="9">
        <v>88746.97</v>
      </c>
      <c r="J912" s="9">
        <v>6374.63</v>
      </c>
      <c r="K912" s="9">
        <v>701.62</v>
      </c>
      <c r="L912" s="9">
        <v>81670.73</v>
      </c>
      <c r="M912" s="9">
        <v>90428.95</v>
      </c>
      <c r="N912" s="6" t="str">
        <f>_xlfn.XLOOKUP(tblSales[[#This Row],[ProductID]],tblProducts[ProductID],tblProducts[ProductName],"Not Found")</f>
        <v>RespiraX</v>
      </c>
      <c r="O912" s="8">
        <f>YEAR(tblSales[[#This Row],[Month]])</f>
        <v>2025</v>
      </c>
      <c r="P912" s="8">
        <f>MONTH(tblSales[[#This Row],[Month]])</f>
        <v>7</v>
      </c>
      <c r="Q912" s="6">
        <f>IFERROR(tblSales[[#This Row],[NetSalesTRY]]/tblSales[[#This Row],[Units]],0)</f>
        <v>571.12398601398604</v>
      </c>
      <c r="R912" s="17">
        <f>IFERROR(tblSales[[#This Row],[NetSalesTRY]]/tblSales[[#This Row],[TargetTRY]],0)</f>
        <v>0.90314805159188516</v>
      </c>
      <c r="S912" s="6">
        <f>tblSales[[#This Row],[NetSalesTRY]]-tblSales[[#This Row],[TargetTRY]]</f>
        <v>-8758.2200000000012</v>
      </c>
      <c r="T912" s="6">
        <f>MAX(tblSales[[#This Row],[TargetTRY]]-tblSales[[#This Row],[NetSalesTRY]],0)</f>
        <v>8758.2200000000012</v>
      </c>
    </row>
    <row r="913" spans="1:20">
      <c r="A913" t="s">
        <v>1301</v>
      </c>
      <c r="B913" s="15">
        <v>45839</v>
      </c>
      <c r="C913" t="s">
        <v>25</v>
      </c>
      <c r="D913" t="s">
        <v>26</v>
      </c>
      <c r="E913" t="s">
        <v>67</v>
      </c>
      <c r="F913" t="s">
        <v>65</v>
      </c>
      <c r="G913" t="s">
        <v>14</v>
      </c>
      <c r="H913" s="8">
        <v>87</v>
      </c>
      <c r="I913" s="9">
        <v>94271.1</v>
      </c>
      <c r="J913" s="9">
        <v>6120.12</v>
      </c>
      <c r="K913" s="9">
        <v>751.83</v>
      </c>
      <c r="L913" s="9">
        <v>87399.15</v>
      </c>
      <c r="M913" s="9">
        <v>88722.32</v>
      </c>
      <c r="N913" s="6" t="str">
        <f>_xlfn.XLOOKUP(tblSales[[#This Row],[ProductID]],tblProducts[ProductID],tblProducts[ProductName],"Not Found")</f>
        <v>NeuroCalm</v>
      </c>
      <c r="O913" s="8">
        <f>YEAR(tblSales[[#This Row],[Month]])</f>
        <v>2025</v>
      </c>
      <c r="P913" s="8">
        <f>MONTH(tblSales[[#This Row],[Month]])</f>
        <v>7</v>
      </c>
      <c r="Q913" s="6">
        <f>IFERROR(tblSales[[#This Row],[NetSalesTRY]]/tblSales[[#This Row],[Units]],0)</f>
        <v>1004.5879310344827</v>
      </c>
      <c r="R913" s="17">
        <f>IFERROR(tblSales[[#This Row],[NetSalesTRY]]/tblSales[[#This Row],[TargetTRY]],0)</f>
        <v>0.98508639088788463</v>
      </c>
      <c r="S913" s="6">
        <f>tblSales[[#This Row],[NetSalesTRY]]-tblSales[[#This Row],[TargetTRY]]</f>
        <v>-1323.1700000000128</v>
      </c>
      <c r="T913" s="6">
        <f>MAX(tblSales[[#This Row],[TargetTRY]]-tblSales[[#This Row],[NetSalesTRY]],0)</f>
        <v>1323.1700000000128</v>
      </c>
    </row>
    <row r="914" spans="1:20">
      <c r="A914" t="s">
        <v>1302</v>
      </c>
      <c r="B914" s="15">
        <v>45870</v>
      </c>
      <c r="C914" t="s">
        <v>19</v>
      </c>
      <c r="D914" t="s">
        <v>20</v>
      </c>
      <c r="E914" t="s">
        <v>34</v>
      </c>
      <c r="F914" t="s">
        <v>32</v>
      </c>
      <c r="G914" t="s">
        <v>5</v>
      </c>
      <c r="H914" s="8">
        <v>147</v>
      </c>
      <c r="I914" s="9">
        <v>142325.99</v>
      </c>
      <c r="J914" s="9">
        <v>5284.17</v>
      </c>
      <c r="K914" s="9">
        <v>1728.08</v>
      </c>
      <c r="L914" s="9">
        <v>135313.74</v>
      </c>
      <c r="M914" s="9">
        <v>141833.31</v>
      </c>
      <c r="N914" s="6" t="str">
        <f>_xlfn.XLOOKUP(tblSales[[#This Row],[ProductID]],tblProducts[ProductID],tblProducts[ProductName],"Not Found")</f>
        <v>Cardiovan</v>
      </c>
      <c r="O914" s="8">
        <f>YEAR(tblSales[[#This Row],[Month]])</f>
        <v>2025</v>
      </c>
      <c r="P914" s="8">
        <f>MONTH(tblSales[[#This Row],[Month]])</f>
        <v>8</v>
      </c>
      <c r="Q914" s="6">
        <f>IFERROR(tblSales[[#This Row],[NetSalesTRY]]/tblSales[[#This Row],[Units]],0)</f>
        <v>920.50163265306117</v>
      </c>
      <c r="R914" s="17">
        <f>IFERROR(tblSales[[#This Row],[NetSalesTRY]]/tblSales[[#This Row],[TargetTRY]],0)</f>
        <v>0.95403357645675757</v>
      </c>
      <c r="S914" s="6">
        <f>tblSales[[#This Row],[NetSalesTRY]]-tblSales[[#This Row],[TargetTRY]]</f>
        <v>-6519.570000000007</v>
      </c>
      <c r="T914" s="6">
        <f>MAX(tblSales[[#This Row],[TargetTRY]]-tblSales[[#This Row],[NetSalesTRY]],0)</f>
        <v>6519.570000000007</v>
      </c>
    </row>
    <row r="915" spans="1:20">
      <c r="A915" t="s">
        <v>1303</v>
      </c>
      <c r="B915" s="15">
        <v>45870</v>
      </c>
      <c r="C915" t="s">
        <v>19</v>
      </c>
      <c r="D915" t="s">
        <v>20</v>
      </c>
      <c r="E915" t="s">
        <v>34</v>
      </c>
      <c r="F915" t="s">
        <v>32</v>
      </c>
      <c r="G915" t="s">
        <v>8</v>
      </c>
      <c r="H915" s="8">
        <v>195</v>
      </c>
      <c r="I915" s="9">
        <v>148842.76999999999</v>
      </c>
      <c r="J915" s="9">
        <v>5553.09</v>
      </c>
      <c r="K915" s="9">
        <v>1868.18</v>
      </c>
      <c r="L915" s="9">
        <v>141421.51</v>
      </c>
      <c r="M915" s="9">
        <v>130544.47</v>
      </c>
      <c r="N915" s="6" t="str">
        <f>_xlfn.XLOOKUP(tblSales[[#This Row],[ProductID]],tblProducts[ProductID],tblProducts[ProductName],"Not Found")</f>
        <v>GlucoRelief</v>
      </c>
      <c r="O915" s="8">
        <f>YEAR(tblSales[[#This Row],[Month]])</f>
        <v>2025</v>
      </c>
      <c r="P915" s="8">
        <f>MONTH(tblSales[[#This Row],[Month]])</f>
        <v>8</v>
      </c>
      <c r="Q915" s="6">
        <f>IFERROR(tblSales[[#This Row],[NetSalesTRY]]/tblSales[[#This Row],[Units]],0)</f>
        <v>725.23851282051282</v>
      </c>
      <c r="R915" s="17">
        <f>IFERROR(tblSales[[#This Row],[NetSalesTRY]]/tblSales[[#This Row],[TargetTRY]],0)</f>
        <v>1.0833205726753496</v>
      </c>
      <c r="S915" s="6">
        <f>tblSales[[#This Row],[NetSalesTRY]]-tblSales[[#This Row],[TargetTRY]]</f>
        <v>10877.040000000008</v>
      </c>
      <c r="T915" s="6">
        <f>MAX(tblSales[[#This Row],[TargetTRY]]-tblSales[[#This Row],[NetSalesTRY]],0)</f>
        <v>0</v>
      </c>
    </row>
    <row r="916" spans="1:20">
      <c r="A916" t="s">
        <v>1304</v>
      </c>
      <c r="B916" s="15">
        <v>45870</v>
      </c>
      <c r="C916" t="s">
        <v>19</v>
      </c>
      <c r="D916" t="s">
        <v>20</v>
      </c>
      <c r="E916" t="s">
        <v>34</v>
      </c>
      <c r="F916" t="s">
        <v>32</v>
      </c>
      <c r="G916" t="s">
        <v>11</v>
      </c>
      <c r="H916" s="8">
        <v>219</v>
      </c>
      <c r="I916" s="9">
        <v>137714.74</v>
      </c>
      <c r="J916" s="9">
        <v>5718.26</v>
      </c>
      <c r="K916" s="9">
        <v>1323.7</v>
      </c>
      <c r="L916" s="9">
        <v>130672.77</v>
      </c>
      <c r="M916" s="9">
        <v>121733.2</v>
      </c>
      <c r="N916" s="6" t="str">
        <f>_xlfn.XLOOKUP(tblSales[[#This Row],[ProductID]],tblProducts[ProductID],tblProducts[ProductName],"Not Found")</f>
        <v>RespiraX</v>
      </c>
      <c r="O916" s="8">
        <f>YEAR(tblSales[[#This Row],[Month]])</f>
        <v>2025</v>
      </c>
      <c r="P916" s="8">
        <f>MONTH(tblSales[[#This Row],[Month]])</f>
        <v>8</v>
      </c>
      <c r="Q916" s="6">
        <f>IFERROR(tblSales[[#This Row],[NetSalesTRY]]/tblSales[[#This Row],[Units]],0)</f>
        <v>596.67931506849322</v>
      </c>
      <c r="R916" s="17">
        <f>IFERROR(tblSales[[#This Row],[NetSalesTRY]]/tblSales[[#This Row],[TargetTRY]],0)</f>
        <v>1.0734357595134278</v>
      </c>
      <c r="S916" s="6">
        <f>tblSales[[#This Row],[NetSalesTRY]]-tblSales[[#This Row],[TargetTRY]]</f>
        <v>8939.570000000007</v>
      </c>
      <c r="T916" s="6">
        <f>MAX(tblSales[[#This Row],[TargetTRY]]-tblSales[[#This Row],[NetSalesTRY]],0)</f>
        <v>0</v>
      </c>
    </row>
    <row r="917" spans="1:20">
      <c r="A917" t="s">
        <v>1305</v>
      </c>
      <c r="B917" s="15">
        <v>45870</v>
      </c>
      <c r="C917" t="s">
        <v>19</v>
      </c>
      <c r="D917" t="s">
        <v>20</v>
      </c>
      <c r="E917" t="s">
        <v>34</v>
      </c>
      <c r="F917" t="s">
        <v>32</v>
      </c>
      <c r="G917" t="s">
        <v>14</v>
      </c>
      <c r="H917" s="8">
        <v>109</v>
      </c>
      <c r="I917" s="9">
        <v>118222.15</v>
      </c>
      <c r="J917" s="9">
        <v>7426.16</v>
      </c>
      <c r="K917" s="9">
        <v>1348.99</v>
      </c>
      <c r="L917" s="9">
        <v>109446.99</v>
      </c>
      <c r="M917" s="9">
        <v>119646.15</v>
      </c>
      <c r="N917" s="6" t="str">
        <f>_xlfn.XLOOKUP(tblSales[[#This Row],[ProductID]],tblProducts[ProductID],tblProducts[ProductName],"Not Found")</f>
        <v>NeuroCalm</v>
      </c>
      <c r="O917" s="8">
        <f>YEAR(tblSales[[#This Row],[Month]])</f>
        <v>2025</v>
      </c>
      <c r="P917" s="8">
        <f>MONTH(tblSales[[#This Row],[Month]])</f>
        <v>8</v>
      </c>
      <c r="Q917" s="6">
        <f>IFERROR(tblSales[[#This Row],[NetSalesTRY]]/tblSales[[#This Row],[Units]],0)</f>
        <v>1004.1008256880734</v>
      </c>
      <c r="R917" s="17">
        <f>IFERROR(tblSales[[#This Row],[NetSalesTRY]]/tblSales[[#This Row],[TargetTRY]],0)</f>
        <v>0.91475563568071361</v>
      </c>
      <c r="S917" s="6">
        <f>tblSales[[#This Row],[NetSalesTRY]]-tblSales[[#This Row],[TargetTRY]]</f>
        <v>-10199.159999999989</v>
      </c>
      <c r="T917" s="6">
        <f>MAX(tblSales[[#This Row],[TargetTRY]]-tblSales[[#This Row],[NetSalesTRY]],0)</f>
        <v>10199.159999999989</v>
      </c>
    </row>
    <row r="918" spans="1:20">
      <c r="A918" t="s">
        <v>1306</v>
      </c>
      <c r="B918" s="15">
        <v>45870</v>
      </c>
      <c r="C918" t="s">
        <v>19</v>
      </c>
      <c r="D918" t="s">
        <v>20</v>
      </c>
      <c r="E918" t="s">
        <v>37</v>
      </c>
      <c r="F918" t="s">
        <v>35</v>
      </c>
      <c r="G918" t="s">
        <v>5</v>
      </c>
      <c r="H918" s="8">
        <v>153</v>
      </c>
      <c r="I918" s="9">
        <v>150162.15</v>
      </c>
      <c r="J918" s="9">
        <v>10606.09</v>
      </c>
      <c r="K918" s="9">
        <v>826.97</v>
      </c>
      <c r="L918" s="9">
        <v>138729.09</v>
      </c>
      <c r="M918" s="9">
        <v>146766.94</v>
      </c>
      <c r="N918" s="6" t="str">
        <f>_xlfn.XLOOKUP(tblSales[[#This Row],[ProductID]],tblProducts[ProductID],tblProducts[ProductName],"Not Found")</f>
        <v>Cardiovan</v>
      </c>
      <c r="O918" s="8">
        <f>YEAR(tblSales[[#This Row],[Month]])</f>
        <v>2025</v>
      </c>
      <c r="P918" s="8">
        <f>MONTH(tblSales[[#This Row],[Month]])</f>
        <v>8</v>
      </c>
      <c r="Q918" s="6">
        <f>IFERROR(tblSales[[#This Row],[NetSalesTRY]]/tblSales[[#This Row],[Units]],0)</f>
        <v>906.72607843137257</v>
      </c>
      <c r="R918" s="17">
        <f>IFERROR(tblSales[[#This Row],[NetSalesTRY]]/tblSales[[#This Row],[TargetTRY]],0)</f>
        <v>0.9452339198459816</v>
      </c>
      <c r="S918" s="6">
        <f>tblSales[[#This Row],[NetSalesTRY]]-tblSales[[#This Row],[TargetTRY]]</f>
        <v>-8037.8500000000058</v>
      </c>
      <c r="T918" s="6">
        <f>MAX(tblSales[[#This Row],[TargetTRY]]-tblSales[[#This Row],[NetSalesTRY]],0)</f>
        <v>8037.8500000000058</v>
      </c>
    </row>
    <row r="919" spans="1:20">
      <c r="A919" t="s">
        <v>1307</v>
      </c>
      <c r="B919" s="15">
        <v>45870</v>
      </c>
      <c r="C919" t="s">
        <v>19</v>
      </c>
      <c r="D919" t="s">
        <v>20</v>
      </c>
      <c r="E919" t="s">
        <v>37</v>
      </c>
      <c r="F919" t="s">
        <v>35</v>
      </c>
      <c r="G919" t="s">
        <v>8</v>
      </c>
      <c r="H919" s="8">
        <v>192</v>
      </c>
      <c r="I919" s="9">
        <v>146011.12</v>
      </c>
      <c r="J919" s="9">
        <v>5871.23</v>
      </c>
      <c r="K919" s="9">
        <v>1960.34</v>
      </c>
      <c r="L919" s="9">
        <v>138179.54999999999</v>
      </c>
      <c r="M919" s="9">
        <v>130298.83</v>
      </c>
      <c r="N919" s="6" t="str">
        <f>_xlfn.XLOOKUP(tblSales[[#This Row],[ProductID]],tblProducts[ProductID],tblProducts[ProductName],"Not Found")</f>
        <v>GlucoRelief</v>
      </c>
      <c r="O919" s="8">
        <f>YEAR(tblSales[[#This Row],[Month]])</f>
        <v>2025</v>
      </c>
      <c r="P919" s="8">
        <f>MONTH(tblSales[[#This Row],[Month]])</f>
        <v>8</v>
      </c>
      <c r="Q919" s="6">
        <f>IFERROR(tblSales[[#This Row],[NetSalesTRY]]/tblSales[[#This Row],[Units]],0)</f>
        <v>719.68515624999998</v>
      </c>
      <c r="R919" s="17">
        <f>IFERROR(tblSales[[#This Row],[NetSalesTRY]]/tblSales[[#This Row],[TargetTRY]],0)</f>
        <v>1.0604818938128606</v>
      </c>
      <c r="S919" s="6">
        <f>tblSales[[#This Row],[NetSalesTRY]]-tblSales[[#This Row],[TargetTRY]]</f>
        <v>7880.7199999999866</v>
      </c>
      <c r="T919" s="6">
        <f>MAX(tblSales[[#This Row],[TargetTRY]]-tblSales[[#This Row],[NetSalesTRY]],0)</f>
        <v>0</v>
      </c>
    </row>
    <row r="920" spans="1:20">
      <c r="A920" t="s">
        <v>1308</v>
      </c>
      <c r="B920" s="15">
        <v>45870</v>
      </c>
      <c r="C920" t="s">
        <v>19</v>
      </c>
      <c r="D920" t="s">
        <v>20</v>
      </c>
      <c r="E920" t="s">
        <v>37</v>
      </c>
      <c r="F920" t="s">
        <v>35</v>
      </c>
      <c r="G920" t="s">
        <v>11</v>
      </c>
      <c r="H920" s="8">
        <v>220</v>
      </c>
      <c r="I920" s="9">
        <v>137895.89000000001</v>
      </c>
      <c r="J920" s="9">
        <v>5111.51</v>
      </c>
      <c r="K920" s="9">
        <v>1743.73</v>
      </c>
      <c r="L920" s="9">
        <v>131040.65</v>
      </c>
      <c r="M920" s="9">
        <v>123061.39</v>
      </c>
      <c r="N920" s="6" t="str">
        <f>_xlfn.XLOOKUP(tblSales[[#This Row],[ProductID]],tblProducts[ProductID],tblProducts[ProductName],"Not Found")</f>
        <v>RespiraX</v>
      </c>
      <c r="O920" s="8">
        <f>YEAR(tblSales[[#This Row],[Month]])</f>
        <v>2025</v>
      </c>
      <c r="P920" s="8">
        <f>MONTH(tblSales[[#This Row],[Month]])</f>
        <v>8</v>
      </c>
      <c r="Q920" s="6">
        <f>IFERROR(tblSales[[#This Row],[NetSalesTRY]]/tblSales[[#This Row],[Units]],0)</f>
        <v>595.63931818181811</v>
      </c>
      <c r="R920" s="17">
        <f>IFERROR(tblSales[[#This Row],[NetSalesTRY]]/tblSales[[#This Row],[TargetTRY]],0)</f>
        <v>1.0648396706716867</v>
      </c>
      <c r="S920" s="6">
        <f>tblSales[[#This Row],[NetSalesTRY]]-tblSales[[#This Row],[TargetTRY]]</f>
        <v>7979.2599999999948</v>
      </c>
      <c r="T920" s="6">
        <f>MAX(tblSales[[#This Row],[TargetTRY]]-tblSales[[#This Row],[NetSalesTRY]],0)</f>
        <v>0</v>
      </c>
    </row>
    <row r="921" spans="1:20">
      <c r="A921" t="s">
        <v>1309</v>
      </c>
      <c r="B921" s="15">
        <v>45870</v>
      </c>
      <c r="C921" t="s">
        <v>19</v>
      </c>
      <c r="D921" t="s">
        <v>20</v>
      </c>
      <c r="E921" t="s">
        <v>37</v>
      </c>
      <c r="F921" t="s">
        <v>35</v>
      </c>
      <c r="G921" t="s">
        <v>14</v>
      </c>
      <c r="H921" s="8">
        <v>120</v>
      </c>
      <c r="I921" s="9">
        <v>130682.19</v>
      </c>
      <c r="J921" s="9">
        <v>8879.99</v>
      </c>
      <c r="K921" s="9">
        <v>1213.53</v>
      </c>
      <c r="L921" s="9">
        <v>120588.67</v>
      </c>
      <c r="M921" s="9">
        <v>120379.17</v>
      </c>
      <c r="N921" s="6" t="str">
        <f>_xlfn.XLOOKUP(tblSales[[#This Row],[ProductID]],tblProducts[ProductID],tblProducts[ProductName],"Not Found")</f>
        <v>NeuroCalm</v>
      </c>
      <c r="O921" s="8">
        <f>YEAR(tblSales[[#This Row],[Month]])</f>
        <v>2025</v>
      </c>
      <c r="P921" s="8">
        <f>MONTH(tblSales[[#This Row],[Month]])</f>
        <v>8</v>
      </c>
      <c r="Q921" s="6">
        <f>IFERROR(tblSales[[#This Row],[NetSalesTRY]]/tblSales[[#This Row],[Units]],0)</f>
        <v>1004.9055833333333</v>
      </c>
      <c r="R921" s="17">
        <f>IFERROR(tblSales[[#This Row],[NetSalesTRY]]/tblSales[[#This Row],[TargetTRY]],0)</f>
        <v>1.0017403343119911</v>
      </c>
      <c r="S921" s="6">
        <f>tblSales[[#This Row],[NetSalesTRY]]-tblSales[[#This Row],[TargetTRY]]</f>
        <v>209.5</v>
      </c>
      <c r="T921" s="6">
        <f>MAX(tblSales[[#This Row],[TargetTRY]]-tblSales[[#This Row],[NetSalesTRY]],0)</f>
        <v>0</v>
      </c>
    </row>
    <row r="922" spans="1:20">
      <c r="A922" t="s">
        <v>1310</v>
      </c>
      <c r="B922" s="15">
        <v>45870</v>
      </c>
      <c r="C922" t="s">
        <v>19</v>
      </c>
      <c r="D922" t="s">
        <v>20</v>
      </c>
      <c r="E922" t="s">
        <v>40</v>
      </c>
      <c r="F922" t="s">
        <v>38</v>
      </c>
      <c r="G922" t="s">
        <v>5</v>
      </c>
      <c r="H922" s="8">
        <v>161</v>
      </c>
      <c r="I922" s="9">
        <v>155800.04999999999</v>
      </c>
      <c r="J922" s="9">
        <v>7047</v>
      </c>
      <c r="K922" s="9">
        <v>1437.64</v>
      </c>
      <c r="L922" s="9">
        <v>147315.41</v>
      </c>
      <c r="M922" s="9">
        <v>157861.45000000001</v>
      </c>
      <c r="N922" s="6" t="str">
        <f>_xlfn.XLOOKUP(tblSales[[#This Row],[ProductID]],tblProducts[ProductID],tblProducts[ProductName],"Not Found")</f>
        <v>Cardiovan</v>
      </c>
      <c r="O922" s="8">
        <f>YEAR(tblSales[[#This Row],[Month]])</f>
        <v>2025</v>
      </c>
      <c r="P922" s="8">
        <f>MONTH(tblSales[[#This Row],[Month]])</f>
        <v>8</v>
      </c>
      <c r="Q922" s="6">
        <f>IFERROR(tblSales[[#This Row],[NetSalesTRY]]/tblSales[[#This Row],[Units]],0)</f>
        <v>915.00254658385097</v>
      </c>
      <c r="R922" s="17">
        <f>IFERROR(tblSales[[#This Row],[NetSalesTRY]]/tblSales[[#This Row],[TargetTRY]],0)</f>
        <v>0.93319432958458193</v>
      </c>
      <c r="S922" s="6">
        <f>tblSales[[#This Row],[NetSalesTRY]]-tblSales[[#This Row],[TargetTRY]]</f>
        <v>-10546.040000000008</v>
      </c>
      <c r="T922" s="6">
        <f>MAX(tblSales[[#This Row],[TargetTRY]]-tblSales[[#This Row],[NetSalesTRY]],0)</f>
        <v>10546.040000000008</v>
      </c>
    </row>
    <row r="923" spans="1:20">
      <c r="A923" t="s">
        <v>1311</v>
      </c>
      <c r="B923" s="15">
        <v>45870</v>
      </c>
      <c r="C923" t="s">
        <v>19</v>
      </c>
      <c r="D923" t="s">
        <v>20</v>
      </c>
      <c r="E923" t="s">
        <v>40</v>
      </c>
      <c r="F923" t="s">
        <v>38</v>
      </c>
      <c r="G923" t="s">
        <v>8</v>
      </c>
      <c r="H923" s="8">
        <v>214</v>
      </c>
      <c r="I923" s="9">
        <v>164114.73000000001</v>
      </c>
      <c r="J923" s="9">
        <v>7209.78</v>
      </c>
      <c r="K923" s="9">
        <v>1232.19</v>
      </c>
      <c r="L923" s="9">
        <v>155672.76</v>
      </c>
      <c r="M923" s="9">
        <v>143423.59</v>
      </c>
      <c r="N923" s="6" t="str">
        <f>_xlfn.XLOOKUP(tblSales[[#This Row],[ProductID]],tblProducts[ProductID],tblProducts[ProductName],"Not Found")</f>
        <v>GlucoRelief</v>
      </c>
      <c r="O923" s="8">
        <f>YEAR(tblSales[[#This Row],[Month]])</f>
        <v>2025</v>
      </c>
      <c r="P923" s="8">
        <f>MONTH(tblSales[[#This Row],[Month]])</f>
        <v>8</v>
      </c>
      <c r="Q923" s="6">
        <f>IFERROR(tblSales[[#This Row],[NetSalesTRY]]/tblSales[[#This Row],[Units]],0)</f>
        <v>727.44280373831782</v>
      </c>
      <c r="R923" s="17">
        <f>IFERROR(tblSales[[#This Row],[NetSalesTRY]]/tblSales[[#This Row],[TargetTRY]],0)</f>
        <v>1.085405545907755</v>
      </c>
      <c r="S923" s="6">
        <f>tblSales[[#This Row],[NetSalesTRY]]-tblSales[[#This Row],[TargetTRY]]</f>
        <v>12249.170000000013</v>
      </c>
      <c r="T923" s="6">
        <f>MAX(tblSales[[#This Row],[TargetTRY]]-tblSales[[#This Row],[NetSalesTRY]],0)</f>
        <v>0</v>
      </c>
    </row>
    <row r="924" spans="1:20">
      <c r="A924" t="s">
        <v>1312</v>
      </c>
      <c r="B924" s="15">
        <v>45870</v>
      </c>
      <c r="C924" t="s">
        <v>19</v>
      </c>
      <c r="D924" t="s">
        <v>20</v>
      </c>
      <c r="E924" t="s">
        <v>40</v>
      </c>
      <c r="F924" t="s">
        <v>38</v>
      </c>
      <c r="G924" t="s">
        <v>11</v>
      </c>
      <c r="H924" s="8">
        <v>232</v>
      </c>
      <c r="I924" s="9">
        <v>143492.29999999999</v>
      </c>
      <c r="J924" s="9">
        <v>9865.64</v>
      </c>
      <c r="K924" s="9">
        <v>1673.7</v>
      </c>
      <c r="L924" s="9">
        <v>131952.95000000001</v>
      </c>
      <c r="M924" s="9">
        <v>136946.44</v>
      </c>
      <c r="N924" s="6" t="str">
        <f>_xlfn.XLOOKUP(tblSales[[#This Row],[ProductID]],tblProducts[ProductID],tblProducts[ProductName],"Not Found")</f>
        <v>RespiraX</v>
      </c>
      <c r="O924" s="8">
        <f>YEAR(tblSales[[#This Row],[Month]])</f>
        <v>2025</v>
      </c>
      <c r="P924" s="8">
        <f>MONTH(tblSales[[#This Row],[Month]])</f>
        <v>8</v>
      </c>
      <c r="Q924" s="6">
        <f>IFERROR(tblSales[[#This Row],[NetSalesTRY]]/tblSales[[#This Row],[Units]],0)</f>
        <v>568.76271551724142</v>
      </c>
      <c r="R924" s="17">
        <f>IFERROR(tblSales[[#This Row],[NetSalesTRY]]/tblSales[[#This Row],[TargetTRY]],0)</f>
        <v>0.96353691267914676</v>
      </c>
      <c r="S924" s="6">
        <f>tblSales[[#This Row],[NetSalesTRY]]-tblSales[[#This Row],[TargetTRY]]</f>
        <v>-4993.4899999999907</v>
      </c>
      <c r="T924" s="6">
        <f>MAX(tblSales[[#This Row],[TargetTRY]]-tblSales[[#This Row],[NetSalesTRY]],0)</f>
        <v>4993.4899999999907</v>
      </c>
    </row>
    <row r="925" spans="1:20">
      <c r="A925" t="s">
        <v>1313</v>
      </c>
      <c r="B925" s="15">
        <v>45870</v>
      </c>
      <c r="C925" t="s">
        <v>19</v>
      </c>
      <c r="D925" t="s">
        <v>20</v>
      </c>
      <c r="E925" t="s">
        <v>40</v>
      </c>
      <c r="F925" t="s">
        <v>38</v>
      </c>
      <c r="G925" t="s">
        <v>14</v>
      </c>
      <c r="H925" s="8">
        <v>126</v>
      </c>
      <c r="I925" s="9">
        <v>138189.56</v>
      </c>
      <c r="J925" s="9">
        <v>9549.89</v>
      </c>
      <c r="K925" s="9">
        <v>875.66</v>
      </c>
      <c r="L925" s="9">
        <v>127764.01</v>
      </c>
      <c r="M925" s="9">
        <v>131930.43</v>
      </c>
      <c r="N925" s="6" t="str">
        <f>_xlfn.XLOOKUP(tblSales[[#This Row],[ProductID]],tblProducts[ProductID],tblProducts[ProductName],"Not Found")</f>
        <v>NeuroCalm</v>
      </c>
      <c r="O925" s="8">
        <f>YEAR(tblSales[[#This Row],[Month]])</f>
        <v>2025</v>
      </c>
      <c r="P925" s="8">
        <f>MONTH(tblSales[[#This Row],[Month]])</f>
        <v>8</v>
      </c>
      <c r="Q925" s="6">
        <f>IFERROR(tblSales[[#This Row],[NetSalesTRY]]/tblSales[[#This Row],[Units]],0)</f>
        <v>1014.0000793650793</v>
      </c>
      <c r="R925" s="17">
        <f>IFERROR(tblSales[[#This Row],[NetSalesTRY]]/tblSales[[#This Row],[TargetTRY]],0)</f>
        <v>0.96841956779796745</v>
      </c>
      <c r="S925" s="6">
        <f>tblSales[[#This Row],[NetSalesTRY]]-tblSales[[#This Row],[TargetTRY]]</f>
        <v>-4166.4199999999983</v>
      </c>
      <c r="T925" s="6">
        <f>MAX(tblSales[[#This Row],[TargetTRY]]-tblSales[[#This Row],[NetSalesTRY]],0)</f>
        <v>4166.4199999999983</v>
      </c>
    </row>
    <row r="926" spans="1:20">
      <c r="A926" t="s">
        <v>1314</v>
      </c>
      <c r="B926" s="15">
        <v>45870</v>
      </c>
      <c r="C926" t="s">
        <v>21</v>
      </c>
      <c r="D926" t="s">
        <v>22</v>
      </c>
      <c r="E926" t="s">
        <v>43</v>
      </c>
      <c r="F926" t="s">
        <v>41</v>
      </c>
      <c r="G926" t="s">
        <v>5</v>
      </c>
      <c r="H926" s="8">
        <v>101</v>
      </c>
      <c r="I926" s="9">
        <v>98732.73</v>
      </c>
      <c r="J926" s="9">
        <v>5951.29</v>
      </c>
      <c r="K926" s="9">
        <v>909.63</v>
      </c>
      <c r="L926" s="9">
        <v>91871.81</v>
      </c>
      <c r="M926" s="9">
        <v>116830.95</v>
      </c>
      <c r="N926" s="6" t="str">
        <f>_xlfn.XLOOKUP(tblSales[[#This Row],[ProductID]],tblProducts[ProductID],tblProducts[ProductName],"Not Found")</f>
        <v>Cardiovan</v>
      </c>
      <c r="O926" s="8">
        <f>YEAR(tblSales[[#This Row],[Month]])</f>
        <v>2025</v>
      </c>
      <c r="P926" s="8">
        <f>MONTH(tblSales[[#This Row],[Month]])</f>
        <v>8</v>
      </c>
      <c r="Q926" s="6">
        <f>IFERROR(tblSales[[#This Row],[NetSalesTRY]]/tblSales[[#This Row],[Units]],0)</f>
        <v>909.62188118811878</v>
      </c>
      <c r="R926" s="17">
        <f>IFERROR(tblSales[[#This Row],[NetSalesTRY]]/tblSales[[#This Row],[TargetTRY]],0)</f>
        <v>0.78636534240284783</v>
      </c>
      <c r="S926" s="6">
        <f>tblSales[[#This Row],[NetSalesTRY]]-tblSales[[#This Row],[TargetTRY]]</f>
        <v>-24959.14</v>
      </c>
      <c r="T926" s="6">
        <f>MAX(tblSales[[#This Row],[TargetTRY]]-tblSales[[#This Row],[NetSalesTRY]],0)</f>
        <v>24959.14</v>
      </c>
    </row>
    <row r="927" spans="1:20">
      <c r="A927" t="s">
        <v>1315</v>
      </c>
      <c r="B927" s="15">
        <v>45870</v>
      </c>
      <c r="C927" t="s">
        <v>21</v>
      </c>
      <c r="D927" t="s">
        <v>22</v>
      </c>
      <c r="E927" t="s">
        <v>43</v>
      </c>
      <c r="F927" t="s">
        <v>41</v>
      </c>
      <c r="G927" t="s">
        <v>8</v>
      </c>
      <c r="H927" s="8">
        <v>147</v>
      </c>
      <c r="I927" s="9">
        <v>112743.31</v>
      </c>
      <c r="J927" s="9">
        <v>5161.09</v>
      </c>
      <c r="K927" s="9">
        <v>1354.12</v>
      </c>
      <c r="L927" s="9">
        <v>106228.1</v>
      </c>
      <c r="M927" s="9">
        <v>103948.2</v>
      </c>
      <c r="N927" s="6" t="str">
        <f>_xlfn.XLOOKUP(tblSales[[#This Row],[ProductID]],tblProducts[ProductID],tblProducts[ProductName],"Not Found")</f>
        <v>GlucoRelief</v>
      </c>
      <c r="O927" s="8">
        <f>YEAR(tblSales[[#This Row],[Month]])</f>
        <v>2025</v>
      </c>
      <c r="P927" s="8">
        <f>MONTH(tblSales[[#This Row],[Month]])</f>
        <v>8</v>
      </c>
      <c r="Q927" s="6">
        <f>IFERROR(tblSales[[#This Row],[NetSalesTRY]]/tblSales[[#This Row],[Units]],0)</f>
        <v>722.64013605442176</v>
      </c>
      <c r="R927" s="17">
        <f>IFERROR(tblSales[[#This Row],[NetSalesTRY]]/tblSales[[#This Row],[TargetTRY]],0)</f>
        <v>1.0219330397255557</v>
      </c>
      <c r="S927" s="6">
        <f>tblSales[[#This Row],[NetSalesTRY]]-tblSales[[#This Row],[TargetTRY]]</f>
        <v>2279.9000000000087</v>
      </c>
      <c r="T927" s="6">
        <f>MAX(tblSales[[#This Row],[TargetTRY]]-tblSales[[#This Row],[NetSalesTRY]],0)</f>
        <v>0</v>
      </c>
    </row>
    <row r="928" spans="1:20">
      <c r="A928" t="s">
        <v>1316</v>
      </c>
      <c r="B928" s="15">
        <v>45870</v>
      </c>
      <c r="C928" t="s">
        <v>21</v>
      </c>
      <c r="D928" t="s">
        <v>22</v>
      </c>
      <c r="E928" t="s">
        <v>43</v>
      </c>
      <c r="F928" t="s">
        <v>41</v>
      </c>
      <c r="G928" t="s">
        <v>11</v>
      </c>
      <c r="H928" s="8">
        <v>153</v>
      </c>
      <c r="I928" s="9">
        <v>96107.34</v>
      </c>
      <c r="J928" s="9">
        <v>4578.5600000000004</v>
      </c>
      <c r="K928" s="9">
        <v>815.39</v>
      </c>
      <c r="L928" s="9">
        <v>90713.38</v>
      </c>
      <c r="M928" s="9">
        <v>98659.56</v>
      </c>
      <c r="N928" s="6" t="str">
        <f>_xlfn.XLOOKUP(tblSales[[#This Row],[ProductID]],tblProducts[ProductID],tblProducts[ProductName],"Not Found")</f>
        <v>RespiraX</v>
      </c>
      <c r="O928" s="8">
        <f>YEAR(tblSales[[#This Row],[Month]])</f>
        <v>2025</v>
      </c>
      <c r="P928" s="8">
        <f>MONTH(tblSales[[#This Row],[Month]])</f>
        <v>8</v>
      </c>
      <c r="Q928" s="6">
        <f>IFERROR(tblSales[[#This Row],[NetSalesTRY]]/tblSales[[#This Row],[Units]],0)</f>
        <v>592.89790849673204</v>
      </c>
      <c r="R928" s="17">
        <f>IFERROR(tblSales[[#This Row],[NetSalesTRY]]/tblSales[[#This Row],[TargetTRY]],0)</f>
        <v>0.9194585907336299</v>
      </c>
      <c r="S928" s="6">
        <f>tblSales[[#This Row],[NetSalesTRY]]-tblSales[[#This Row],[TargetTRY]]</f>
        <v>-7946.179999999993</v>
      </c>
      <c r="T928" s="6">
        <f>MAX(tblSales[[#This Row],[TargetTRY]]-tblSales[[#This Row],[NetSalesTRY]],0)</f>
        <v>7946.179999999993</v>
      </c>
    </row>
    <row r="929" spans="1:20">
      <c r="A929" t="s">
        <v>1317</v>
      </c>
      <c r="B929" s="15">
        <v>45870</v>
      </c>
      <c r="C929" t="s">
        <v>21</v>
      </c>
      <c r="D929" t="s">
        <v>22</v>
      </c>
      <c r="E929" t="s">
        <v>43</v>
      </c>
      <c r="F929" t="s">
        <v>41</v>
      </c>
      <c r="G929" t="s">
        <v>14</v>
      </c>
      <c r="H929" s="8">
        <v>90</v>
      </c>
      <c r="I929" s="9">
        <v>98384.65</v>
      </c>
      <c r="J929" s="9">
        <v>6232.77</v>
      </c>
      <c r="K929" s="9">
        <v>685.27</v>
      </c>
      <c r="L929" s="9">
        <v>91466.61</v>
      </c>
      <c r="M929" s="9">
        <v>95512.48</v>
      </c>
      <c r="N929" s="6" t="str">
        <f>_xlfn.XLOOKUP(tblSales[[#This Row],[ProductID]],tblProducts[ProductID],tblProducts[ProductName],"Not Found")</f>
        <v>NeuroCalm</v>
      </c>
      <c r="O929" s="8">
        <f>YEAR(tblSales[[#This Row],[Month]])</f>
        <v>2025</v>
      </c>
      <c r="P929" s="8">
        <f>MONTH(tblSales[[#This Row],[Month]])</f>
        <v>8</v>
      </c>
      <c r="Q929" s="6">
        <f>IFERROR(tblSales[[#This Row],[NetSalesTRY]]/tblSales[[#This Row],[Units]],0)</f>
        <v>1016.2956666666666</v>
      </c>
      <c r="R929" s="17">
        <f>IFERROR(tblSales[[#This Row],[NetSalesTRY]]/tblSales[[#This Row],[TargetTRY]],0)</f>
        <v>0.95764040468847633</v>
      </c>
      <c r="S929" s="6">
        <f>tblSales[[#This Row],[NetSalesTRY]]-tblSales[[#This Row],[TargetTRY]]</f>
        <v>-4045.8699999999953</v>
      </c>
      <c r="T929" s="6">
        <f>MAX(tblSales[[#This Row],[TargetTRY]]-tblSales[[#This Row],[NetSalesTRY]],0)</f>
        <v>4045.8699999999953</v>
      </c>
    </row>
    <row r="930" spans="1:20">
      <c r="A930" t="s">
        <v>1318</v>
      </c>
      <c r="B930" s="15">
        <v>45870</v>
      </c>
      <c r="C930" t="s">
        <v>21</v>
      </c>
      <c r="D930" t="s">
        <v>22</v>
      </c>
      <c r="E930" t="s">
        <v>46</v>
      </c>
      <c r="F930" t="s">
        <v>44</v>
      </c>
      <c r="G930" t="s">
        <v>5</v>
      </c>
      <c r="H930" s="8">
        <v>90</v>
      </c>
      <c r="I930" s="9">
        <v>88791.03</v>
      </c>
      <c r="J930" s="9">
        <v>5876.86</v>
      </c>
      <c r="K930" s="9">
        <v>1008.46</v>
      </c>
      <c r="L930" s="9">
        <v>81905.72</v>
      </c>
      <c r="M930" s="9">
        <v>102689.81</v>
      </c>
      <c r="N930" s="6" t="str">
        <f>_xlfn.XLOOKUP(tblSales[[#This Row],[ProductID]],tblProducts[ProductID],tblProducts[ProductName],"Not Found")</f>
        <v>Cardiovan</v>
      </c>
      <c r="O930" s="8">
        <f>YEAR(tblSales[[#This Row],[Month]])</f>
        <v>2025</v>
      </c>
      <c r="P930" s="8">
        <f>MONTH(tblSales[[#This Row],[Month]])</f>
        <v>8</v>
      </c>
      <c r="Q930" s="6">
        <f>IFERROR(tblSales[[#This Row],[NetSalesTRY]]/tblSales[[#This Row],[Units]],0)</f>
        <v>910.06355555555558</v>
      </c>
      <c r="R930" s="17">
        <f>IFERROR(tblSales[[#This Row],[NetSalesTRY]]/tblSales[[#This Row],[TargetTRY]],0)</f>
        <v>0.79760318964462007</v>
      </c>
      <c r="S930" s="6">
        <f>tblSales[[#This Row],[NetSalesTRY]]-tblSales[[#This Row],[TargetTRY]]</f>
        <v>-20784.089999999997</v>
      </c>
      <c r="T930" s="6">
        <f>MAX(tblSales[[#This Row],[TargetTRY]]-tblSales[[#This Row],[NetSalesTRY]],0)</f>
        <v>20784.089999999997</v>
      </c>
    </row>
    <row r="931" spans="1:20">
      <c r="A931" t="s">
        <v>1319</v>
      </c>
      <c r="B931" s="15">
        <v>45870</v>
      </c>
      <c r="C931" t="s">
        <v>21</v>
      </c>
      <c r="D931" t="s">
        <v>22</v>
      </c>
      <c r="E931" t="s">
        <v>46</v>
      </c>
      <c r="F931" t="s">
        <v>44</v>
      </c>
      <c r="G931" t="s">
        <v>8</v>
      </c>
      <c r="H931" s="8">
        <v>121</v>
      </c>
      <c r="I931" s="9">
        <v>91083.77</v>
      </c>
      <c r="J931" s="9">
        <v>5899.03</v>
      </c>
      <c r="K931" s="9">
        <v>651.28</v>
      </c>
      <c r="L931" s="9">
        <v>84533.46</v>
      </c>
      <c r="M931" s="9">
        <v>93784.84</v>
      </c>
      <c r="N931" s="6" t="str">
        <f>_xlfn.XLOOKUP(tblSales[[#This Row],[ProductID]],tblProducts[ProductID],tblProducts[ProductName],"Not Found")</f>
        <v>GlucoRelief</v>
      </c>
      <c r="O931" s="8">
        <f>YEAR(tblSales[[#This Row],[Month]])</f>
        <v>2025</v>
      </c>
      <c r="P931" s="8">
        <f>MONTH(tblSales[[#This Row],[Month]])</f>
        <v>8</v>
      </c>
      <c r="Q931" s="6">
        <f>IFERROR(tblSales[[#This Row],[NetSalesTRY]]/tblSales[[#This Row],[Units]],0)</f>
        <v>698.62363636363636</v>
      </c>
      <c r="R931" s="17">
        <f>IFERROR(tblSales[[#This Row],[NetSalesTRY]]/tblSales[[#This Row],[TargetTRY]],0)</f>
        <v>0.90135527234465618</v>
      </c>
      <c r="S931" s="6">
        <f>tblSales[[#This Row],[NetSalesTRY]]-tblSales[[#This Row],[TargetTRY]]</f>
        <v>-9251.3799999999901</v>
      </c>
      <c r="T931" s="6">
        <f>MAX(tblSales[[#This Row],[TargetTRY]]-tblSales[[#This Row],[NetSalesTRY]],0)</f>
        <v>9251.3799999999901</v>
      </c>
    </row>
    <row r="932" spans="1:20">
      <c r="A932" t="s">
        <v>1320</v>
      </c>
      <c r="B932" s="15">
        <v>45870</v>
      </c>
      <c r="C932" t="s">
        <v>21</v>
      </c>
      <c r="D932" t="s">
        <v>22</v>
      </c>
      <c r="E932" t="s">
        <v>46</v>
      </c>
      <c r="F932" t="s">
        <v>44</v>
      </c>
      <c r="G932" t="s">
        <v>11</v>
      </c>
      <c r="H932" s="8">
        <v>139</v>
      </c>
      <c r="I932" s="9">
        <v>86355.88</v>
      </c>
      <c r="J932" s="9">
        <v>4611.5</v>
      </c>
      <c r="K932" s="9">
        <v>1064.82</v>
      </c>
      <c r="L932" s="9">
        <v>80679.56</v>
      </c>
      <c r="M932" s="9">
        <v>87325.16</v>
      </c>
      <c r="N932" s="6" t="str">
        <f>_xlfn.XLOOKUP(tblSales[[#This Row],[ProductID]],tblProducts[ProductID],tblProducts[ProductName],"Not Found")</f>
        <v>RespiraX</v>
      </c>
      <c r="O932" s="8">
        <f>YEAR(tblSales[[#This Row],[Month]])</f>
        <v>2025</v>
      </c>
      <c r="P932" s="8">
        <f>MONTH(tblSales[[#This Row],[Month]])</f>
        <v>8</v>
      </c>
      <c r="Q932" s="6">
        <f>IFERROR(tblSales[[#This Row],[NetSalesTRY]]/tblSales[[#This Row],[Units]],0)</f>
        <v>580.4284892086331</v>
      </c>
      <c r="R932" s="17">
        <f>IFERROR(tblSales[[#This Row],[NetSalesTRY]]/tblSales[[#This Row],[TargetTRY]],0)</f>
        <v>0.92389822131445276</v>
      </c>
      <c r="S932" s="6">
        <f>tblSales[[#This Row],[NetSalesTRY]]-tblSales[[#This Row],[TargetTRY]]</f>
        <v>-6645.6000000000058</v>
      </c>
      <c r="T932" s="6">
        <f>MAX(tblSales[[#This Row],[TargetTRY]]-tblSales[[#This Row],[NetSalesTRY]],0)</f>
        <v>6645.6000000000058</v>
      </c>
    </row>
    <row r="933" spans="1:20">
      <c r="A933" t="s">
        <v>1321</v>
      </c>
      <c r="B933" s="15">
        <v>45870</v>
      </c>
      <c r="C933" t="s">
        <v>21</v>
      </c>
      <c r="D933" t="s">
        <v>22</v>
      </c>
      <c r="E933" t="s">
        <v>46</v>
      </c>
      <c r="F933" t="s">
        <v>44</v>
      </c>
      <c r="G933" t="s">
        <v>14</v>
      </c>
      <c r="H933" s="8">
        <v>75</v>
      </c>
      <c r="I933" s="9">
        <v>81293.429999999993</v>
      </c>
      <c r="J933" s="9">
        <v>4663.9399999999996</v>
      </c>
      <c r="K933" s="9">
        <v>622.62</v>
      </c>
      <c r="L933" s="9">
        <v>76006.87</v>
      </c>
      <c r="M933" s="9">
        <v>83341.83</v>
      </c>
      <c r="N933" s="6" t="str">
        <f>_xlfn.XLOOKUP(tblSales[[#This Row],[ProductID]],tblProducts[ProductID],tblProducts[ProductName],"Not Found")</f>
        <v>NeuroCalm</v>
      </c>
      <c r="O933" s="8">
        <f>YEAR(tblSales[[#This Row],[Month]])</f>
        <v>2025</v>
      </c>
      <c r="P933" s="8">
        <f>MONTH(tblSales[[#This Row],[Month]])</f>
        <v>8</v>
      </c>
      <c r="Q933" s="6">
        <f>IFERROR(tblSales[[#This Row],[NetSalesTRY]]/tblSales[[#This Row],[Units]],0)</f>
        <v>1013.4249333333332</v>
      </c>
      <c r="R933" s="17">
        <f>IFERROR(tblSales[[#This Row],[NetSalesTRY]]/tblSales[[#This Row],[TargetTRY]],0)</f>
        <v>0.91198945355531547</v>
      </c>
      <c r="S933" s="6">
        <f>tblSales[[#This Row],[NetSalesTRY]]-tblSales[[#This Row],[TargetTRY]]</f>
        <v>-7334.9600000000064</v>
      </c>
      <c r="T933" s="6">
        <f>MAX(tblSales[[#This Row],[TargetTRY]]-tblSales[[#This Row],[NetSalesTRY]],0)</f>
        <v>7334.9600000000064</v>
      </c>
    </row>
    <row r="934" spans="1:20">
      <c r="A934" t="s">
        <v>1322</v>
      </c>
      <c r="B934" s="15">
        <v>45870</v>
      </c>
      <c r="C934" t="s">
        <v>21</v>
      </c>
      <c r="D934" t="s">
        <v>22</v>
      </c>
      <c r="E934" t="s">
        <v>49</v>
      </c>
      <c r="F934" t="s">
        <v>47</v>
      </c>
      <c r="G934" t="s">
        <v>5</v>
      </c>
      <c r="H934" s="8">
        <v>104</v>
      </c>
      <c r="I934" s="9">
        <v>100693.13</v>
      </c>
      <c r="J934" s="9">
        <v>4898.47</v>
      </c>
      <c r="K934" s="9">
        <v>873.39</v>
      </c>
      <c r="L934" s="9">
        <v>94921.27</v>
      </c>
      <c r="M934" s="9">
        <v>116227.71</v>
      </c>
      <c r="N934" s="6" t="str">
        <f>_xlfn.XLOOKUP(tblSales[[#This Row],[ProductID]],tblProducts[ProductID],tblProducts[ProductName],"Not Found")</f>
        <v>Cardiovan</v>
      </c>
      <c r="O934" s="8">
        <f>YEAR(tblSales[[#This Row],[Month]])</f>
        <v>2025</v>
      </c>
      <c r="P934" s="8">
        <f>MONTH(tblSales[[#This Row],[Month]])</f>
        <v>8</v>
      </c>
      <c r="Q934" s="6">
        <f>IFERROR(tblSales[[#This Row],[NetSalesTRY]]/tblSales[[#This Row],[Units]],0)</f>
        <v>912.70451923076928</v>
      </c>
      <c r="R934" s="17">
        <f>IFERROR(tblSales[[#This Row],[NetSalesTRY]]/tblSales[[#This Row],[TargetTRY]],0)</f>
        <v>0.81668364626645396</v>
      </c>
      <c r="S934" s="6">
        <f>tblSales[[#This Row],[NetSalesTRY]]-tblSales[[#This Row],[TargetTRY]]</f>
        <v>-21306.440000000002</v>
      </c>
      <c r="T934" s="6">
        <f>MAX(tblSales[[#This Row],[TargetTRY]]-tblSales[[#This Row],[NetSalesTRY]],0)</f>
        <v>21306.440000000002</v>
      </c>
    </row>
    <row r="935" spans="1:20">
      <c r="A935" t="s">
        <v>1323</v>
      </c>
      <c r="B935" s="15">
        <v>45870</v>
      </c>
      <c r="C935" t="s">
        <v>21</v>
      </c>
      <c r="D935" t="s">
        <v>22</v>
      </c>
      <c r="E935" t="s">
        <v>49</v>
      </c>
      <c r="F935" t="s">
        <v>47</v>
      </c>
      <c r="G935" t="s">
        <v>8</v>
      </c>
      <c r="H935" s="8">
        <v>138</v>
      </c>
      <c r="I935" s="9">
        <v>105282.61</v>
      </c>
      <c r="J935" s="9">
        <v>7859.13</v>
      </c>
      <c r="K935" s="9">
        <v>1403.15</v>
      </c>
      <c r="L935" s="9">
        <v>96020.33</v>
      </c>
      <c r="M935" s="9">
        <v>105755.08</v>
      </c>
      <c r="N935" s="6" t="str">
        <f>_xlfn.XLOOKUP(tblSales[[#This Row],[ProductID]],tblProducts[ProductID],tblProducts[ProductName],"Not Found")</f>
        <v>GlucoRelief</v>
      </c>
      <c r="O935" s="8">
        <f>YEAR(tblSales[[#This Row],[Month]])</f>
        <v>2025</v>
      </c>
      <c r="P935" s="8">
        <f>MONTH(tblSales[[#This Row],[Month]])</f>
        <v>8</v>
      </c>
      <c r="Q935" s="6">
        <f>IFERROR(tblSales[[#This Row],[NetSalesTRY]]/tblSales[[#This Row],[Units]],0)</f>
        <v>695.79949275362321</v>
      </c>
      <c r="R935" s="17">
        <f>IFERROR(tblSales[[#This Row],[NetSalesTRY]]/tblSales[[#This Row],[TargetTRY]],0)</f>
        <v>0.90795004835701509</v>
      </c>
      <c r="S935" s="6">
        <f>tblSales[[#This Row],[NetSalesTRY]]-tblSales[[#This Row],[TargetTRY]]</f>
        <v>-9734.75</v>
      </c>
      <c r="T935" s="6">
        <f>MAX(tblSales[[#This Row],[TargetTRY]]-tblSales[[#This Row],[NetSalesTRY]],0)</f>
        <v>9734.75</v>
      </c>
    </row>
    <row r="936" spans="1:20">
      <c r="A936" t="s">
        <v>1324</v>
      </c>
      <c r="B936" s="15">
        <v>45870</v>
      </c>
      <c r="C936" t="s">
        <v>21</v>
      </c>
      <c r="D936" t="s">
        <v>22</v>
      </c>
      <c r="E936" t="s">
        <v>49</v>
      </c>
      <c r="F936" t="s">
        <v>47</v>
      </c>
      <c r="G936" t="s">
        <v>11</v>
      </c>
      <c r="H936" s="8">
        <v>165</v>
      </c>
      <c r="I936" s="9">
        <v>102211.82</v>
      </c>
      <c r="J936" s="9">
        <v>7178.87</v>
      </c>
      <c r="K936" s="9">
        <v>1325.36</v>
      </c>
      <c r="L936" s="9">
        <v>93707.6</v>
      </c>
      <c r="M936" s="9">
        <v>98700.68</v>
      </c>
      <c r="N936" s="6" t="str">
        <f>_xlfn.XLOOKUP(tblSales[[#This Row],[ProductID]],tblProducts[ProductID],tblProducts[ProductName],"Not Found")</f>
        <v>RespiraX</v>
      </c>
      <c r="O936" s="8">
        <f>YEAR(tblSales[[#This Row],[Month]])</f>
        <v>2025</v>
      </c>
      <c r="P936" s="8">
        <f>MONTH(tblSales[[#This Row],[Month]])</f>
        <v>8</v>
      </c>
      <c r="Q936" s="6">
        <f>IFERROR(tblSales[[#This Row],[NetSalesTRY]]/tblSales[[#This Row],[Units]],0)</f>
        <v>567.92484848484855</v>
      </c>
      <c r="R936" s="17">
        <f>IFERROR(tblSales[[#This Row],[NetSalesTRY]]/tblSales[[#This Row],[TargetTRY]],0)</f>
        <v>0.94941189868195452</v>
      </c>
      <c r="S936" s="6">
        <f>tblSales[[#This Row],[NetSalesTRY]]-tblSales[[#This Row],[TargetTRY]]</f>
        <v>-4993.0799999999872</v>
      </c>
      <c r="T936" s="6">
        <f>MAX(tblSales[[#This Row],[TargetTRY]]-tblSales[[#This Row],[NetSalesTRY]],0)</f>
        <v>4993.0799999999872</v>
      </c>
    </row>
    <row r="937" spans="1:20">
      <c r="A937" t="s">
        <v>1325</v>
      </c>
      <c r="B937" s="15">
        <v>45870</v>
      </c>
      <c r="C937" t="s">
        <v>21</v>
      </c>
      <c r="D937" t="s">
        <v>22</v>
      </c>
      <c r="E937" t="s">
        <v>49</v>
      </c>
      <c r="F937" t="s">
        <v>47</v>
      </c>
      <c r="G937" t="s">
        <v>14</v>
      </c>
      <c r="H937" s="8">
        <v>85</v>
      </c>
      <c r="I937" s="9">
        <v>93641.57</v>
      </c>
      <c r="J937" s="9">
        <v>5101.8900000000003</v>
      </c>
      <c r="K937" s="9">
        <v>960.43</v>
      </c>
      <c r="L937" s="9">
        <v>87579.25</v>
      </c>
      <c r="M937" s="9">
        <v>96109.93</v>
      </c>
      <c r="N937" s="6" t="str">
        <f>_xlfn.XLOOKUP(tblSales[[#This Row],[ProductID]],tblProducts[ProductID],tblProducts[ProductName],"Not Found")</f>
        <v>NeuroCalm</v>
      </c>
      <c r="O937" s="8">
        <f>YEAR(tblSales[[#This Row],[Month]])</f>
        <v>2025</v>
      </c>
      <c r="P937" s="8">
        <f>MONTH(tblSales[[#This Row],[Month]])</f>
        <v>8</v>
      </c>
      <c r="Q937" s="6">
        <f>IFERROR(tblSales[[#This Row],[NetSalesTRY]]/tblSales[[#This Row],[Units]],0)</f>
        <v>1030.3441176470587</v>
      </c>
      <c r="R937" s="17">
        <f>IFERROR(tblSales[[#This Row],[NetSalesTRY]]/tblSales[[#This Row],[TargetTRY]],0)</f>
        <v>0.9112403890003874</v>
      </c>
      <c r="S937" s="6">
        <f>tblSales[[#This Row],[NetSalesTRY]]-tblSales[[#This Row],[TargetTRY]]</f>
        <v>-8530.679999999993</v>
      </c>
      <c r="T937" s="6">
        <f>MAX(tblSales[[#This Row],[TargetTRY]]-tblSales[[#This Row],[NetSalesTRY]],0)</f>
        <v>8530.679999999993</v>
      </c>
    </row>
    <row r="938" spans="1:20">
      <c r="A938" t="s">
        <v>1326</v>
      </c>
      <c r="B938" s="15">
        <v>45870</v>
      </c>
      <c r="C938" t="s">
        <v>23</v>
      </c>
      <c r="D938" t="s">
        <v>24</v>
      </c>
      <c r="E938" t="s">
        <v>52</v>
      </c>
      <c r="F938" t="s">
        <v>50</v>
      </c>
      <c r="G938" t="s">
        <v>5</v>
      </c>
      <c r="H938" s="8">
        <v>115</v>
      </c>
      <c r="I938" s="9">
        <v>113380.59</v>
      </c>
      <c r="J938" s="9">
        <v>4107.9799999999996</v>
      </c>
      <c r="K938" s="9">
        <v>657.33</v>
      </c>
      <c r="L938" s="9">
        <v>108615.28</v>
      </c>
      <c r="M938" s="9">
        <v>117096.63</v>
      </c>
      <c r="N938" s="6" t="str">
        <f>_xlfn.XLOOKUP(tblSales[[#This Row],[ProductID]],tblProducts[ProductID],tblProducts[ProductName],"Not Found")</f>
        <v>Cardiovan</v>
      </c>
      <c r="O938" s="8">
        <f>YEAR(tblSales[[#This Row],[Month]])</f>
        <v>2025</v>
      </c>
      <c r="P938" s="8">
        <f>MONTH(tblSales[[#This Row],[Month]])</f>
        <v>8</v>
      </c>
      <c r="Q938" s="6">
        <f>IFERROR(tblSales[[#This Row],[NetSalesTRY]]/tblSales[[#This Row],[Units]],0)</f>
        <v>944.48069565217395</v>
      </c>
      <c r="R938" s="17">
        <f>IFERROR(tblSales[[#This Row],[NetSalesTRY]]/tblSales[[#This Row],[TargetTRY]],0)</f>
        <v>0.92756964910091777</v>
      </c>
      <c r="S938" s="6">
        <f>tblSales[[#This Row],[NetSalesTRY]]-tblSales[[#This Row],[TargetTRY]]</f>
        <v>-8481.3500000000058</v>
      </c>
      <c r="T938" s="6">
        <f>MAX(tblSales[[#This Row],[TargetTRY]]-tblSales[[#This Row],[NetSalesTRY]],0)</f>
        <v>8481.3500000000058</v>
      </c>
    </row>
    <row r="939" spans="1:20">
      <c r="A939" t="s">
        <v>1327</v>
      </c>
      <c r="B939" s="15">
        <v>45870</v>
      </c>
      <c r="C939" t="s">
        <v>23</v>
      </c>
      <c r="D939" t="s">
        <v>24</v>
      </c>
      <c r="E939" t="s">
        <v>52</v>
      </c>
      <c r="F939" t="s">
        <v>50</v>
      </c>
      <c r="G939" t="s">
        <v>8</v>
      </c>
      <c r="H939" s="8">
        <v>152</v>
      </c>
      <c r="I939" s="9">
        <v>114963.49</v>
      </c>
      <c r="J939" s="9">
        <v>4939.1000000000004</v>
      </c>
      <c r="K939" s="9">
        <v>1153.67</v>
      </c>
      <c r="L939" s="9">
        <v>108870.72</v>
      </c>
      <c r="M939" s="9">
        <v>106013.87</v>
      </c>
      <c r="N939" s="6" t="str">
        <f>_xlfn.XLOOKUP(tblSales[[#This Row],[ProductID]],tblProducts[ProductID],tblProducts[ProductName],"Not Found")</f>
        <v>GlucoRelief</v>
      </c>
      <c r="O939" s="8">
        <f>YEAR(tblSales[[#This Row],[Month]])</f>
        <v>2025</v>
      </c>
      <c r="P939" s="8">
        <f>MONTH(tblSales[[#This Row],[Month]])</f>
        <v>8</v>
      </c>
      <c r="Q939" s="6">
        <f>IFERROR(tblSales[[#This Row],[NetSalesTRY]]/tblSales[[#This Row],[Units]],0)</f>
        <v>716.25473684210522</v>
      </c>
      <c r="R939" s="17">
        <f>IFERROR(tblSales[[#This Row],[NetSalesTRY]]/tblSales[[#This Row],[TargetTRY]],0)</f>
        <v>1.026947888988488</v>
      </c>
      <c r="S939" s="6">
        <f>tblSales[[#This Row],[NetSalesTRY]]-tblSales[[#This Row],[TargetTRY]]</f>
        <v>2856.8500000000058</v>
      </c>
      <c r="T939" s="6">
        <f>MAX(tblSales[[#This Row],[TargetTRY]]-tblSales[[#This Row],[NetSalesTRY]],0)</f>
        <v>0</v>
      </c>
    </row>
    <row r="940" spans="1:20">
      <c r="A940" t="s">
        <v>1328</v>
      </c>
      <c r="B940" s="15">
        <v>45870</v>
      </c>
      <c r="C940" t="s">
        <v>23</v>
      </c>
      <c r="D940" t="s">
        <v>24</v>
      </c>
      <c r="E940" t="s">
        <v>52</v>
      </c>
      <c r="F940" t="s">
        <v>50</v>
      </c>
      <c r="G940" t="s">
        <v>11</v>
      </c>
      <c r="H940" s="8">
        <v>161</v>
      </c>
      <c r="I940" s="9">
        <v>98664.59</v>
      </c>
      <c r="J940" s="9">
        <v>7052.24</v>
      </c>
      <c r="K940" s="9">
        <v>1246.1400000000001</v>
      </c>
      <c r="L940" s="9">
        <v>90366.21</v>
      </c>
      <c r="M940" s="9">
        <v>97572.9</v>
      </c>
      <c r="N940" s="6" t="str">
        <f>_xlfn.XLOOKUP(tblSales[[#This Row],[ProductID]],tblProducts[ProductID],tblProducts[ProductName],"Not Found")</f>
        <v>RespiraX</v>
      </c>
      <c r="O940" s="8">
        <f>YEAR(tblSales[[#This Row],[Month]])</f>
        <v>2025</v>
      </c>
      <c r="P940" s="8">
        <f>MONTH(tblSales[[#This Row],[Month]])</f>
        <v>8</v>
      </c>
      <c r="Q940" s="6">
        <f>IFERROR(tblSales[[#This Row],[NetSalesTRY]]/tblSales[[#This Row],[Units]],0)</f>
        <v>561.28080745341617</v>
      </c>
      <c r="R940" s="17">
        <f>IFERROR(tblSales[[#This Row],[NetSalesTRY]]/tblSales[[#This Row],[TargetTRY]],0)</f>
        <v>0.92614045498288988</v>
      </c>
      <c r="S940" s="6">
        <f>tblSales[[#This Row],[NetSalesTRY]]-tblSales[[#This Row],[TargetTRY]]</f>
        <v>-7206.6899999999878</v>
      </c>
      <c r="T940" s="6">
        <f>MAX(tblSales[[#This Row],[TargetTRY]]-tblSales[[#This Row],[NetSalesTRY]],0)</f>
        <v>7206.6899999999878</v>
      </c>
    </row>
    <row r="941" spans="1:20">
      <c r="A941" t="s">
        <v>1329</v>
      </c>
      <c r="B941" s="15">
        <v>45870</v>
      </c>
      <c r="C941" t="s">
        <v>23</v>
      </c>
      <c r="D941" t="s">
        <v>24</v>
      </c>
      <c r="E941" t="s">
        <v>52</v>
      </c>
      <c r="F941" t="s">
        <v>50</v>
      </c>
      <c r="G941" t="s">
        <v>14</v>
      </c>
      <c r="H941" s="8">
        <v>94</v>
      </c>
      <c r="I941" s="9">
        <v>103577.62</v>
      </c>
      <c r="J941" s="9">
        <v>6334</v>
      </c>
      <c r="K941" s="9">
        <v>464.44</v>
      </c>
      <c r="L941" s="9">
        <v>96779.17</v>
      </c>
      <c r="M941" s="9">
        <v>96571.33</v>
      </c>
      <c r="N941" s="6" t="str">
        <f>_xlfn.XLOOKUP(tblSales[[#This Row],[ProductID]],tblProducts[ProductID],tblProducts[ProductName],"Not Found")</f>
        <v>NeuroCalm</v>
      </c>
      <c r="O941" s="8">
        <f>YEAR(tblSales[[#This Row],[Month]])</f>
        <v>2025</v>
      </c>
      <c r="P941" s="8">
        <f>MONTH(tblSales[[#This Row],[Month]])</f>
        <v>8</v>
      </c>
      <c r="Q941" s="6">
        <f>IFERROR(tblSales[[#This Row],[NetSalesTRY]]/tblSales[[#This Row],[Units]],0)</f>
        <v>1029.5656382978723</v>
      </c>
      <c r="R941" s="17">
        <f>IFERROR(tblSales[[#This Row],[NetSalesTRY]]/tblSales[[#This Row],[TargetTRY]],0)</f>
        <v>1.002152191545876</v>
      </c>
      <c r="S941" s="6">
        <f>tblSales[[#This Row],[NetSalesTRY]]-tblSales[[#This Row],[TargetTRY]]</f>
        <v>207.83999999999651</v>
      </c>
      <c r="T941" s="6">
        <f>MAX(tblSales[[#This Row],[TargetTRY]]-tblSales[[#This Row],[NetSalesTRY]],0)</f>
        <v>0</v>
      </c>
    </row>
    <row r="942" spans="1:20">
      <c r="A942" t="s">
        <v>1330</v>
      </c>
      <c r="B942" s="15">
        <v>45870</v>
      </c>
      <c r="C942" t="s">
        <v>23</v>
      </c>
      <c r="D942" t="s">
        <v>24</v>
      </c>
      <c r="E942" t="s">
        <v>55</v>
      </c>
      <c r="F942" t="s">
        <v>53</v>
      </c>
      <c r="G942" t="s">
        <v>5</v>
      </c>
      <c r="H942" s="8">
        <v>122</v>
      </c>
      <c r="I942" s="9">
        <v>120181.7</v>
      </c>
      <c r="J942" s="9">
        <v>5060.47</v>
      </c>
      <c r="K942" s="9">
        <v>805.31</v>
      </c>
      <c r="L942" s="9">
        <v>114315.92</v>
      </c>
      <c r="M942" s="9">
        <v>117776.93</v>
      </c>
      <c r="N942" s="6" t="str">
        <f>_xlfn.XLOOKUP(tblSales[[#This Row],[ProductID]],tblProducts[ProductID],tblProducts[ProductName],"Not Found")</f>
        <v>Cardiovan</v>
      </c>
      <c r="O942" s="8">
        <f>YEAR(tblSales[[#This Row],[Month]])</f>
        <v>2025</v>
      </c>
      <c r="P942" s="8">
        <f>MONTH(tblSales[[#This Row],[Month]])</f>
        <v>8</v>
      </c>
      <c r="Q942" s="6">
        <f>IFERROR(tblSales[[#This Row],[NetSalesTRY]]/tblSales[[#This Row],[Units]],0)</f>
        <v>937.01573770491802</v>
      </c>
      <c r="R942" s="17">
        <f>IFERROR(tblSales[[#This Row],[NetSalesTRY]]/tblSales[[#This Row],[TargetTRY]],0)</f>
        <v>0.97061385451293392</v>
      </c>
      <c r="S942" s="6">
        <f>tblSales[[#This Row],[NetSalesTRY]]-tblSales[[#This Row],[TargetTRY]]</f>
        <v>-3461.0099999999948</v>
      </c>
      <c r="T942" s="6">
        <f>MAX(tblSales[[#This Row],[TargetTRY]]-tblSales[[#This Row],[NetSalesTRY]],0)</f>
        <v>3461.0099999999948</v>
      </c>
    </row>
    <row r="943" spans="1:20">
      <c r="A943" t="s">
        <v>1331</v>
      </c>
      <c r="B943" s="15">
        <v>45870</v>
      </c>
      <c r="C943" t="s">
        <v>23</v>
      </c>
      <c r="D943" t="s">
        <v>24</v>
      </c>
      <c r="E943" t="s">
        <v>55</v>
      </c>
      <c r="F943" t="s">
        <v>53</v>
      </c>
      <c r="G943" t="s">
        <v>8</v>
      </c>
      <c r="H943" s="8">
        <v>144</v>
      </c>
      <c r="I943" s="9">
        <v>110230.64</v>
      </c>
      <c r="J943" s="9">
        <v>4928.4399999999996</v>
      </c>
      <c r="K943" s="9">
        <v>725.28</v>
      </c>
      <c r="L943" s="9">
        <v>104576.93</v>
      </c>
      <c r="M943" s="9">
        <v>105294.94</v>
      </c>
      <c r="N943" s="6" t="str">
        <f>_xlfn.XLOOKUP(tblSales[[#This Row],[ProductID]],tblProducts[ProductID],tblProducts[ProductName],"Not Found")</f>
        <v>GlucoRelief</v>
      </c>
      <c r="O943" s="8">
        <f>YEAR(tblSales[[#This Row],[Month]])</f>
        <v>2025</v>
      </c>
      <c r="P943" s="8">
        <f>MONTH(tblSales[[#This Row],[Month]])</f>
        <v>8</v>
      </c>
      <c r="Q943" s="6">
        <f>IFERROR(tblSales[[#This Row],[NetSalesTRY]]/tblSales[[#This Row],[Units]],0)</f>
        <v>726.22868055555546</v>
      </c>
      <c r="R943" s="17">
        <f>IFERROR(tblSales[[#This Row],[NetSalesTRY]]/tblSales[[#This Row],[TargetTRY]],0)</f>
        <v>0.99318096387157817</v>
      </c>
      <c r="S943" s="6">
        <f>tblSales[[#This Row],[NetSalesTRY]]-tblSales[[#This Row],[TargetTRY]]</f>
        <v>-718.01000000000931</v>
      </c>
      <c r="T943" s="6">
        <f>MAX(tblSales[[#This Row],[TargetTRY]]-tblSales[[#This Row],[NetSalesTRY]],0)</f>
        <v>718.01000000000931</v>
      </c>
    </row>
    <row r="944" spans="1:20">
      <c r="A944" t="s">
        <v>1332</v>
      </c>
      <c r="B944" s="15">
        <v>45870</v>
      </c>
      <c r="C944" t="s">
        <v>23</v>
      </c>
      <c r="D944" t="s">
        <v>24</v>
      </c>
      <c r="E944" t="s">
        <v>55</v>
      </c>
      <c r="F944" t="s">
        <v>53</v>
      </c>
      <c r="G944" t="s">
        <v>11</v>
      </c>
      <c r="H944" s="8">
        <v>164</v>
      </c>
      <c r="I944" s="9">
        <v>102570.9</v>
      </c>
      <c r="J944" s="9">
        <v>5509.92</v>
      </c>
      <c r="K944" s="9">
        <v>421.76</v>
      </c>
      <c r="L944" s="9">
        <v>96639.22</v>
      </c>
      <c r="M944" s="9">
        <v>100459.99</v>
      </c>
      <c r="N944" s="6" t="str">
        <f>_xlfn.XLOOKUP(tblSales[[#This Row],[ProductID]],tblProducts[ProductID],tblProducts[ProductName],"Not Found")</f>
        <v>RespiraX</v>
      </c>
      <c r="O944" s="8">
        <f>YEAR(tblSales[[#This Row],[Month]])</f>
        <v>2025</v>
      </c>
      <c r="P944" s="8">
        <f>MONTH(tblSales[[#This Row],[Month]])</f>
        <v>8</v>
      </c>
      <c r="Q944" s="6">
        <f>IFERROR(tblSales[[#This Row],[NetSalesTRY]]/tblSales[[#This Row],[Units]],0)</f>
        <v>589.26353658536584</v>
      </c>
      <c r="R944" s="17">
        <f>IFERROR(tblSales[[#This Row],[NetSalesTRY]]/tblSales[[#This Row],[TargetTRY]],0)</f>
        <v>0.96196724686116331</v>
      </c>
      <c r="S944" s="6">
        <f>tblSales[[#This Row],[NetSalesTRY]]-tblSales[[#This Row],[TargetTRY]]</f>
        <v>-3820.7700000000041</v>
      </c>
      <c r="T944" s="6">
        <f>MAX(tblSales[[#This Row],[TargetTRY]]-tblSales[[#This Row],[NetSalesTRY]],0)</f>
        <v>3820.7700000000041</v>
      </c>
    </row>
    <row r="945" spans="1:20">
      <c r="A945" t="s">
        <v>1333</v>
      </c>
      <c r="B945" s="15">
        <v>45870</v>
      </c>
      <c r="C945" t="s">
        <v>23</v>
      </c>
      <c r="D945" t="s">
        <v>24</v>
      </c>
      <c r="E945" t="s">
        <v>55</v>
      </c>
      <c r="F945" t="s">
        <v>53</v>
      </c>
      <c r="G945" t="s">
        <v>14</v>
      </c>
      <c r="H945" s="8">
        <v>91</v>
      </c>
      <c r="I945" s="9">
        <v>100416.36</v>
      </c>
      <c r="J945" s="9">
        <v>4163.8500000000004</v>
      </c>
      <c r="K945" s="9">
        <v>473.32</v>
      </c>
      <c r="L945" s="9">
        <v>95779.19</v>
      </c>
      <c r="M945" s="9">
        <v>96038.73</v>
      </c>
      <c r="N945" s="6" t="str">
        <f>_xlfn.XLOOKUP(tblSales[[#This Row],[ProductID]],tblProducts[ProductID],tblProducts[ProductName],"Not Found")</f>
        <v>NeuroCalm</v>
      </c>
      <c r="O945" s="8">
        <f>YEAR(tblSales[[#This Row],[Month]])</f>
        <v>2025</v>
      </c>
      <c r="P945" s="8">
        <f>MONTH(tblSales[[#This Row],[Month]])</f>
        <v>8</v>
      </c>
      <c r="Q945" s="6">
        <f>IFERROR(tblSales[[#This Row],[NetSalesTRY]]/tblSales[[#This Row],[Units]],0)</f>
        <v>1052.5185714285715</v>
      </c>
      <c r="R945" s="17">
        <f>IFERROR(tblSales[[#This Row],[NetSalesTRY]]/tblSales[[#This Row],[TargetTRY]],0)</f>
        <v>0.99729754860356867</v>
      </c>
      <c r="S945" s="6">
        <f>tblSales[[#This Row],[NetSalesTRY]]-tblSales[[#This Row],[TargetTRY]]</f>
        <v>-259.5399999999936</v>
      </c>
      <c r="T945" s="6">
        <f>MAX(tblSales[[#This Row],[TargetTRY]]-tblSales[[#This Row],[NetSalesTRY]],0)</f>
        <v>259.5399999999936</v>
      </c>
    </row>
    <row r="946" spans="1:20">
      <c r="A946" t="s">
        <v>1334</v>
      </c>
      <c r="B946" s="15">
        <v>45870</v>
      </c>
      <c r="C946" t="s">
        <v>23</v>
      </c>
      <c r="D946" t="s">
        <v>24</v>
      </c>
      <c r="E946" t="s">
        <v>58</v>
      </c>
      <c r="F946" t="s">
        <v>56</v>
      </c>
      <c r="G946" t="s">
        <v>5</v>
      </c>
      <c r="H946" s="8">
        <v>124</v>
      </c>
      <c r="I946" s="9">
        <v>120573.81</v>
      </c>
      <c r="J946" s="9">
        <v>5876.22</v>
      </c>
      <c r="K946" s="9">
        <v>1153.9000000000001</v>
      </c>
      <c r="L946" s="9">
        <v>113543.69</v>
      </c>
      <c r="M946" s="9">
        <v>119015.52</v>
      </c>
      <c r="N946" s="6" t="str">
        <f>_xlfn.XLOOKUP(tblSales[[#This Row],[ProductID]],tblProducts[ProductID],tblProducts[ProductName],"Not Found")</f>
        <v>Cardiovan</v>
      </c>
      <c r="O946" s="8">
        <f>YEAR(tblSales[[#This Row],[Month]])</f>
        <v>2025</v>
      </c>
      <c r="P946" s="8">
        <f>MONTH(tblSales[[#This Row],[Month]])</f>
        <v>8</v>
      </c>
      <c r="Q946" s="6">
        <f>IFERROR(tblSales[[#This Row],[NetSalesTRY]]/tblSales[[#This Row],[Units]],0)</f>
        <v>915.67491935483872</v>
      </c>
      <c r="R946" s="17">
        <f>IFERROR(tblSales[[#This Row],[NetSalesTRY]]/tblSales[[#This Row],[TargetTRY]],0)</f>
        <v>0.95402423146157744</v>
      </c>
      <c r="S946" s="6">
        <f>tblSales[[#This Row],[NetSalesTRY]]-tblSales[[#This Row],[TargetTRY]]</f>
        <v>-5471.8300000000017</v>
      </c>
      <c r="T946" s="6">
        <f>MAX(tblSales[[#This Row],[TargetTRY]]-tblSales[[#This Row],[NetSalesTRY]],0)</f>
        <v>5471.8300000000017</v>
      </c>
    </row>
    <row r="947" spans="1:20">
      <c r="A947" t="s">
        <v>1335</v>
      </c>
      <c r="B947" s="15">
        <v>45870</v>
      </c>
      <c r="C947" t="s">
        <v>23</v>
      </c>
      <c r="D947" t="s">
        <v>24</v>
      </c>
      <c r="E947" t="s">
        <v>58</v>
      </c>
      <c r="F947" t="s">
        <v>56</v>
      </c>
      <c r="G947" t="s">
        <v>8</v>
      </c>
      <c r="H947" s="8">
        <v>160</v>
      </c>
      <c r="I947" s="9">
        <v>120062.83</v>
      </c>
      <c r="J947" s="9">
        <v>8999.8700000000008</v>
      </c>
      <c r="K947" s="9">
        <v>736.93</v>
      </c>
      <c r="L947" s="9">
        <v>110326.04</v>
      </c>
      <c r="M947" s="9">
        <v>107063.28</v>
      </c>
      <c r="N947" s="6" t="str">
        <f>_xlfn.XLOOKUP(tblSales[[#This Row],[ProductID]],tblProducts[ProductID],tblProducts[ProductName],"Not Found")</f>
        <v>GlucoRelief</v>
      </c>
      <c r="O947" s="8">
        <f>YEAR(tblSales[[#This Row],[Month]])</f>
        <v>2025</v>
      </c>
      <c r="P947" s="8">
        <f>MONTH(tblSales[[#This Row],[Month]])</f>
        <v>8</v>
      </c>
      <c r="Q947" s="6">
        <f>IFERROR(tblSales[[#This Row],[NetSalesTRY]]/tblSales[[#This Row],[Units]],0)</f>
        <v>689.53774999999996</v>
      </c>
      <c r="R947" s="17">
        <f>IFERROR(tblSales[[#This Row],[NetSalesTRY]]/tblSales[[#This Row],[TargetTRY]],0)</f>
        <v>1.0304750611040498</v>
      </c>
      <c r="S947" s="6">
        <f>tblSales[[#This Row],[NetSalesTRY]]-tblSales[[#This Row],[TargetTRY]]</f>
        <v>3262.7599999999948</v>
      </c>
      <c r="T947" s="6">
        <f>MAX(tblSales[[#This Row],[TargetTRY]]-tblSales[[#This Row],[NetSalesTRY]],0)</f>
        <v>0</v>
      </c>
    </row>
    <row r="948" spans="1:20">
      <c r="A948" t="s">
        <v>1336</v>
      </c>
      <c r="B948" s="15">
        <v>45870</v>
      </c>
      <c r="C948" t="s">
        <v>23</v>
      </c>
      <c r="D948" t="s">
        <v>24</v>
      </c>
      <c r="E948" t="s">
        <v>58</v>
      </c>
      <c r="F948" t="s">
        <v>56</v>
      </c>
      <c r="G948" t="s">
        <v>11</v>
      </c>
      <c r="H948" s="8">
        <v>163</v>
      </c>
      <c r="I948" s="9">
        <v>101520.43</v>
      </c>
      <c r="J948" s="9">
        <v>5601.37</v>
      </c>
      <c r="K948" s="9">
        <v>1290.71</v>
      </c>
      <c r="L948" s="9">
        <v>94628.36</v>
      </c>
      <c r="M948" s="9">
        <v>100676.96</v>
      </c>
      <c r="N948" s="6" t="str">
        <f>_xlfn.XLOOKUP(tblSales[[#This Row],[ProductID]],tblProducts[ProductID],tblProducts[ProductName],"Not Found")</f>
        <v>RespiraX</v>
      </c>
      <c r="O948" s="8">
        <f>YEAR(tblSales[[#This Row],[Month]])</f>
        <v>2025</v>
      </c>
      <c r="P948" s="8">
        <f>MONTH(tblSales[[#This Row],[Month]])</f>
        <v>8</v>
      </c>
      <c r="Q948" s="6">
        <f>IFERROR(tblSales[[#This Row],[NetSalesTRY]]/tblSales[[#This Row],[Units]],0)</f>
        <v>580.54208588957056</v>
      </c>
      <c r="R948" s="17">
        <f>IFERROR(tblSales[[#This Row],[NetSalesTRY]]/tblSales[[#This Row],[TargetTRY]],0)</f>
        <v>0.93992071274301481</v>
      </c>
      <c r="S948" s="6">
        <f>tblSales[[#This Row],[NetSalesTRY]]-tblSales[[#This Row],[TargetTRY]]</f>
        <v>-6048.6000000000058</v>
      </c>
      <c r="T948" s="6">
        <f>MAX(tblSales[[#This Row],[TargetTRY]]-tblSales[[#This Row],[NetSalesTRY]],0)</f>
        <v>6048.6000000000058</v>
      </c>
    </row>
    <row r="949" spans="1:20">
      <c r="A949" t="s">
        <v>1337</v>
      </c>
      <c r="B949" s="15">
        <v>45870</v>
      </c>
      <c r="C949" t="s">
        <v>23</v>
      </c>
      <c r="D949" t="s">
        <v>24</v>
      </c>
      <c r="E949" t="s">
        <v>58</v>
      </c>
      <c r="F949" t="s">
        <v>56</v>
      </c>
      <c r="G949" t="s">
        <v>14</v>
      </c>
      <c r="H949" s="8">
        <v>96</v>
      </c>
      <c r="I949" s="9">
        <v>107039.97</v>
      </c>
      <c r="J949" s="9">
        <v>4633.75</v>
      </c>
      <c r="K949" s="9">
        <v>1205.06</v>
      </c>
      <c r="L949" s="9">
        <v>101201.16</v>
      </c>
      <c r="M949" s="9">
        <v>97555.520000000004</v>
      </c>
      <c r="N949" s="6" t="str">
        <f>_xlfn.XLOOKUP(tblSales[[#This Row],[ProductID]],tblProducts[ProductID],tblProducts[ProductName],"Not Found")</f>
        <v>NeuroCalm</v>
      </c>
      <c r="O949" s="8">
        <f>YEAR(tblSales[[#This Row],[Month]])</f>
        <v>2025</v>
      </c>
      <c r="P949" s="8">
        <f>MONTH(tblSales[[#This Row],[Month]])</f>
        <v>8</v>
      </c>
      <c r="Q949" s="6">
        <f>IFERROR(tblSales[[#This Row],[NetSalesTRY]]/tblSales[[#This Row],[Units]],0)</f>
        <v>1054.17875</v>
      </c>
      <c r="R949" s="17">
        <f>IFERROR(tblSales[[#This Row],[NetSalesTRY]]/tblSales[[#This Row],[TargetTRY]],0)</f>
        <v>1.0373698997247927</v>
      </c>
      <c r="S949" s="6">
        <f>tblSales[[#This Row],[NetSalesTRY]]-tblSales[[#This Row],[TargetTRY]]</f>
        <v>3645.6399999999994</v>
      </c>
      <c r="T949" s="6">
        <f>MAX(tblSales[[#This Row],[TargetTRY]]-tblSales[[#This Row],[NetSalesTRY]],0)</f>
        <v>0</v>
      </c>
    </row>
    <row r="950" spans="1:20">
      <c r="A950" t="s">
        <v>1338</v>
      </c>
      <c r="B950" s="15">
        <v>45870</v>
      </c>
      <c r="C950" t="s">
        <v>25</v>
      </c>
      <c r="D950" t="s">
        <v>26</v>
      </c>
      <c r="E950" t="s">
        <v>61</v>
      </c>
      <c r="F950" t="s">
        <v>59</v>
      </c>
      <c r="G950" t="s">
        <v>5</v>
      </c>
      <c r="H950" s="8">
        <v>101</v>
      </c>
      <c r="I950" s="9">
        <v>99981.28</v>
      </c>
      <c r="J950" s="9">
        <v>5588.38</v>
      </c>
      <c r="K950" s="9">
        <v>564.1</v>
      </c>
      <c r="L950" s="9">
        <v>93828.800000000003</v>
      </c>
      <c r="M950" s="9">
        <v>94005.39</v>
      </c>
      <c r="N950" s="6" t="str">
        <f>_xlfn.XLOOKUP(tblSales[[#This Row],[ProductID]],tblProducts[ProductID],tblProducts[ProductName],"Not Found")</f>
        <v>Cardiovan</v>
      </c>
      <c r="O950" s="8">
        <f>YEAR(tblSales[[#This Row],[Month]])</f>
        <v>2025</v>
      </c>
      <c r="P950" s="8">
        <f>MONTH(tblSales[[#This Row],[Month]])</f>
        <v>8</v>
      </c>
      <c r="Q950" s="6">
        <f>IFERROR(tblSales[[#This Row],[NetSalesTRY]]/tblSales[[#This Row],[Units]],0)</f>
        <v>928.99801980198026</v>
      </c>
      <c r="R950" s="17">
        <f>IFERROR(tblSales[[#This Row],[NetSalesTRY]]/tblSales[[#This Row],[TargetTRY]],0)</f>
        <v>0.9981214906932464</v>
      </c>
      <c r="S950" s="6">
        <f>tblSales[[#This Row],[NetSalesTRY]]-tblSales[[#This Row],[TargetTRY]]</f>
        <v>-176.58999999999651</v>
      </c>
      <c r="T950" s="6">
        <f>MAX(tblSales[[#This Row],[TargetTRY]]-tblSales[[#This Row],[NetSalesTRY]],0)</f>
        <v>176.58999999999651</v>
      </c>
    </row>
    <row r="951" spans="1:20">
      <c r="A951" t="s">
        <v>1339</v>
      </c>
      <c r="B951" s="15">
        <v>45870</v>
      </c>
      <c r="C951" t="s">
        <v>25</v>
      </c>
      <c r="D951" t="s">
        <v>26</v>
      </c>
      <c r="E951" t="s">
        <v>61</v>
      </c>
      <c r="F951" t="s">
        <v>59</v>
      </c>
      <c r="G951" t="s">
        <v>8</v>
      </c>
      <c r="H951" s="8">
        <v>123</v>
      </c>
      <c r="I951" s="9">
        <v>94181.03</v>
      </c>
      <c r="J951" s="9">
        <v>4264.1400000000003</v>
      </c>
      <c r="K951" s="9">
        <v>1312.79</v>
      </c>
      <c r="L951" s="9">
        <v>88604.09</v>
      </c>
      <c r="M951" s="9">
        <v>85484.06</v>
      </c>
      <c r="N951" s="6" t="str">
        <f>_xlfn.XLOOKUP(tblSales[[#This Row],[ProductID]],tblProducts[ProductID],tblProducts[ProductName],"Not Found")</f>
        <v>GlucoRelief</v>
      </c>
      <c r="O951" s="8">
        <f>YEAR(tblSales[[#This Row],[Month]])</f>
        <v>2025</v>
      </c>
      <c r="P951" s="8">
        <f>MONTH(tblSales[[#This Row],[Month]])</f>
        <v>8</v>
      </c>
      <c r="Q951" s="6">
        <f>IFERROR(tblSales[[#This Row],[NetSalesTRY]]/tblSales[[#This Row],[Units]],0)</f>
        <v>720.35845528455286</v>
      </c>
      <c r="R951" s="17">
        <f>IFERROR(tblSales[[#This Row],[NetSalesTRY]]/tblSales[[#This Row],[TargetTRY]],0)</f>
        <v>1.0364983834413106</v>
      </c>
      <c r="S951" s="6">
        <f>tblSales[[#This Row],[NetSalesTRY]]-tblSales[[#This Row],[TargetTRY]]</f>
        <v>3120.0299999999988</v>
      </c>
      <c r="T951" s="6">
        <f>MAX(tblSales[[#This Row],[TargetTRY]]-tblSales[[#This Row],[NetSalesTRY]],0)</f>
        <v>0</v>
      </c>
    </row>
    <row r="952" spans="1:20">
      <c r="A952" t="s">
        <v>1340</v>
      </c>
      <c r="B952" s="15">
        <v>45870</v>
      </c>
      <c r="C952" t="s">
        <v>25</v>
      </c>
      <c r="D952" t="s">
        <v>26</v>
      </c>
      <c r="E952" t="s">
        <v>61</v>
      </c>
      <c r="F952" t="s">
        <v>59</v>
      </c>
      <c r="G952" t="s">
        <v>11</v>
      </c>
      <c r="H952" s="8">
        <v>129</v>
      </c>
      <c r="I952" s="9">
        <v>80867.360000000001</v>
      </c>
      <c r="J952" s="9">
        <v>4362.5</v>
      </c>
      <c r="K952" s="9">
        <v>928.68</v>
      </c>
      <c r="L952" s="9">
        <v>75576.179999999993</v>
      </c>
      <c r="M952" s="9">
        <v>80354.720000000001</v>
      </c>
      <c r="N952" s="6" t="str">
        <f>_xlfn.XLOOKUP(tblSales[[#This Row],[ProductID]],tblProducts[ProductID],tblProducts[ProductName],"Not Found")</f>
        <v>RespiraX</v>
      </c>
      <c r="O952" s="8">
        <f>YEAR(tblSales[[#This Row],[Month]])</f>
        <v>2025</v>
      </c>
      <c r="P952" s="8">
        <f>MONTH(tblSales[[#This Row],[Month]])</f>
        <v>8</v>
      </c>
      <c r="Q952" s="6">
        <f>IFERROR(tblSales[[#This Row],[NetSalesTRY]]/tblSales[[#This Row],[Units]],0)</f>
        <v>585.86186046511625</v>
      </c>
      <c r="R952" s="17">
        <f>IFERROR(tblSales[[#This Row],[NetSalesTRY]]/tblSales[[#This Row],[TargetTRY]],0)</f>
        <v>0.94053193141610092</v>
      </c>
      <c r="S952" s="6">
        <f>tblSales[[#This Row],[NetSalesTRY]]-tblSales[[#This Row],[TargetTRY]]</f>
        <v>-4778.5400000000081</v>
      </c>
      <c r="T952" s="6">
        <f>MAX(tblSales[[#This Row],[TargetTRY]]-tblSales[[#This Row],[NetSalesTRY]],0)</f>
        <v>4778.5400000000081</v>
      </c>
    </row>
    <row r="953" spans="1:20">
      <c r="A953" t="s">
        <v>1341</v>
      </c>
      <c r="B953" s="15">
        <v>45870</v>
      </c>
      <c r="C953" t="s">
        <v>25</v>
      </c>
      <c r="D953" t="s">
        <v>26</v>
      </c>
      <c r="E953" t="s">
        <v>61</v>
      </c>
      <c r="F953" t="s">
        <v>59</v>
      </c>
      <c r="G953" t="s">
        <v>14</v>
      </c>
      <c r="H953" s="8">
        <v>77</v>
      </c>
      <c r="I953" s="9">
        <v>85253.36</v>
      </c>
      <c r="J953" s="9">
        <v>3201.64</v>
      </c>
      <c r="K953" s="9">
        <v>559.15</v>
      </c>
      <c r="L953" s="9">
        <v>81492.56</v>
      </c>
      <c r="M953" s="9">
        <v>77910.11</v>
      </c>
      <c r="N953" s="6" t="str">
        <f>_xlfn.XLOOKUP(tblSales[[#This Row],[ProductID]],tblProducts[ProductID],tblProducts[ProductName],"Not Found")</f>
        <v>NeuroCalm</v>
      </c>
      <c r="O953" s="8">
        <f>YEAR(tblSales[[#This Row],[Month]])</f>
        <v>2025</v>
      </c>
      <c r="P953" s="8">
        <f>MONTH(tblSales[[#This Row],[Month]])</f>
        <v>8</v>
      </c>
      <c r="Q953" s="6">
        <f>IFERROR(tblSales[[#This Row],[NetSalesTRY]]/tblSales[[#This Row],[Units]],0)</f>
        <v>1058.344935064935</v>
      </c>
      <c r="R953" s="17">
        <f>IFERROR(tblSales[[#This Row],[NetSalesTRY]]/tblSales[[#This Row],[TargetTRY]],0)</f>
        <v>1.0459818372737504</v>
      </c>
      <c r="S953" s="6">
        <f>tblSales[[#This Row],[NetSalesTRY]]-tblSales[[#This Row],[TargetTRY]]</f>
        <v>3582.4499999999971</v>
      </c>
      <c r="T953" s="6">
        <f>MAX(tblSales[[#This Row],[TargetTRY]]-tblSales[[#This Row],[NetSalesTRY]],0)</f>
        <v>0</v>
      </c>
    </row>
    <row r="954" spans="1:20">
      <c r="A954" t="s">
        <v>1342</v>
      </c>
      <c r="B954" s="15">
        <v>45870</v>
      </c>
      <c r="C954" t="s">
        <v>25</v>
      </c>
      <c r="D954" t="s">
        <v>26</v>
      </c>
      <c r="E954" t="s">
        <v>64</v>
      </c>
      <c r="F954" t="s">
        <v>62</v>
      </c>
      <c r="G954" t="s">
        <v>5</v>
      </c>
      <c r="H954" s="8">
        <v>97</v>
      </c>
      <c r="I954" s="9">
        <v>94922.06</v>
      </c>
      <c r="J954" s="9">
        <v>5773.4</v>
      </c>
      <c r="K954" s="9">
        <v>423.24</v>
      </c>
      <c r="L954" s="9">
        <v>88725.42</v>
      </c>
      <c r="M954" s="9">
        <v>94962.75</v>
      </c>
      <c r="N954" s="6" t="str">
        <f>_xlfn.XLOOKUP(tblSales[[#This Row],[ProductID]],tblProducts[ProductID],tblProducts[ProductName],"Not Found")</f>
        <v>Cardiovan</v>
      </c>
      <c r="O954" s="8">
        <f>YEAR(tblSales[[#This Row],[Month]])</f>
        <v>2025</v>
      </c>
      <c r="P954" s="8">
        <f>MONTH(tblSales[[#This Row],[Month]])</f>
        <v>8</v>
      </c>
      <c r="Q954" s="6">
        <f>IFERROR(tblSales[[#This Row],[NetSalesTRY]]/tblSales[[#This Row],[Units]],0)</f>
        <v>914.69505154639171</v>
      </c>
      <c r="R954" s="17">
        <f>IFERROR(tblSales[[#This Row],[NetSalesTRY]]/tblSales[[#This Row],[TargetTRY]],0)</f>
        <v>0.93431814053405149</v>
      </c>
      <c r="S954" s="6">
        <f>tblSales[[#This Row],[NetSalesTRY]]-tblSales[[#This Row],[TargetTRY]]</f>
        <v>-6237.3300000000017</v>
      </c>
      <c r="T954" s="6">
        <f>MAX(tblSales[[#This Row],[TargetTRY]]-tblSales[[#This Row],[NetSalesTRY]],0)</f>
        <v>6237.3300000000017</v>
      </c>
    </row>
    <row r="955" spans="1:20">
      <c r="A955" t="s">
        <v>1343</v>
      </c>
      <c r="B955" s="15">
        <v>45870</v>
      </c>
      <c r="C955" t="s">
        <v>25</v>
      </c>
      <c r="D955" t="s">
        <v>26</v>
      </c>
      <c r="E955" t="s">
        <v>64</v>
      </c>
      <c r="F955" t="s">
        <v>62</v>
      </c>
      <c r="G955" t="s">
        <v>8</v>
      </c>
      <c r="H955" s="8">
        <v>122</v>
      </c>
      <c r="I955" s="9">
        <v>93773.97</v>
      </c>
      <c r="J955" s="9">
        <v>6346.44</v>
      </c>
      <c r="K955" s="9">
        <v>1085.1300000000001</v>
      </c>
      <c r="L955" s="9">
        <v>86342.399999999994</v>
      </c>
      <c r="M955" s="9">
        <v>85315.34</v>
      </c>
      <c r="N955" s="6" t="str">
        <f>_xlfn.XLOOKUP(tblSales[[#This Row],[ProductID]],tblProducts[ProductID],tblProducts[ProductName],"Not Found")</f>
        <v>GlucoRelief</v>
      </c>
      <c r="O955" s="8">
        <f>YEAR(tblSales[[#This Row],[Month]])</f>
        <v>2025</v>
      </c>
      <c r="P955" s="8">
        <f>MONTH(tblSales[[#This Row],[Month]])</f>
        <v>8</v>
      </c>
      <c r="Q955" s="6">
        <f>IFERROR(tblSales[[#This Row],[NetSalesTRY]]/tblSales[[#This Row],[Units]],0)</f>
        <v>707.72459016393441</v>
      </c>
      <c r="R955" s="17">
        <f>IFERROR(tblSales[[#This Row],[NetSalesTRY]]/tblSales[[#This Row],[TargetTRY]],0)</f>
        <v>1.0120383977840328</v>
      </c>
      <c r="S955" s="6">
        <f>tblSales[[#This Row],[NetSalesTRY]]-tblSales[[#This Row],[TargetTRY]]</f>
        <v>1027.0599999999977</v>
      </c>
      <c r="T955" s="6">
        <f>MAX(tblSales[[#This Row],[TargetTRY]]-tblSales[[#This Row],[NetSalesTRY]],0)</f>
        <v>0</v>
      </c>
    </row>
    <row r="956" spans="1:20">
      <c r="A956" t="s">
        <v>1344</v>
      </c>
      <c r="B956" s="15">
        <v>45870</v>
      </c>
      <c r="C956" t="s">
        <v>25</v>
      </c>
      <c r="D956" t="s">
        <v>26</v>
      </c>
      <c r="E956" t="s">
        <v>64</v>
      </c>
      <c r="F956" t="s">
        <v>62</v>
      </c>
      <c r="G956" t="s">
        <v>11</v>
      </c>
      <c r="H956" s="8">
        <v>127</v>
      </c>
      <c r="I956" s="9">
        <v>79750.17</v>
      </c>
      <c r="J956" s="9">
        <v>2962.07</v>
      </c>
      <c r="K956" s="9">
        <v>325.83</v>
      </c>
      <c r="L956" s="9">
        <v>76462.27</v>
      </c>
      <c r="M956" s="9">
        <v>80757.460000000006</v>
      </c>
      <c r="N956" s="6" t="str">
        <f>_xlfn.XLOOKUP(tblSales[[#This Row],[ProductID]],tblProducts[ProductID],tblProducts[ProductName],"Not Found")</f>
        <v>RespiraX</v>
      </c>
      <c r="O956" s="8">
        <f>YEAR(tblSales[[#This Row],[Month]])</f>
        <v>2025</v>
      </c>
      <c r="P956" s="8">
        <f>MONTH(tblSales[[#This Row],[Month]])</f>
        <v>8</v>
      </c>
      <c r="Q956" s="6">
        <f>IFERROR(tblSales[[#This Row],[NetSalesTRY]]/tblSales[[#This Row],[Units]],0)</f>
        <v>602.0651181102362</v>
      </c>
      <c r="R956" s="17">
        <f>IFERROR(tblSales[[#This Row],[NetSalesTRY]]/tblSales[[#This Row],[TargetTRY]],0)</f>
        <v>0.94681370612696336</v>
      </c>
      <c r="S956" s="6">
        <f>tblSales[[#This Row],[NetSalesTRY]]-tblSales[[#This Row],[TargetTRY]]</f>
        <v>-4295.1900000000023</v>
      </c>
      <c r="T956" s="6">
        <f>MAX(tblSales[[#This Row],[TargetTRY]]-tblSales[[#This Row],[NetSalesTRY]],0)</f>
        <v>4295.1900000000023</v>
      </c>
    </row>
    <row r="957" spans="1:20">
      <c r="A957" t="s">
        <v>1345</v>
      </c>
      <c r="B957" s="15">
        <v>45870</v>
      </c>
      <c r="C957" t="s">
        <v>25</v>
      </c>
      <c r="D957" t="s">
        <v>26</v>
      </c>
      <c r="E957" t="s">
        <v>64</v>
      </c>
      <c r="F957" t="s">
        <v>62</v>
      </c>
      <c r="G957" t="s">
        <v>14</v>
      </c>
      <c r="H957" s="8">
        <v>76</v>
      </c>
      <c r="I957" s="9">
        <v>83236.84</v>
      </c>
      <c r="J957" s="9">
        <v>4334.43</v>
      </c>
      <c r="K957" s="9">
        <v>700.53</v>
      </c>
      <c r="L957" s="9">
        <v>78201.89</v>
      </c>
      <c r="M957" s="9">
        <v>76209.69</v>
      </c>
      <c r="N957" s="6" t="str">
        <f>_xlfn.XLOOKUP(tblSales[[#This Row],[ProductID]],tblProducts[ProductID],tblProducts[ProductName],"Not Found")</f>
        <v>NeuroCalm</v>
      </c>
      <c r="O957" s="8">
        <f>YEAR(tblSales[[#This Row],[Month]])</f>
        <v>2025</v>
      </c>
      <c r="P957" s="8">
        <f>MONTH(tblSales[[#This Row],[Month]])</f>
        <v>8</v>
      </c>
      <c r="Q957" s="6">
        <f>IFERROR(tblSales[[#This Row],[NetSalesTRY]]/tblSales[[#This Row],[Units]],0)</f>
        <v>1028.9722368421053</v>
      </c>
      <c r="R957" s="17">
        <f>IFERROR(tblSales[[#This Row],[NetSalesTRY]]/tblSales[[#This Row],[TargetTRY]],0)</f>
        <v>1.026141032721692</v>
      </c>
      <c r="S957" s="6">
        <f>tblSales[[#This Row],[NetSalesTRY]]-tblSales[[#This Row],[TargetTRY]]</f>
        <v>1992.1999999999971</v>
      </c>
      <c r="T957" s="6">
        <f>MAX(tblSales[[#This Row],[TargetTRY]]-tblSales[[#This Row],[NetSalesTRY]],0)</f>
        <v>0</v>
      </c>
    </row>
    <row r="958" spans="1:20">
      <c r="A958" t="s">
        <v>1346</v>
      </c>
      <c r="B958" s="15">
        <v>45870</v>
      </c>
      <c r="C958" t="s">
        <v>25</v>
      </c>
      <c r="D958" t="s">
        <v>26</v>
      </c>
      <c r="E958" t="s">
        <v>67</v>
      </c>
      <c r="F958" t="s">
        <v>65</v>
      </c>
      <c r="G958" t="s">
        <v>5</v>
      </c>
      <c r="H958" s="8">
        <v>114</v>
      </c>
      <c r="I958" s="9">
        <v>112634.72</v>
      </c>
      <c r="J958" s="9">
        <v>7445.51</v>
      </c>
      <c r="K958" s="9">
        <v>853.46</v>
      </c>
      <c r="L958" s="9">
        <v>104335.74</v>
      </c>
      <c r="M958" s="9">
        <v>107440.85</v>
      </c>
      <c r="N958" s="6" t="str">
        <f>_xlfn.XLOOKUP(tblSales[[#This Row],[ProductID]],tblProducts[ProductID],tblProducts[ProductName],"Not Found")</f>
        <v>Cardiovan</v>
      </c>
      <c r="O958" s="8">
        <f>YEAR(tblSales[[#This Row],[Month]])</f>
        <v>2025</v>
      </c>
      <c r="P958" s="8">
        <f>MONTH(tblSales[[#This Row],[Month]])</f>
        <v>8</v>
      </c>
      <c r="Q958" s="6">
        <f>IFERROR(tblSales[[#This Row],[NetSalesTRY]]/tblSales[[#This Row],[Units]],0)</f>
        <v>915.22578947368424</v>
      </c>
      <c r="R958" s="17">
        <f>IFERROR(tblSales[[#This Row],[NetSalesTRY]]/tblSales[[#This Row],[TargetTRY]],0)</f>
        <v>0.97109935373742851</v>
      </c>
      <c r="S958" s="6">
        <f>tblSales[[#This Row],[NetSalesTRY]]-tblSales[[#This Row],[TargetTRY]]</f>
        <v>-3105.1100000000006</v>
      </c>
      <c r="T958" s="6">
        <f>MAX(tblSales[[#This Row],[TargetTRY]]-tblSales[[#This Row],[NetSalesTRY]],0)</f>
        <v>3105.1100000000006</v>
      </c>
    </row>
    <row r="959" spans="1:20">
      <c r="A959" t="s">
        <v>1347</v>
      </c>
      <c r="B959" s="15">
        <v>45870</v>
      </c>
      <c r="C959" t="s">
        <v>25</v>
      </c>
      <c r="D959" t="s">
        <v>26</v>
      </c>
      <c r="E959" t="s">
        <v>67</v>
      </c>
      <c r="F959" t="s">
        <v>65</v>
      </c>
      <c r="G959" t="s">
        <v>8</v>
      </c>
      <c r="H959" s="8">
        <v>127</v>
      </c>
      <c r="I959" s="9">
        <v>96572.99</v>
      </c>
      <c r="J959" s="9">
        <v>5623.74</v>
      </c>
      <c r="K959" s="9">
        <v>436.85</v>
      </c>
      <c r="L959" s="9">
        <v>90512.4</v>
      </c>
      <c r="M959" s="9">
        <v>96098.99</v>
      </c>
      <c r="N959" s="6" t="str">
        <f>_xlfn.XLOOKUP(tblSales[[#This Row],[ProductID]],tblProducts[ProductID],tblProducts[ProductName],"Not Found")</f>
        <v>GlucoRelief</v>
      </c>
      <c r="O959" s="8">
        <f>YEAR(tblSales[[#This Row],[Month]])</f>
        <v>2025</v>
      </c>
      <c r="P959" s="8">
        <f>MONTH(tblSales[[#This Row],[Month]])</f>
        <v>8</v>
      </c>
      <c r="Q959" s="6">
        <f>IFERROR(tblSales[[#This Row],[NetSalesTRY]]/tblSales[[#This Row],[Units]],0)</f>
        <v>712.69606299212592</v>
      </c>
      <c r="R959" s="17">
        <f>IFERROR(tblSales[[#This Row],[NetSalesTRY]]/tblSales[[#This Row],[TargetTRY]],0)</f>
        <v>0.94186629849075409</v>
      </c>
      <c r="S959" s="6">
        <f>tblSales[[#This Row],[NetSalesTRY]]-tblSales[[#This Row],[TargetTRY]]</f>
        <v>-5586.5900000000111</v>
      </c>
      <c r="T959" s="6">
        <f>MAX(tblSales[[#This Row],[TargetTRY]]-tblSales[[#This Row],[NetSalesTRY]],0)</f>
        <v>5586.5900000000111</v>
      </c>
    </row>
    <row r="960" spans="1:20">
      <c r="A960" t="s">
        <v>1348</v>
      </c>
      <c r="B960" s="15">
        <v>45870</v>
      </c>
      <c r="C960" t="s">
        <v>25</v>
      </c>
      <c r="D960" t="s">
        <v>26</v>
      </c>
      <c r="E960" t="s">
        <v>67</v>
      </c>
      <c r="F960" t="s">
        <v>65</v>
      </c>
      <c r="G960" t="s">
        <v>11</v>
      </c>
      <c r="H960" s="8">
        <v>146</v>
      </c>
      <c r="I960" s="9">
        <v>89604.81</v>
      </c>
      <c r="J960" s="9">
        <v>4122.01</v>
      </c>
      <c r="K960" s="9">
        <v>483.22</v>
      </c>
      <c r="L960" s="9">
        <v>84999.57</v>
      </c>
      <c r="M960" s="9">
        <v>90961.71</v>
      </c>
      <c r="N960" s="6" t="str">
        <f>_xlfn.XLOOKUP(tblSales[[#This Row],[ProductID]],tblProducts[ProductID],tblProducts[ProductName],"Not Found")</f>
        <v>RespiraX</v>
      </c>
      <c r="O960" s="8">
        <f>YEAR(tblSales[[#This Row],[Month]])</f>
        <v>2025</v>
      </c>
      <c r="P960" s="8">
        <f>MONTH(tblSales[[#This Row],[Month]])</f>
        <v>8</v>
      </c>
      <c r="Q960" s="6">
        <f>IFERROR(tblSales[[#This Row],[NetSalesTRY]]/tblSales[[#This Row],[Units]],0)</f>
        <v>582.18883561643838</v>
      </c>
      <c r="R960" s="17">
        <f>IFERROR(tblSales[[#This Row],[NetSalesTRY]]/tblSales[[#This Row],[TargetTRY]],0)</f>
        <v>0.93445439844963341</v>
      </c>
      <c r="S960" s="6">
        <f>tblSales[[#This Row],[NetSalesTRY]]-tblSales[[#This Row],[TargetTRY]]</f>
        <v>-5962.1399999999994</v>
      </c>
      <c r="T960" s="6">
        <f>MAX(tblSales[[#This Row],[TargetTRY]]-tblSales[[#This Row],[NetSalesTRY]],0)</f>
        <v>5962.1399999999994</v>
      </c>
    </row>
    <row r="961" spans="1:20">
      <c r="A961" t="s">
        <v>1349</v>
      </c>
      <c r="B961" s="15">
        <v>45870</v>
      </c>
      <c r="C961" t="s">
        <v>25</v>
      </c>
      <c r="D961" t="s">
        <v>26</v>
      </c>
      <c r="E961" t="s">
        <v>67</v>
      </c>
      <c r="F961" t="s">
        <v>65</v>
      </c>
      <c r="G961" t="s">
        <v>14</v>
      </c>
      <c r="H961" s="8">
        <v>87</v>
      </c>
      <c r="I961" s="9">
        <v>96305.78</v>
      </c>
      <c r="J961" s="9">
        <v>4997.43</v>
      </c>
      <c r="K961" s="9">
        <v>817.08</v>
      </c>
      <c r="L961" s="9">
        <v>90491.27</v>
      </c>
      <c r="M961" s="9">
        <v>87181.41</v>
      </c>
      <c r="N961" s="6" t="str">
        <f>_xlfn.XLOOKUP(tblSales[[#This Row],[ProductID]],tblProducts[ProductID],tblProducts[ProductName],"Not Found")</f>
        <v>NeuroCalm</v>
      </c>
      <c r="O961" s="8">
        <f>YEAR(tblSales[[#This Row],[Month]])</f>
        <v>2025</v>
      </c>
      <c r="P961" s="8">
        <f>MONTH(tblSales[[#This Row],[Month]])</f>
        <v>8</v>
      </c>
      <c r="Q961" s="6">
        <f>IFERROR(tblSales[[#This Row],[NetSalesTRY]]/tblSales[[#This Row],[Units]],0)</f>
        <v>1040.1295402298852</v>
      </c>
      <c r="R961" s="17">
        <f>IFERROR(tblSales[[#This Row],[NetSalesTRY]]/tblSales[[#This Row],[TargetTRY]],0)</f>
        <v>1.0379652038204017</v>
      </c>
      <c r="S961" s="6">
        <f>tblSales[[#This Row],[NetSalesTRY]]-tblSales[[#This Row],[TargetTRY]]</f>
        <v>3309.8600000000006</v>
      </c>
      <c r="T961" s="6">
        <f>MAX(tblSales[[#This Row],[TargetTRY]]-tblSales[[#This Row],[NetSalesTRY]],0)</f>
        <v>0</v>
      </c>
    </row>
    <row r="962" spans="1:20">
      <c r="A962" t="s">
        <v>1350</v>
      </c>
      <c r="B962" s="15">
        <v>45901</v>
      </c>
      <c r="C962" t="s">
        <v>19</v>
      </c>
      <c r="D962" t="s">
        <v>20</v>
      </c>
      <c r="E962" t="s">
        <v>34</v>
      </c>
      <c r="F962" t="s">
        <v>32</v>
      </c>
      <c r="G962" t="s">
        <v>5</v>
      </c>
      <c r="H962" s="8">
        <v>155</v>
      </c>
      <c r="I962" s="9">
        <v>153012.16</v>
      </c>
      <c r="J962" s="9">
        <v>9989.9</v>
      </c>
      <c r="K962" s="9">
        <v>1332.96</v>
      </c>
      <c r="L962" s="9">
        <v>141689.29999999999</v>
      </c>
      <c r="M962" s="9">
        <v>154532.53</v>
      </c>
      <c r="N962" s="6" t="str">
        <f>_xlfn.XLOOKUP(tblSales[[#This Row],[ProductID]],tblProducts[ProductID],tblProducts[ProductName],"Not Found")</f>
        <v>Cardiovan</v>
      </c>
      <c r="O962" s="8">
        <f>YEAR(tblSales[[#This Row],[Month]])</f>
        <v>2025</v>
      </c>
      <c r="P962" s="8">
        <f>MONTH(tblSales[[#This Row],[Month]])</f>
        <v>9</v>
      </c>
      <c r="Q962" s="6">
        <f>IFERROR(tblSales[[#This Row],[NetSalesTRY]]/tblSales[[#This Row],[Units]],0)</f>
        <v>914.12451612903214</v>
      </c>
      <c r="R962" s="17">
        <f>IFERROR(tblSales[[#This Row],[NetSalesTRY]]/tblSales[[#This Row],[TargetTRY]],0)</f>
        <v>0.91688979660140157</v>
      </c>
      <c r="S962" s="6">
        <f>tblSales[[#This Row],[NetSalesTRY]]-tblSales[[#This Row],[TargetTRY]]</f>
        <v>-12843.23000000001</v>
      </c>
      <c r="T962" s="6">
        <f>MAX(tblSales[[#This Row],[TargetTRY]]-tblSales[[#This Row],[NetSalesTRY]],0)</f>
        <v>12843.23000000001</v>
      </c>
    </row>
    <row r="963" spans="1:20">
      <c r="A963" t="s">
        <v>1351</v>
      </c>
      <c r="B963" s="15">
        <v>45901</v>
      </c>
      <c r="C963" t="s">
        <v>19</v>
      </c>
      <c r="D963" t="s">
        <v>20</v>
      </c>
      <c r="E963" t="s">
        <v>34</v>
      </c>
      <c r="F963" t="s">
        <v>32</v>
      </c>
      <c r="G963" t="s">
        <v>8</v>
      </c>
      <c r="H963" s="8">
        <v>211</v>
      </c>
      <c r="I963" s="9">
        <v>160437.75</v>
      </c>
      <c r="J963" s="9">
        <v>10339.719999999999</v>
      </c>
      <c r="K963" s="9">
        <v>1431.15</v>
      </c>
      <c r="L963" s="9">
        <v>148666.89000000001</v>
      </c>
      <c r="M963" s="9">
        <v>139178.45000000001</v>
      </c>
      <c r="N963" s="6" t="str">
        <f>_xlfn.XLOOKUP(tblSales[[#This Row],[ProductID]],tblProducts[ProductID],tblProducts[ProductName],"Not Found")</f>
        <v>GlucoRelief</v>
      </c>
      <c r="O963" s="8">
        <f>YEAR(tblSales[[#This Row],[Month]])</f>
        <v>2025</v>
      </c>
      <c r="P963" s="8">
        <f>MONTH(tblSales[[#This Row],[Month]])</f>
        <v>9</v>
      </c>
      <c r="Q963" s="6">
        <f>IFERROR(tblSales[[#This Row],[NetSalesTRY]]/tblSales[[#This Row],[Units]],0)</f>
        <v>704.58241706161141</v>
      </c>
      <c r="R963" s="17">
        <f>IFERROR(tblSales[[#This Row],[NetSalesTRY]]/tblSales[[#This Row],[TargetTRY]],0)</f>
        <v>1.0681746347943952</v>
      </c>
      <c r="S963" s="6">
        <f>tblSales[[#This Row],[NetSalesTRY]]-tblSales[[#This Row],[TargetTRY]]</f>
        <v>9488.4400000000023</v>
      </c>
      <c r="T963" s="6">
        <f>MAX(tblSales[[#This Row],[TargetTRY]]-tblSales[[#This Row],[NetSalesTRY]],0)</f>
        <v>0</v>
      </c>
    </row>
    <row r="964" spans="1:20">
      <c r="A964" t="s">
        <v>1352</v>
      </c>
      <c r="B964" s="15">
        <v>45901</v>
      </c>
      <c r="C964" t="s">
        <v>19</v>
      </c>
      <c r="D964" t="s">
        <v>20</v>
      </c>
      <c r="E964" t="s">
        <v>34</v>
      </c>
      <c r="F964" t="s">
        <v>32</v>
      </c>
      <c r="G964" t="s">
        <v>11</v>
      </c>
      <c r="H964" s="8">
        <v>235</v>
      </c>
      <c r="I964" s="9">
        <v>144798.79999999999</v>
      </c>
      <c r="J964" s="9">
        <v>5572.95</v>
      </c>
      <c r="K964" s="9">
        <v>1632.84</v>
      </c>
      <c r="L964" s="9">
        <v>137593.01</v>
      </c>
      <c r="M964" s="9">
        <v>131706.87</v>
      </c>
      <c r="N964" s="6" t="str">
        <f>_xlfn.XLOOKUP(tblSales[[#This Row],[ProductID]],tblProducts[ProductID],tblProducts[ProductName],"Not Found")</f>
        <v>RespiraX</v>
      </c>
      <c r="O964" s="8">
        <f>YEAR(tblSales[[#This Row],[Month]])</f>
        <v>2025</v>
      </c>
      <c r="P964" s="8">
        <f>MONTH(tblSales[[#This Row],[Month]])</f>
        <v>9</v>
      </c>
      <c r="Q964" s="6">
        <f>IFERROR(tblSales[[#This Row],[NetSalesTRY]]/tblSales[[#This Row],[Units]],0)</f>
        <v>585.50217021276603</v>
      </c>
      <c r="R964" s="17">
        <f>IFERROR(tblSales[[#This Row],[NetSalesTRY]]/tblSales[[#This Row],[TargetTRY]],0)</f>
        <v>1.0446912146648084</v>
      </c>
      <c r="S964" s="6">
        <f>tblSales[[#This Row],[NetSalesTRY]]-tblSales[[#This Row],[TargetTRY]]</f>
        <v>5886.140000000014</v>
      </c>
      <c r="T964" s="6">
        <f>MAX(tblSales[[#This Row],[TargetTRY]]-tblSales[[#This Row],[NetSalesTRY]],0)</f>
        <v>0</v>
      </c>
    </row>
    <row r="965" spans="1:20">
      <c r="A965" t="s">
        <v>1353</v>
      </c>
      <c r="B965" s="15">
        <v>45901</v>
      </c>
      <c r="C965" t="s">
        <v>19</v>
      </c>
      <c r="D965" t="s">
        <v>20</v>
      </c>
      <c r="E965" t="s">
        <v>34</v>
      </c>
      <c r="F965" t="s">
        <v>32</v>
      </c>
      <c r="G965" t="s">
        <v>14</v>
      </c>
      <c r="H965" s="8">
        <v>116</v>
      </c>
      <c r="I965" s="9">
        <v>126256.2</v>
      </c>
      <c r="J965" s="9">
        <v>6980.51</v>
      </c>
      <c r="K965" s="9">
        <v>1502.58</v>
      </c>
      <c r="L965" s="9">
        <v>117773.11</v>
      </c>
      <c r="M965" s="9">
        <v>126841.21</v>
      </c>
      <c r="N965" s="6" t="str">
        <f>_xlfn.XLOOKUP(tblSales[[#This Row],[ProductID]],tblProducts[ProductID],tblProducts[ProductName],"Not Found")</f>
        <v>NeuroCalm</v>
      </c>
      <c r="O965" s="8">
        <f>YEAR(tblSales[[#This Row],[Month]])</f>
        <v>2025</v>
      </c>
      <c r="P965" s="8">
        <f>MONTH(tblSales[[#This Row],[Month]])</f>
        <v>9</v>
      </c>
      <c r="Q965" s="6">
        <f>IFERROR(tblSales[[#This Row],[NetSalesTRY]]/tblSales[[#This Row],[Units]],0)</f>
        <v>1015.2854310344827</v>
      </c>
      <c r="R965" s="17">
        <f>IFERROR(tblSales[[#This Row],[NetSalesTRY]]/tblSales[[#This Row],[TargetTRY]],0)</f>
        <v>0.92850825059142839</v>
      </c>
      <c r="S965" s="6">
        <f>tblSales[[#This Row],[NetSalesTRY]]-tblSales[[#This Row],[TargetTRY]]</f>
        <v>-9068.1000000000058</v>
      </c>
      <c r="T965" s="6">
        <f>MAX(tblSales[[#This Row],[TargetTRY]]-tblSales[[#This Row],[NetSalesTRY]],0)</f>
        <v>9068.1000000000058</v>
      </c>
    </row>
    <row r="966" spans="1:20">
      <c r="A966" t="s">
        <v>1354</v>
      </c>
      <c r="B966" s="15">
        <v>45901</v>
      </c>
      <c r="C966" t="s">
        <v>19</v>
      </c>
      <c r="D966" t="s">
        <v>20</v>
      </c>
      <c r="E966" t="s">
        <v>37</v>
      </c>
      <c r="F966" t="s">
        <v>35</v>
      </c>
      <c r="G966" t="s">
        <v>5</v>
      </c>
      <c r="H966" s="8">
        <v>168</v>
      </c>
      <c r="I966" s="9">
        <v>166255.88</v>
      </c>
      <c r="J966" s="9">
        <v>9993</v>
      </c>
      <c r="K966" s="9">
        <v>1273.75</v>
      </c>
      <c r="L966" s="9">
        <v>154989.13</v>
      </c>
      <c r="M966" s="9">
        <v>153305.53</v>
      </c>
      <c r="N966" s="6" t="str">
        <f>_xlfn.XLOOKUP(tblSales[[#This Row],[ProductID]],tblProducts[ProductID],tblProducts[ProductName],"Not Found")</f>
        <v>Cardiovan</v>
      </c>
      <c r="O966" s="8">
        <f>YEAR(tblSales[[#This Row],[Month]])</f>
        <v>2025</v>
      </c>
      <c r="P966" s="8">
        <f>MONTH(tblSales[[#This Row],[Month]])</f>
        <v>9</v>
      </c>
      <c r="Q966" s="6">
        <f>IFERROR(tblSales[[#This Row],[NetSalesTRY]]/tblSales[[#This Row],[Units]],0)</f>
        <v>922.55434523809527</v>
      </c>
      <c r="R966" s="17">
        <f>IFERROR(tblSales[[#This Row],[NetSalesTRY]]/tblSales[[#This Row],[TargetTRY]],0)</f>
        <v>1.0109819913215135</v>
      </c>
      <c r="S966" s="6">
        <f>tblSales[[#This Row],[NetSalesTRY]]-tblSales[[#This Row],[TargetTRY]]</f>
        <v>1683.6000000000058</v>
      </c>
      <c r="T966" s="6">
        <f>MAX(tblSales[[#This Row],[TargetTRY]]-tblSales[[#This Row],[NetSalesTRY]],0)</f>
        <v>0</v>
      </c>
    </row>
    <row r="967" spans="1:20">
      <c r="A967" t="s">
        <v>1355</v>
      </c>
      <c r="B967" s="15">
        <v>45901</v>
      </c>
      <c r="C967" t="s">
        <v>19</v>
      </c>
      <c r="D967" t="s">
        <v>20</v>
      </c>
      <c r="E967" t="s">
        <v>37</v>
      </c>
      <c r="F967" t="s">
        <v>35</v>
      </c>
      <c r="G967" t="s">
        <v>8</v>
      </c>
      <c r="H967" s="8">
        <v>202</v>
      </c>
      <c r="I967" s="9">
        <v>152047.72</v>
      </c>
      <c r="J967" s="9">
        <v>9883.43</v>
      </c>
      <c r="K967" s="9">
        <v>2098.4</v>
      </c>
      <c r="L967" s="9">
        <v>140065.9</v>
      </c>
      <c r="M967" s="9">
        <v>139824.65</v>
      </c>
      <c r="N967" s="6" t="str">
        <f>_xlfn.XLOOKUP(tblSales[[#This Row],[ProductID]],tblProducts[ProductID],tblProducts[ProductName],"Not Found")</f>
        <v>GlucoRelief</v>
      </c>
      <c r="O967" s="8">
        <f>YEAR(tblSales[[#This Row],[Month]])</f>
        <v>2025</v>
      </c>
      <c r="P967" s="8">
        <f>MONTH(tblSales[[#This Row],[Month]])</f>
        <v>9</v>
      </c>
      <c r="Q967" s="6">
        <f>IFERROR(tblSales[[#This Row],[NetSalesTRY]]/tblSales[[#This Row],[Units]],0)</f>
        <v>693.39554455445545</v>
      </c>
      <c r="R967" s="17">
        <f>IFERROR(tblSales[[#This Row],[NetSalesTRY]]/tblSales[[#This Row],[TargetTRY]],0)</f>
        <v>1.0017253753183004</v>
      </c>
      <c r="S967" s="6">
        <f>tblSales[[#This Row],[NetSalesTRY]]-tblSales[[#This Row],[TargetTRY]]</f>
        <v>241.25</v>
      </c>
      <c r="T967" s="6">
        <f>MAX(tblSales[[#This Row],[TargetTRY]]-tblSales[[#This Row],[NetSalesTRY]],0)</f>
        <v>0</v>
      </c>
    </row>
    <row r="968" spans="1:20">
      <c r="A968" t="s">
        <v>1356</v>
      </c>
      <c r="B968" s="15">
        <v>45901</v>
      </c>
      <c r="C968" t="s">
        <v>19</v>
      </c>
      <c r="D968" t="s">
        <v>20</v>
      </c>
      <c r="E968" t="s">
        <v>37</v>
      </c>
      <c r="F968" t="s">
        <v>35</v>
      </c>
      <c r="G968" t="s">
        <v>11</v>
      </c>
      <c r="H968" s="8">
        <v>228</v>
      </c>
      <c r="I968" s="9">
        <v>141553.63</v>
      </c>
      <c r="J968" s="9">
        <v>6923.28</v>
      </c>
      <c r="K968" s="9">
        <v>868.9</v>
      </c>
      <c r="L968" s="9">
        <v>133761.45000000001</v>
      </c>
      <c r="M968" s="9">
        <v>131257.26</v>
      </c>
      <c r="N968" s="6" t="str">
        <f>_xlfn.XLOOKUP(tblSales[[#This Row],[ProductID]],tblProducts[ProductID],tblProducts[ProductName],"Not Found")</f>
        <v>RespiraX</v>
      </c>
      <c r="O968" s="8">
        <f>YEAR(tblSales[[#This Row],[Month]])</f>
        <v>2025</v>
      </c>
      <c r="P968" s="8">
        <f>MONTH(tblSales[[#This Row],[Month]])</f>
        <v>9</v>
      </c>
      <c r="Q968" s="6">
        <f>IFERROR(tblSales[[#This Row],[NetSalesTRY]]/tblSales[[#This Row],[Units]],0)</f>
        <v>586.67302631578957</v>
      </c>
      <c r="R968" s="17">
        <f>IFERROR(tblSales[[#This Row],[NetSalesTRY]]/tblSales[[#This Row],[TargetTRY]],0)</f>
        <v>1.0190784875442318</v>
      </c>
      <c r="S968" s="6">
        <f>tblSales[[#This Row],[NetSalesTRY]]-tblSales[[#This Row],[TargetTRY]]</f>
        <v>2504.1900000000023</v>
      </c>
      <c r="T968" s="6">
        <f>MAX(tblSales[[#This Row],[TargetTRY]]-tblSales[[#This Row],[NetSalesTRY]],0)</f>
        <v>0</v>
      </c>
    </row>
    <row r="969" spans="1:20">
      <c r="A969" t="s">
        <v>1357</v>
      </c>
      <c r="B969" s="15">
        <v>45901</v>
      </c>
      <c r="C969" t="s">
        <v>19</v>
      </c>
      <c r="D969" t="s">
        <v>20</v>
      </c>
      <c r="E969" t="s">
        <v>37</v>
      </c>
      <c r="F969" t="s">
        <v>35</v>
      </c>
      <c r="G969" t="s">
        <v>14</v>
      </c>
      <c r="H969" s="8">
        <v>118</v>
      </c>
      <c r="I969" s="9">
        <v>129836.71</v>
      </c>
      <c r="J969" s="9">
        <v>7456.51</v>
      </c>
      <c r="K969" s="9">
        <v>1433.77</v>
      </c>
      <c r="L969" s="9">
        <v>120946.43</v>
      </c>
      <c r="M969" s="9">
        <v>126655.43</v>
      </c>
      <c r="N969" s="6" t="str">
        <f>_xlfn.XLOOKUP(tblSales[[#This Row],[ProductID]],tblProducts[ProductID],tblProducts[ProductName],"Not Found")</f>
        <v>NeuroCalm</v>
      </c>
      <c r="O969" s="8">
        <f>YEAR(tblSales[[#This Row],[Month]])</f>
        <v>2025</v>
      </c>
      <c r="P969" s="8">
        <f>MONTH(tblSales[[#This Row],[Month]])</f>
        <v>9</v>
      </c>
      <c r="Q969" s="6">
        <f>IFERROR(tblSales[[#This Row],[NetSalesTRY]]/tblSales[[#This Row],[Units]],0)</f>
        <v>1024.9697457627119</v>
      </c>
      <c r="R969" s="17">
        <f>IFERROR(tblSales[[#This Row],[NetSalesTRY]]/tblSales[[#This Row],[TargetTRY]],0)</f>
        <v>0.95492494873689981</v>
      </c>
      <c r="S969" s="6">
        <f>tblSales[[#This Row],[NetSalesTRY]]-tblSales[[#This Row],[TargetTRY]]</f>
        <v>-5709</v>
      </c>
      <c r="T969" s="6">
        <f>MAX(tblSales[[#This Row],[TargetTRY]]-tblSales[[#This Row],[NetSalesTRY]],0)</f>
        <v>5709</v>
      </c>
    </row>
    <row r="970" spans="1:20">
      <c r="A970" t="s">
        <v>1358</v>
      </c>
      <c r="B970" s="15">
        <v>45901</v>
      </c>
      <c r="C970" t="s">
        <v>19</v>
      </c>
      <c r="D970" t="s">
        <v>20</v>
      </c>
      <c r="E970" t="s">
        <v>40</v>
      </c>
      <c r="F970" t="s">
        <v>38</v>
      </c>
      <c r="G970" t="s">
        <v>5</v>
      </c>
      <c r="H970" s="8">
        <v>189</v>
      </c>
      <c r="I970" s="9">
        <v>184050.47</v>
      </c>
      <c r="J970" s="9">
        <v>7156.35</v>
      </c>
      <c r="K970" s="9">
        <v>2467.11</v>
      </c>
      <c r="L970" s="9">
        <v>174427.01</v>
      </c>
      <c r="M970" s="9">
        <v>169472.81</v>
      </c>
      <c r="N970" s="6" t="str">
        <f>_xlfn.XLOOKUP(tblSales[[#This Row],[ProductID]],tblProducts[ProductID],tblProducts[ProductName],"Not Found")</f>
        <v>Cardiovan</v>
      </c>
      <c r="O970" s="8">
        <f>YEAR(tblSales[[#This Row],[Month]])</f>
        <v>2025</v>
      </c>
      <c r="P970" s="8">
        <f>MONTH(tblSales[[#This Row],[Month]])</f>
        <v>9</v>
      </c>
      <c r="Q970" s="6">
        <f>IFERROR(tblSales[[#This Row],[NetSalesTRY]]/tblSales[[#This Row],[Units]],0)</f>
        <v>922.89423280423284</v>
      </c>
      <c r="R970" s="17">
        <f>IFERROR(tblSales[[#This Row],[NetSalesTRY]]/tblSales[[#This Row],[TargetTRY]],0)</f>
        <v>1.0292330079379697</v>
      </c>
      <c r="S970" s="6">
        <f>tblSales[[#This Row],[NetSalesTRY]]-tblSales[[#This Row],[TargetTRY]]</f>
        <v>4954.2000000000116</v>
      </c>
      <c r="T970" s="6">
        <f>MAX(tblSales[[#This Row],[TargetTRY]]-tblSales[[#This Row],[NetSalesTRY]],0)</f>
        <v>0</v>
      </c>
    </row>
    <row r="971" spans="1:20">
      <c r="A971" t="s">
        <v>1359</v>
      </c>
      <c r="B971" s="15">
        <v>45901</v>
      </c>
      <c r="C971" t="s">
        <v>19</v>
      </c>
      <c r="D971" t="s">
        <v>20</v>
      </c>
      <c r="E971" t="s">
        <v>40</v>
      </c>
      <c r="F971" t="s">
        <v>38</v>
      </c>
      <c r="G971" t="s">
        <v>8</v>
      </c>
      <c r="H971" s="8">
        <v>211</v>
      </c>
      <c r="I971" s="9">
        <v>161141.29</v>
      </c>
      <c r="J971" s="9">
        <v>6169.96</v>
      </c>
      <c r="K971" s="9">
        <v>1668.7</v>
      </c>
      <c r="L971" s="9">
        <v>153302.63</v>
      </c>
      <c r="M971" s="9">
        <v>155604.63</v>
      </c>
      <c r="N971" s="6" t="str">
        <f>_xlfn.XLOOKUP(tblSales[[#This Row],[ProductID]],tblProducts[ProductID],tblProducts[ProductName],"Not Found")</f>
        <v>GlucoRelief</v>
      </c>
      <c r="O971" s="8">
        <f>YEAR(tblSales[[#This Row],[Month]])</f>
        <v>2025</v>
      </c>
      <c r="P971" s="8">
        <f>MONTH(tblSales[[#This Row],[Month]])</f>
        <v>9</v>
      </c>
      <c r="Q971" s="6">
        <f>IFERROR(tblSales[[#This Row],[NetSalesTRY]]/tblSales[[#This Row],[Units]],0)</f>
        <v>726.55274881516596</v>
      </c>
      <c r="R971" s="17">
        <f>IFERROR(tblSales[[#This Row],[NetSalesTRY]]/tblSales[[#This Row],[TargetTRY]],0)</f>
        <v>0.98520609573121309</v>
      </c>
      <c r="S971" s="6">
        <f>tblSales[[#This Row],[NetSalesTRY]]-tblSales[[#This Row],[TargetTRY]]</f>
        <v>-2302</v>
      </c>
      <c r="T971" s="6">
        <f>MAX(tblSales[[#This Row],[TargetTRY]]-tblSales[[#This Row],[NetSalesTRY]],0)</f>
        <v>2302</v>
      </c>
    </row>
    <row r="972" spans="1:20">
      <c r="A972" t="s">
        <v>1360</v>
      </c>
      <c r="B972" s="15">
        <v>45901</v>
      </c>
      <c r="C972" t="s">
        <v>19</v>
      </c>
      <c r="D972" t="s">
        <v>20</v>
      </c>
      <c r="E972" t="s">
        <v>40</v>
      </c>
      <c r="F972" t="s">
        <v>38</v>
      </c>
      <c r="G972" t="s">
        <v>11</v>
      </c>
      <c r="H972" s="8">
        <v>244</v>
      </c>
      <c r="I972" s="9">
        <v>152381.87</v>
      </c>
      <c r="J972" s="9">
        <v>9171.5400000000009</v>
      </c>
      <c r="K972" s="9">
        <v>1359.49</v>
      </c>
      <c r="L972" s="9">
        <v>141850.82999999999</v>
      </c>
      <c r="M972" s="9">
        <v>145498.39000000001</v>
      </c>
      <c r="N972" s="6" t="str">
        <f>_xlfn.XLOOKUP(tblSales[[#This Row],[ProductID]],tblProducts[ProductID],tblProducts[ProductName],"Not Found")</f>
        <v>RespiraX</v>
      </c>
      <c r="O972" s="8">
        <f>YEAR(tblSales[[#This Row],[Month]])</f>
        <v>2025</v>
      </c>
      <c r="P972" s="8">
        <f>MONTH(tblSales[[#This Row],[Month]])</f>
        <v>9</v>
      </c>
      <c r="Q972" s="6">
        <f>IFERROR(tblSales[[#This Row],[NetSalesTRY]]/tblSales[[#This Row],[Units]],0)</f>
        <v>581.35586065573762</v>
      </c>
      <c r="R972" s="17">
        <f>IFERROR(tblSales[[#This Row],[NetSalesTRY]]/tblSales[[#This Row],[TargetTRY]],0)</f>
        <v>0.97493058170609292</v>
      </c>
      <c r="S972" s="6">
        <f>tblSales[[#This Row],[NetSalesTRY]]-tblSales[[#This Row],[TargetTRY]]</f>
        <v>-3647.5600000000268</v>
      </c>
      <c r="T972" s="6">
        <f>MAX(tblSales[[#This Row],[TargetTRY]]-tblSales[[#This Row],[NetSalesTRY]],0)</f>
        <v>3647.5600000000268</v>
      </c>
    </row>
    <row r="973" spans="1:20">
      <c r="A973" t="s">
        <v>1361</v>
      </c>
      <c r="B973" s="15">
        <v>45901</v>
      </c>
      <c r="C973" t="s">
        <v>19</v>
      </c>
      <c r="D973" t="s">
        <v>20</v>
      </c>
      <c r="E973" t="s">
        <v>40</v>
      </c>
      <c r="F973" t="s">
        <v>38</v>
      </c>
      <c r="G973" t="s">
        <v>14</v>
      </c>
      <c r="H973" s="8">
        <v>135</v>
      </c>
      <c r="I973" s="9">
        <v>149084.09</v>
      </c>
      <c r="J973" s="9">
        <v>9965.4500000000007</v>
      </c>
      <c r="K973" s="9">
        <v>1884.58</v>
      </c>
      <c r="L973" s="9">
        <v>137234.06</v>
      </c>
      <c r="M973" s="9">
        <v>142311.67999999999</v>
      </c>
      <c r="N973" s="6" t="str">
        <f>_xlfn.XLOOKUP(tblSales[[#This Row],[ProductID]],tblProducts[ProductID],tblProducts[ProductName],"Not Found")</f>
        <v>NeuroCalm</v>
      </c>
      <c r="O973" s="8">
        <f>YEAR(tblSales[[#This Row],[Month]])</f>
        <v>2025</v>
      </c>
      <c r="P973" s="8">
        <f>MONTH(tblSales[[#This Row],[Month]])</f>
        <v>9</v>
      </c>
      <c r="Q973" s="6">
        <f>IFERROR(tblSales[[#This Row],[NetSalesTRY]]/tblSales[[#This Row],[Units]],0)</f>
        <v>1016.5485925925926</v>
      </c>
      <c r="R973" s="17">
        <f>IFERROR(tblSales[[#This Row],[NetSalesTRY]]/tblSales[[#This Row],[TargetTRY]],0)</f>
        <v>0.96432042682652619</v>
      </c>
      <c r="S973" s="6">
        <f>tblSales[[#This Row],[NetSalesTRY]]-tblSales[[#This Row],[TargetTRY]]</f>
        <v>-5077.6199999999953</v>
      </c>
      <c r="T973" s="6">
        <f>MAX(tblSales[[#This Row],[TargetTRY]]-tblSales[[#This Row],[NetSalesTRY]],0)</f>
        <v>5077.6199999999953</v>
      </c>
    </row>
    <row r="974" spans="1:20">
      <c r="A974" t="s">
        <v>1362</v>
      </c>
      <c r="B974" s="15">
        <v>45901</v>
      </c>
      <c r="C974" t="s">
        <v>21</v>
      </c>
      <c r="D974" t="s">
        <v>22</v>
      </c>
      <c r="E974" t="s">
        <v>43</v>
      </c>
      <c r="F974" t="s">
        <v>41</v>
      </c>
      <c r="G974" t="s">
        <v>5</v>
      </c>
      <c r="H974" s="8">
        <v>106</v>
      </c>
      <c r="I974" s="9">
        <v>102900.67</v>
      </c>
      <c r="J974" s="9">
        <v>5366.2</v>
      </c>
      <c r="K974" s="9">
        <v>1123.53</v>
      </c>
      <c r="L974" s="9">
        <v>96410.93</v>
      </c>
      <c r="M974" s="9">
        <v>123127.67</v>
      </c>
      <c r="N974" s="6" t="str">
        <f>_xlfn.XLOOKUP(tblSales[[#This Row],[ProductID]],tblProducts[ProductID],tblProducts[ProductName],"Not Found")</f>
        <v>Cardiovan</v>
      </c>
      <c r="O974" s="8">
        <f>YEAR(tblSales[[#This Row],[Month]])</f>
        <v>2025</v>
      </c>
      <c r="P974" s="8">
        <f>MONTH(tblSales[[#This Row],[Month]])</f>
        <v>9</v>
      </c>
      <c r="Q974" s="6">
        <f>IFERROR(tblSales[[#This Row],[NetSalesTRY]]/tblSales[[#This Row],[Units]],0)</f>
        <v>909.53707547169802</v>
      </c>
      <c r="R974" s="17">
        <f>IFERROR(tblSales[[#This Row],[NetSalesTRY]]/tblSales[[#This Row],[TargetTRY]],0)</f>
        <v>0.78301595409057922</v>
      </c>
      <c r="S974" s="6">
        <f>tblSales[[#This Row],[NetSalesTRY]]-tblSales[[#This Row],[TargetTRY]]</f>
        <v>-26716.740000000005</v>
      </c>
      <c r="T974" s="6">
        <f>MAX(tblSales[[#This Row],[TargetTRY]]-tblSales[[#This Row],[NetSalesTRY]],0)</f>
        <v>26716.740000000005</v>
      </c>
    </row>
    <row r="975" spans="1:20">
      <c r="A975" t="s">
        <v>1363</v>
      </c>
      <c r="B975" s="15">
        <v>45901</v>
      </c>
      <c r="C975" t="s">
        <v>21</v>
      </c>
      <c r="D975" t="s">
        <v>22</v>
      </c>
      <c r="E975" t="s">
        <v>43</v>
      </c>
      <c r="F975" t="s">
        <v>41</v>
      </c>
      <c r="G975" t="s">
        <v>8</v>
      </c>
      <c r="H975" s="8">
        <v>148</v>
      </c>
      <c r="I975" s="9">
        <v>112276.37</v>
      </c>
      <c r="J975" s="9">
        <v>7630.36</v>
      </c>
      <c r="K975" s="9">
        <v>1081.57</v>
      </c>
      <c r="L975" s="9">
        <v>103564.44</v>
      </c>
      <c r="M975" s="9">
        <v>112276.25</v>
      </c>
      <c r="N975" s="6" t="str">
        <f>_xlfn.XLOOKUP(tblSales[[#This Row],[ProductID]],tblProducts[ProductID],tblProducts[ProductName],"Not Found")</f>
        <v>GlucoRelief</v>
      </c>
      <c r="O975" s="8">
        <f>YEAR(tblSales[[#This Row],[Month]])</f>
        <v>2025</v>
      </c>
      <c r="P975" s="8">
        <f>MONTH(tblSales[[#This Row],[Month]])</f>
        <v>9</v>
      </c>
      <c r="Q975" s="6">
        <f>IFERROR(tblSales[[#This Row],[NetSalesTRY]]/tblSales[[#This Row],[Units]],0)</f>
        <v>699.75972972972977</v>
      </c>
      <c r="R975" s="17">
        <f>IFERROR(tblSales[[#This Row],[NetSalesTRY]]/tblSales[[#This Row],[TargetTRY]],0)</f>
        <v>0.92240736576079096</v>
      </c>
      <c r="S975" s="6">
        <f>tblSales[[#This Row],[NetSalesTRY]]-tblSales[[#This Row],[TargetTRY]]</f>
        <v>-8711.8099999999977</v>
      </c>
      <c r="T975" s="6">
        <f>MAX(tblSales[[#This Row],[TargetTRY]]-tblSales[[#This Row],[NetSalesTRY]],0)</f>
        <v>8711.8099999999977</v>
      </c>
    </row>
    <row r="976" spans="1:20">
      <c r="A976" t="s">
        <v>1364</v>
      </c>
      <c r="B976" s="15">
        <v>45901</v>
      </c>
      <c r="C976" t="s">
        <v>21</v>
      </c>
      <c r="D976" t="s">
        <v>22</v>
      </c>
      <c r="E976" t="s">
        <v>43</v>
      </c>
      <c r="F976" t="s">
        <v>41</v>
      </c>
      <c r="G976" t="s">
        <v>11</v>
      </c>
      <c r="H976" s="8">
        <v>168</v>
      </c>
      <c r="I976" s="9">
        <v>105051.79</v>
      </c>
      <c r="J976" s="9">
        <v>3802.9</v>
      </c>
      <c r="K976" s="9">
        <v>433.38</v>
      </c>
      <c r="L976" s="9">
        <v>100815.52</v>
      </c>
      <c r="M976" s="9">
        <v>107014.39</v>
      </c>
      <c r="N976" s="6" t="str">
        <f>_xlfn.XLOOKUP(tblSales[[#This Row],[ProductID]],tblProducts[ProductID],tblProducts[ProductName],"Not Found")</f>
        <v>RespiraX</v>
      </c>
      <c r="O976" s="8">
        <f>YEAR(tblSales[[#This Row],[Month]])</f>
        <v>2025</v>
      </c>
      <c r="P976" s="8">
        <f>MONTH(tblSales[[#This Row],[Month]])</f>
        <v>9</v>
      </c>
      <c r="Q976" s="6">
        <f>IFERROR(tblSales[[#This Row],[NetSalesTRY]]/tblSales[[#This Row],[Units]],0)</f>
        <v>600.09238095238095</v>
      </c>
      <c r="R976" s="17">
        <f>IFERROR(tblSales[[#This Row],[NetSalesTRY]]/tblSales[[#This Row],[TargetTRY]],0)</f>
        <v>0.94207442569172239</v>
      </c>
      <c r="S976" s="6">
        <f>tblSales[[#This Row],[NetSalesTRY]]-tblSales[[#This Row],[TargetTRY]]</f>
        <v>-6198.8699999999953</v>
      </c>
      <c r="T976" s="6">
        <f>MAX(tblSales[[#This Row],[TargetTRY]]-tblSales[[#This Row],[NetSalesTRY]],0)</f>
        <v>6198.8699999999953</v>
      </c>
    </row>
    <row r="977" spans="1:20">
      <c r="A977" t="s">
        <v>1365</v>
      </c>
      <c r="B977" s="15">
        <v>45901</v>
      </c>
      <c r="C977" t="s">
        <v>21</v>
      </c>
      <c r="D977" t="s">
        <v>22</v>
      </c>
      <c r="E977" t="s">
        <v>43</v>
      </c>
      <c r="F977" t="s">
        <v>41</v>
      </c>
      <c r="G977" t="s">
        <v>14</v>
      </c>
      <c r="H977" s="8">
        <v>92</v>
      </c>
      <c r="I977" s="9">
        <v>101940.86</v>
      </c>
      <c r="J977" s="9">
        <v>5252.29</v>
      </c>
      <c r="K977" s="9">
        <v>992.68</v>
      </c>
      <c r="L977" s="9">
        <v>95695.89</v>
      </c>
      <c r="M977" s="9">
        <v>104095.3</v>
      </c>
      <c r="N977" s="6" t="str">
        <f>_xlfn.XLOOKUP(tblSales[[#This Row],[ProductID]],tblProducts[ProductID],tblProducts[ProductName],"Not Found")</f>
        <v>NeuroCalm</v>
      </c>
      <c r="O977" s="8">
        <f>YEAR(tblSales[[#This Row],[Month]])</f>
        <v>2025</v>
      </c>
      <c r="P977" s="8">
        <f>MONTH(tblSales[[#This Row],[Month]])</f>
        <v>9</v>
      </c>
      <c r="Q977" s="6">
        <f>IFERROR(tblSales[[#This Row],[NetSalesTRY]]/tblSales[[#This Row],[Units]],0)</f>
        <v>1040.1727173913043</v>
      </c>
      <c r="R977" s="17">
        <f>IFERROR(tblSales[[#This Row],[NetSalesTRY]]/tblSales[[#This Row],[TargetTRY]],0)</f>
        <v>0.91931038192886705</v>
      </c>
      <c r="S977" s="6">
        <f>tblSales[[#This Row],[NetSalesTRY]]-tblSales[[#This Row],[TargetTRY]]</f>
        <v>-8399.4100000000035</v>
      </c>
      <c r="T977" s="6">
        <f>MAX(tblSales[[#This Row],[TargetTRY]]-tblSales[[#This Row],[NetSalesTRY]],0)</f>
        <v>8399.4100000000035</v>
      </c>
    </row>
    <row r="978" spans="1:20">
      <c r="A978" t="s">
        <v>1366</v>
      </c>
      <c r="B978" s="15">
        <v>45901</v>
      </c>
      <c r="C978" t="s">
        <v>21</v>
      </c>
      <c r="D978" t="s">
        <v>22</v>
      </c>
      <c r="E978" t="s">
        <v>46</v>
      </c>
      <c r="F978" t="s">
        <v>44</v>
      </c>
      <c r="G978" t="s">
        <v>5</v>
      </c>
      <c r="H978" s="8">
        <v>92</v>
      </c>
      <c r="I978" s="9">
        <v>89474.77</v>
      </c>
      <c r="J978" s="9">
        <v>6548.88</v>
      </c>
      <c r="K978" s="9">
        <v>990.97</v>
      </c>
      <c r="L978" s="9">
        <v>81934.92</v>
      </c>
      <c r="M978" s="9">
        <v>109750.19</v>
      </c>
      <c r="N978" s="6" t="str">
        <f>_xlfn.XLOOKUP(tblSales[[#This Row],[ProductID]],tblProducts[ProductID],tblProducts[ProductName],"Not Found")</f>
        <v>Cardiovan</v>
      </c>
      <c r="O978" s="8">
        <f>YEAR(tblSales[[#This Row],[Month]])</f>
        <v>2025</v>
      </c>
      <c r="P978" s="8">
        <f>MONTH(tblSales[[#This Row],[Month]])</f>
        <v>9</v>
      </c>
      <c r="Q978" s="6">
        <f>IFERROR(tblSales[[#This Row],[NetSalesTRY]]/tblSales[[#This Row],[Units]],0)</f>
        <v>890.59695652173912</v>
      </c>
      <c r="R978" s="17">
        <f>IFERROR(tblSales[[#This Row],[NetSalesTRY]]/tblSales[[#This Row],[TargetTRY]],0)</f>
        <v>0.74655834308806202</v>
      </c>
      <c r="S978" s="6">
        <f>tblSales[[#This Row],[NetSalesTRY]]-tblSales[[#This Row],[TargetTRY]]</f>
        <v>-27815.270000000004</v>
      </c>
      <c r="T978" s="6">
        <f>MAX(tblSales[[#This Row],[TargetTRY]]-tblSales[[#This Row],[NetSalesTRY]],0)</f>
        <v>27815.270000000004</v>
      </c>
    </row>
    <row r="979" spans="1:20">
      <c r="A979" t="s">
        <v>1367</v>
      </c>
      <c r="B979" s="15">
        <v>45901</v>
      </c>
      <c r="C979" t="s">
        <v>21</v>
      </c>
      <c r="D979" t="s">
        <v>22</v>
      </c>
      <c r="E979" t="s">
        <v>46</v>
      </c>
      <c r="F979" t="s">
        <v>44</v>
      </c>
      <c r="G979" t="s">
        <v>8</v>
      </c>
      <c r="H979" s="8">
        <v>137</v>
      </c>
      <c r="I979" s="9">
        <v>104449.86</v>
      </c>
      <c r="J979" s="9">
        <v>5781.65</v>
      </c>
      <c r="K979" s="9">
        <v>615.13</v>
      </c>
      <c r="L979" s="9">
        <v>98053.08</v>
      </c>
      <c r="M979" s="9">
        <v>99837.62</v>
      </c>
      <c r="N979" s="6" t="str">
        <f>_xlfn.XLOOKUP(tblSales[[#This Row],[ProductID]],tblProducts[ProductID],tblProducts[ProductName],"Not Found")</f>
        <v>GlucoRelief</v>
      </c>
      <c r="O979" s="8">
        <f>YEAR(tblSales[[#This Row],[Month]])</f>
        <v>2025</v>
      </c>
      <c r="P979" s="8">
        <f>MONTH(tblSales[[#This Row],[Month]])</f>
        <v>9</v>
      </c>
      <c r="Q979" s="6">
        <f>IFERROR(tblSales[[#This Row],[NetSalesTRY]]/tblSales[[#This Row],[Units]],0)</f>
        <v>715.7159124087591</v>
      </c>
      <c r="R979" s="17">
        <f>IFERROR(tblSales[[#This Row],[NetSalesTRY]]/tblSales[[#This Row],[TargetTRY]],0)</f>
        <v>0.98212557550951241</v>
      </c>
      <c r="S979" s="6">
        <f>tblSales[[#This Row],[NetSalesTRY]]-tblSales[[#This Row],[TargetTRY]]</f>
        <v>-1784.5399999999936</v>
      </c>
      <c r="T979" s="6">
        <f>MAX(tblSales[[#This Row],[TargetTRY]]-tblSales[[#This Row],[NetSalesTRY]],0)</f>
        <v>1784.5399999999936</v>
      </c>
    </row>
    <row r="980" spans="1:20">
      <c r="A980" t="s">
        <v>1368</v>
      </c>
      <c r="B980" s="15">
        <v>45901</v>
      </c>
      <c r="C980" t="s">
        <v>21</v>
      </c>
      <c r="D980" t="s">
        <v>22</v>
      </c>
      <c r="E980" t="s">
        <v>46</v>
      </c>
      <c r="F980" t="s">
        <v>44</v>
      </c>
      <c r="G980" t="s">
        <v>11</v>
      </c>
      <c r="H980" s="8">
        <v>146</v>
      </c>
      <c r="I980" s="9">
        <v>91313.49</v>
      </c>
      <c r="J980" s="9">
        <v>3888.75</v>
      </c>
      <c r="K980" s="9">
        <v>479.56</v>
      </c>
      <c r="L980" s="9">
        <v>86945.17</v>
      </c>
      <c r="M980" s="9">
        <v>92663.75</v>
      </c>
      <c r="N980" s="6" t="str">
        <f>_xlfn.XLOOKUP(tblSales[[#This Row],[ProductID]],tblProducts[ProductID],tblProducts[ProductName],"Not Found")</f>
        <v>RespiraX</v>
      </c>
      <c r="O980" s="8">
        <f>YEAR(tblSales[[#This Row],[Month]])</f>
        <v>2025</v>
      </c>
      <c r="P980" s="8">
        <f>MONTH(tblSales[[#This Row],[Month]])</f>
        <v>9</v>
      </c>
      <c r="Q980" s="6">
        <f>IFERROR(tblSales[[#This Row],[NetSalesTRY]]/tblSales[[#This Row],[Units]],0)</f>
        <v>595.51486301369857</v>
      </c>
      <c r="R980" s="17">
        <f>IFERROR(tblSales[[#This Row],[NetSalesTRY]]/tblSales[[#This Row],[TargetTRY]],0)</f>
        <v>0.93828676262292421</v>
      </c>
      <c r="S980" s="6">
        <f>tblSales[[#This Row],[NetSalesTRY]]-tblSales[[#This Row],[TargetTRY]]</f>
        <v>-5718.5800000000017</v>
      </c>
      <c r="T980" s="6">
        <f>MAX(tblSales[[#This Row],[TargetTRY]]-tblSales[[#This Row],[NetSalesTRY]],0)</f>
        <v>5718.5800000000017</v>
      </c>
    </row>
    <row r="981" spans="1:20">
      <c r="A981" t="s">
        <v>1369</v>
      </c>
      <c r="B981" s="15">
        <v>45901</v>
      </c>
      <c r="C981" t="s">
        <v>21</v>
      </c>
      <c r="D981" t="s">
        <v>22</v>
      </c>
      <c r="E981" t="s">
        <v>46</v>
      </c>
      <c r="F981" t="s">
        <v>44</v>
      </c>
      <c r="G981" t="s">
        <v>14</v>
      </c>
      <c r="H981" s="8">
        <v>85</v>
      </c>
      <c r="I981" s="9">
        <v>93256.03</v>
      </c>
      <c r="J981" s="9">
        <v>3687.23</v>
      </c>
      <c r="K981" s="9">
        <v>394.06</v>
      </c>
      <c r="L981" s="9">
        <v>89174.75</v>
      </c>
      <c r="M981" s="9">
        <v>91369.93</v>
      </c>
      <c r="N981" s="6" t="str">
        <f>_xlfn.XLOOKUP(tblSales[[#This Row],[ProductID]],tblProducts[ProductID],tblProducts[ProductName],"Not Found")</f>
        <v>NeuroCalm</v>
      </c>
      <c r="O981" s="8">
        <f>YEAR(tblSales[[#This Row],[Month]])</f>
        <v>2025</v>
      </c>
      <c r="P981" s="8">
        <f>MONTH(tblSales[[#This Row],[Month]])</f>
        <v>9</v>
      </c>
      <c r="Q981" s="6">
        <f>IFERROR(tblSales[[#This Row],[NetSalesTRY]]/tblSales[[#This Row],[Units]],0)</f>
        <v>1049.1147058823528</v>
      </c>
      <c r="R981" s="17">
        <f>IFERROR(tblSales[[#This Row],[NetSalesTRY]]/tblSales[[#This Row],[TargetTRY]],0)</f>
        <v>0.97597480921786861</v>
      </c>
      <c r="S981" s="6">
        <f>tblSales[[#This Row],[NetSalesTRY]]-tblSales[[#This Row],[TargetTRY]]</f>
        <v>-2195.179999999993</v>
      </c>
      <c r="T981" s="6">
        <f>MAX(tblSales[[#This Row],[TargetTRY]]-tblSales[[#This Row],[NetSalesTRY]],0)</f>
        <v>2195.179999999993</v>
      </c>
    </row>
    <row r="982" spans="1:20">
      <c r="A982" t="s">
        <v>1370</v>
      </c>
      <c r="B982" s="15">
        <v>45901</v>
      </c>
      <c r="C982" t="s">
        <v>21</v>
      </c>
      <c r="D982" t="s">
        <v>22</v>
      </c>
      <c r="E982" t="s">
        <v>49</v>
      </c>
      <c r="F982" t="s">
        <v>47</v>
      </c>
      <c r="G982" t="s">
        <v>5</v>
      </c>
      <c r="H982" s="8">
        <v>108</v>
      </c>
      <c r="I982" s="9">
        <v>106971.01</v>
      </c>
      <c r="J982" s="9">
        <v>7939.81</v>
      </c>
      <c r="K982" s="9">
        <v>650.28</v>
      </c>
      <c r="L982" s="9">
        <v>98380.93</v>
      </c>
      <c r="M982" s="9">
        <v>125996.73</v>
      </c>
      <c r="N982" s="6" t="str">
        <f>_xlfn.XLOOKUP(tblSales[[#This Row],[ProductID]],tblProducts[ProductID],tblProducts[ProductName],"Not Found")</f>
        <v>Cardiovan</v>
      </c>
      <c r="O982" s="8">
        <f>YEAR(tblSales[[#This Row],[Month]])</f>
        <v>2025</v>
      </c>
      <c r="P982" s="8">
        <f>MONTH(tblSales[[#This Row],[Month]])</f>
        <v>9</v>
      </c>
      <c r="Q982" s="6">
        <f>IFERROR(tblSales[[#This Row],[NetSalesTRY]]/tblSales[[#This Row],[Units]],0)</f>
        <v>910.93453703703699</v>
      </c>
      <c r="R982" s="17">
        <f>IFERROR(tblSales[[#This Row],[NetSalesTRY]]/tblSales[[#This Row],[TargetTRY]],0)</f>
        <v>0.78082129591775906</v>
      </c>
      <c r="S982" s="6">
        <f>tblSales[[#This Row],[NetSalesTRY]]-tblSales[[#This Row],[TargetTRY]]</f>
        <v>-27615.800000000003</v>
      </c>
      <c r="T982" s="6">
        <f>MAX(tblSales[[#This Row],[TargetTRY]]-tblSales[[#This Row],[NetSalesTRY]],0)</f>
        <v>27615.800000000003</v>
      </c>
    </row>
    <row r="983" spans="1:20">
      <c r="A983" t="s">
        <v>1371</v>
      </c>
      <c r="B983" s="15">
        <v>45901</v>
      </c>
      <c r="C983" t="s">
        <v>21</v>
      </c>
      <c r="D983" t="s">
        <v>22</v>
      </c>
      <c r="E983" t="s">
        <v>49</v>
      </c>
      <c r="F983" t="s">
        <v>47</v>
      </c>
      <c r="G983" t="s">
        <v>8</v>
      </c>
      <c r="H983" s="8">
        <v>153</v>
      </c>
      <c r="I983" s="9">
        <v>117524.65</v>
      </c>
      <c r="J983" s="9">
        <v>4901.5600000000004</v>
      </c>
      <c r="K983" s="9">
        <v>875.21</v>
      </c>
      <c r="L983" s="9">
        <v>111747.89</v>
      </c>
      <c r="M983" s="9">
        <v>113520.63</v>
      </c>
      <c r="N983" s="6" t="str">
        <f>_xlfn.XLOOKUP(tblSales[[#This Row],[ProductID]],tblProducts[ProductID],tblProducts[ProductName],"Not Found")</f>
        <v>GlucoRelief</v>
      </c>
      <c r="O983" s="8">
        <f>YEAR(tblSales[[#This Row],[Month]])</f>
        <v>2025</v>
      </c>
      <c r="P983" s="8">
        <f>MONTH(tblSales[[#This Row],[Month]])</f>
        <v>9</v>
      </c>
      <c r="Q983" s="6">
        <f>IFERROR(tblSales[[#This Row],[NetSalesTRY]]/tblSales[[#This Row],[Units]],0)</f>
        <v>730.37836601307185</v>
      </c>
      <c r="R983" s="17">
        <f>IFERROR(tblSales[[#This Row],[NetSalesTRY]]/tblSales[[#This Row],[TargetTRY]],0)</f>
        <v>0.98438398377457903</v>
      </c>
      <c r="S983" s="6">
        <f>tblSales[[#This Row],[NetSalesTRY]]-tblSales[[#This Row],[TargetTRY]]</f>
        <v>-1772.7400000000052</v>
      </c>
      <c r="T983" s="6">
        <f>MAX(tblSales[[#This Row],[TargetTRY]]-tblSales[[#This Row],[NetSalesTRY]],0)</f>
        <v>1772.7400000000052</v>
      </c>
    </row>
    <row r="984" spans="1:20">
      <c r="A984" t="s">
        <v>1372</v>
      </c>
      <c r="B984" s="15">
        <v>45901</v>
      </c>
      <c r="C984" t="s">
        <v>21</v>
      </c>
      <c r="D984" t="s">
        <v>22</v>
      </c>
      <c r="E984" t="s">
        <v>49</v>
      </c>
      <c r="F984" t="s">
        <v>47</v>
      </c>
      <c r="G984" t="s">
        <v>11</v>
      </c>
      <c r="H984" s="8">
        <v>169</v>
      </c>
      <c r="I984" s="9">
        <v>105119.82</v>
      </c>
      <c r="J984" s="9">
        <v>5926.19</v>
      </c>
      <c r="K984" s="9">
        <v>1136.82</v>
      </c>
      <c r="L984" s="9">
        <v>98056.82</v>
      </c>
      <c r="M984" s="9">
        <v>104206.72</v>
      </c>
      <c r="N984" s="6" t="str">
        <f>_xlfn.XLOOKUP(tblSales[[#This Row],[ProductID]],tblProducts[ProductID],tblProducts[ProductName],"Not Found")</f>
        <v>RespiraX</v>
      </c>
      <c r="O984" s="8">
        <f>YEAR(tblSales[[#This Row],[Month]])</f>
        <v>2025</v>
      </c>
      <c r="P984" s="8">
        <f>MONTH(tblSales[[#This Row],[Month]])</f>
        <v>9</v>
      </c>
      <c r="Q984" s="6">
        <f>IFERROR(tblSales[[#This Row],[NetSalesTRY]]/tblSales[[#This Row],[Units]],0)</f>
        <v>580.21786982248523</v>
      </c>
      <c r="R984" s="17">
        <f>IFERROR(tblSales[[#This Row],[NetSalesTRY]]/tblSales[[#This Row],[TargetTRY]],0)</f>
        <v>0.94098365249381233</v>
      </c>
      <c r="S984" s="6">
        <f>tblSales[[#This Row],[NetSalesTRY]]-tblSales[[#This Row],[TargetTRY]]</f>
        <v>-6149.8999999999942</v>
      </c>
      <c r="T984" s="6">
        <f>MAX(tblSales[[#This Row],[TargetTRY]]-tblSales[[#This Row],[NetSalesTRY]],0)</f>
        <v>6149.8999999999942</v>
      </c>
    </row>
    <row r="985" spans="1:20">
      <c r="A985" t="s">
        <v>1373</v>
      </c>
      <c r="B985" s="15">
        <v>45901</v>
      </c>
      <c r="C985" t="s">
        <v>21</v>
      </c>
      <c r="D985" t="s">
        <v>22</v>
      </c>
      <c r="E985" t="s">
        <v>49</v>
      </c>
      <c r="F985" t="s">
        <v>47</v>
      </c>
      <c r="G985" t="s">
        <v>14</v>
      </c>
      <c r="H985" s="8">
        <v>97</v>
      </c>
      <c r="I985" s="9">
        <v>108139.36</v>
      </c>
      <c r="J985" s="9">
        <v>7124.57</v>
      </c>
      <c r="K985" s="9">
        <v>759.21</v>
      </c>
      <c r="L985" s="9">
        <v>100255.58</v>
      </c>
      <c r="M985" s="9">
        <v>102555.97</v>
      </c>
      <c r="N985" s="6" t="str">
        <f>_xlfn.XLOOKUP(tblSales[[#This Row],[ProductID]],tblProducts[ProductID],tblProducts[ProductName],"Not Found")</f>
        <v>NeuroCalm</v>
      </c>
      <c r="O985" s="8">
        <f>YEAR(tblSales[[#This Row],[Month]])</f>
        <v>2025</v>
      </c>
      <c r="P985" s="8">
        <f>MONTH(tblSales[[#This Row],[Month]])</f>
        <v>9</v>
      </c>
      <c r="Q985" s="6">
        <f>IFERROR(tblSales[[#This Row],[NetSalesTRY]]/tblSales[[#This Row],[Units]],0)</f>
        <v>1033.5626804123713</v>
      </c>
      <c r="R985" s="17">
        <f>IFERROR(tblSales[[#This Row],[NetSalesTRY]]/tblSales[[#This Row],[TargetTRY]],0)</f>
        <v>0.97756941892314997</v>
      </c>
      <c r="S985" s="6">
        <f>tblSales[[#This Row],[NetSalesTRY]]-tblSales[[#This Row],[TargetTRY]]</f>
        <v>-2300.3899999999994</v>
      </c>
      <c r="T985" s="6">
        <f>MAX(tblSales[[#This Row],[TargetTRY]]-tblSales[[#This Row],[NetSalesTRY]],0)</f>
        <v>2300.3899999999994</v>
      </c>
    </row>
    <row r="986" spans="1:20">
      <c r="A986" t="s">
        <v>1374</v>
      </c>
      <c r="B986" s="15">
        <v>45901</v>
      </c>
      <c r="C986" t="s">
        <v>23</v>
      </c>
      <c r="D986" t="s">
        <v>24</v>
      </c>
      <c r="E986" t="s">
        <v>52</v>
      </c>
      <c r="F986" t="s">
        <v>50</v>
      </c>
      <c r="G986" t="s">
        <v>5</v>
      </c>
      <c r="H986" s="8">
        <v>133</v>
      </c>
      <c r="I986" s="9">
        <v>132139.59</v>
      </c>
      <c r="J986" s="9">
        <v>8585.99</v>
      </c>
      <c r="K986" s="9">
        <v>1362.2</v>
      </c>
      <c r="L986" s="9">
        <v>122191.4</v>
      </c>
      <c r="M986" s="9">
        <v>123193.04</v>
      </c>
      <c r="N986" s="6" t="str">
        <f>_xlfn.XLOOKUP(tblSales[[#This Row],[ProductID]],tblProducts[ProductID],tblProducts[ProductName],"Not Found")</f>
        <v>Cardiovan</v>
      </c>
      <c r="O986" s="8">
        <f>YEAR(tblSales[[#This Row],[Month]])</f>
        <v>2025</v>
      </c>
      <c r="P986" s="8">
        <f>MONTH(tblSales[[#This Row],[Month]])</f>
        <v>9</v>
      </c>
      <c r="Q986" s="6">
        <f>IFERROR(tblSales[[#This Row],[NetSalesTRY]]/tblSales[[#This Row],[Units]],0)</f>
        <v>918.73233082706759</v>
      </c>
      <c r="R986" s="17">
        <f>IFERROR(tblSales[[#This Row],[NetSalesTRY]]/tblSales[[#This Row],[TargetTRY]],0)</f>
        <v>0.99186934586564302</v>
      </c>
      <c r="S986" s="6">
        <f>tblSales[[#This Row],[NetSalesTRY]]-tblSales[[#This Row],[TargetTRY]]</f>
        <v>-1001.6399999999994</v>
      </c>
      <c r="T986" s="6">
        <f>MAX(tblSales[[#This Row],[TargetTRY]]-tblSales[[#This Row],[NetSalesTRY]],0)</f>
        <v>1001.6399999999994</v>
      </c>
    </row>
    <row r="987" spans="1:20">
      <c r="A987" t="s">
        <v>1375</v>
      </c>
      <c r="B987" s="15">
        <v>45901</v>
      </c>
      <c r="C987" t="s">
        <v>23</v>
      </c>
      <c r="D987" t="s">
        <v>24</v>
      </c>
      <c r="E987" t="s">
        <v>52</v>
      </c>
      <c r="F987" t="s">
        <v>50</v>
      </c>
      <c r="G987" t="s">
        <v>8</v>
      </c>
      <c r="H987" s="8">
        <v>153</v>
      </c>
      <c r="I987" s="9">
        <v>116106.62</v>
      </c>
      <c r="J987" s="9">
        <v>5974</v>
      </c>
      <c r="K987" s="9">
        <v>733.55</v>
      </c>
      <c r="L987" s="9">
        <v>109399.07</v>
      </c>
      <c r="M987" s="9">
        <v>112287.94</v>
      </c>
      <c r="N987" s="6" t="str">
        <f>_xlfn.XLOOKUP(tblSales[[#This Row],[ProductID]],tblProducts[ProductID],tblProducts[ProductName],"Not Found")</f>
        <v>GlucoRelief</v>
      </c>
      <c r="O987" s="8">
        <f>YEAR(tblSales[[#This Row],[Month]])</f>
        <v>2025</v>
      </c>
      <c r="P987" s="8">
        <f>MONTH(tblSales[[#This Row],[Month]])</f>
        <v>9</v>
      </c>
      <c r="Q987" s="6">
        <f>IFERROR(tblSales[[#This Row],[NetSalesTRY]]/tblSales[[#This Row],[Units]],0)</f>
        <v>715.02660130718959</v>
      </c>
      <c r="R987" s="17">
        <f>IFERROR(tblSales[[#This Row],[NetSalesTRY]]/tblSales[[#This Row],[TargetTRY]],0)</f>
        <v>0.97427266009154678</v>
      </c>
      <c r="S987" s="6">
        <f>tblSales[[#This Row],[NetSalesTRY]]-tblSales[[#This Row],[TargetTRY]]</f>
        <v>-2888.8699999999953</v>
      </c>
      <c r="T987" s="6">
        <f>MAX(tblSales[[#This Row],[TargetTRY]]-tblSales[[#This Row],[NetSalesTRY]],0)</f>
        <v>2888.8699999999953</v>
      </c>
    </row>
    <row r="988" spans="1:20">
      <c r="A988" t="s">
        <v>1376</v>
      </c>
      <c r="B988" s="15">
        <v>45901</v>
      </c>
      <c r="C988" t="s">
        <v>23</v>
      </c>
      <c r="D988" t="s">
        <v>24</v>
      </c>
      <c r="E988" t="s">
        <v>52</v>
      </c>
      <c r="F988" t="s">
        <v>50</v>
      </c>
      <c r="G988" t="s">
        <v>11</v>
      </c>
      <c r="H988" s="8">
        <v>175</v>
      </c>
      <c r="I988" s="9">
        <v>108567.01</v>
      </c>
      <c r="J988" s="9">
        <v>7805.95</v>
      </c>
      <c r="K988" s="9">
        <v>926.33</v>
      </c>
      <c r="L988" s="9">
        <v>99834.73</v>
      </c>
      <c r="M988" s="9">
        <v>104315.96</v>
      </c>
      <c r="N988" s="6" t="str">
        <f>_xlfn.XLOOKUP(tblSales[[#This Row],[ProductID]],tblProducts[ProductID],tblProducts[ProductName],"Not Found")</f>
        <v>RespiraX</v>
      </c>
      <c r="O988" s="8">
        <f>YEAR(tblSales[[#This Row],[Month]])</f>
        <v>2025</v>
      </c>
      <c r="P988" s="8">
        <f>MONTH(tblSales[[#This Row],[Month]])</f>
        <v>9</v>
      </c>
      <c r="Q988" s="6">
        <f>IFERROR(tblSales[[#This Row],[NetSalesTRY]]/tblSales[[#This Row],[Units]],0)</f>
        <v>570.48417142857136</v>
      </c>
      <c r="R988" s="17">
        <f>IFERROR(tblSales[[#This Row],[NetSalesTRY]]/tblSales[[#This Row],[TargetTRY]],0)</f>
        <v>0.95704176043627442</v>
      </c>
      <c r="S988" s="6">
        <f>tblSales[[#This Row],[NetSalesTRY]]-tblSales[[#This Row],[TargetTRY]]</f>
        <v>-4481.2300000000105</v>
      </c>
      <c r="T988" s="6">
        <f>MAX(tblSales[[#This Row],[TargetTRY]]-tblSales[[#This Row],[NetSalesTRY]],0)</f>
        <v>4481.2300000000105</v>
      </c>
    </row>
    <row r="989" spans="1:20">
      <c r="A989" t="s">
        <v>1377</v>
      </c>
      <c r="B989" s="15">
        <v>45901</v>
      </c>
      <c r="C989" t="s">
        <v>23</v>
      </c>
      <c r="D989" t="s">
        <v>24</v>
      </c>
      <c r="E989" t="s">
        <v>52</v>
      </c>
      <c r="F989" t="s">
        <v>50</v>
      </c>
      <c r="G989" t="s">
        <v>14</v>
      </c>
      <c r="H989" s="8">
        <v>101</v>
      </c>
      <c r="I989" s="9">
        <v>112680.92</v>
      </c>
      <c r="J989" s="9">
        <v>4974.7299999999996</v>
      </c>
      <c r="K989" s="9">
        <v>557.02</v>
      </c>
      <c r="L989" s="9">
        <v>107149.17</v>
      </c>
      <c r="M989" s="9">
        <v>103245.73</v>
      </c>
      <c r="N989" s="6" t="str">
        <f>_xlfn.XLOOKUP(tblSales[[#This Row],[ProductID]],tblProducts[ProductID],tblProducts[ProductName],"Not Found")</f>
        <v>NeuroCalm</v>
      </c>
      <c r="O989" s="8">
        <f>YEAR(tblSales[[#This Row],[Month]])</f>
        <v>2025</v>
      </c>
      <c r="P989" s="8">
        <f>MONTH(tblSales[[#This Row],[Month]])</f>
        <v>9</v>
      </c>
      <c r="Q989" s="6">
        <f>IFERROR(tblSales[[#This Row],[NetSalesTRY]]/tblSales[[#This Row],[Units]],0)</f>
        <v>1060.8828712871286</v>
      </c>
      <c r="R989" s="17">
        <f>IFERROR(tblSales[[#This Row],[NetSalesTRY]]/tblSales[[#This Row],[TargetTRY]],0)</f>
        <v>1.0378072778409335</v>
      </c>
      <c r="S989" s="6">
        <f>tblSales[[#This Row],[NetSalesTRY]]-tblSales[[#This Row],[TargetTRY]]</f>
        <v>3903.4400000000023</v>
      </c>
      <c r="T989" s="6">
        <f>MAX(tblSales[[#This Row],[TargetTRY]]-tblSales[[#This Row],[NetSalesTRY]],0)</f>
        <v>0</v>
      </c>
    </row>
    <row r="990" spans="1:20">
      <c r="A990" t="s">
        <v>1378</v>
      </c>
      <c r="B990" s="15">
        <v>45901</v>
      </c>
      <c r="C990" t="s">
        <v>23</v>
      </c>
      <c r="D990" t="s">
        <v>24</v>
      </c>
      <c r="E990" t="s">
        <v>55</v>
      </c>
      <c r="F990" t="s">
        <v>53</v>
      </c>
      <c r="G990" t="s">
        <v>5</v>
      </c>
      <c r="H990" s="8">
        <v>131</v>
      </c>
      <c r="I990" s="9">
        <v>130269.81</v>
      </c>
      <c r="J990" s="9">
        <v>7139.69</v>
      </c>
      <c r="K990" s="9">
        <v>1101.92</v>
      </c>
      <c r="L990" s="9">
        <v>122028.19</v>
      </c>
      <c r="M990" s="9">
        <v>126775.32</v>
      </c>
      <c r="N990" s="6" t="str">
        <f>_xlfn.XLOOKUP(tblSales[[#This Row],[ProductID]],tblProducts[ProductID],tblProducts[ProductName],"Not Found")</f>
        <v>Cardiovan</v>
      </c>
      <c r="O990" s="8">
        <f>YEAR(tblSales[[#This Row],[Month]])</f>
        <v>2025</v>
      </c>
      <c r="P990" s="8">
        <f>MONTH(tblSales[[#This Row],[Month]])</f>
        <v>9</v>
      </c>
      <c r="Q990" s="6">
        <f>IFERROR(tblSales[[#This Row],[NetSalesTRY]]/tblSales[[#This Row],[Units]],0)</f>
        <v>931.51290076335874</v>
      </c>
      <c r="R990" s="17">
        <f>IFERROR(tblSales[[#This Row],[NetSalesTRY]]/tblSales[[#This Row],[TargetTRY]],0)</f>
        <v>0.96255477801199785</v>
      </c>
      <c r="S990" s="6">
        <f>tblSales[[#This Row],[NetSalesTRY]]-tblSales[[#This Row],[TargetTRY]]</f>
        <v>-4747.1300000000047</v>
      </c>
      <c r="T990" s="6">
        <f>MAX(tblSales[[#This Row],[TargetTRY]]-tblSales[[#This Row],[NetSalesTRY]],0)</f>
        <v>4747.1300000000047</v>
      </c>
    </row>
    <row r="991" spans="1:20">
      <c r="A991" t="s">
        <v>1379</v>
      </c>
      <c r="B991" s="15">
        <v>45901</v>
      </c>
      <c r="C991" t="s">
        <v>23</v>
      </c>
      <c r="D991" t="s">
        <v>24</v>
      </c>
      <c r="E991" t="s">
        <v>55</v>
      </c>
      <c r="F991" t="s">
        <v>53</v>
      </c>
      <c r="G991" t="s">
        <v>8</v>
      </c>
      <c r="H991" s="8">
        <v>155</v>
      </c>
      <c r="I991" s="9">
        <v>119305.2</v>
      </c>
      <c r="J991" s="9">
        <v>6703.2</v>
      </c>
      <c r="K991" s="9">
        <v>1359.74</v>
      </c>
      <c r="L991" s="9">
        <v>111242.26</v>
      </c>
      <c r="M991" s="9">
        <v>113335.81</v>
      </c>
      <c r="N991" s="6" t="str">
        <f>_xlfn.XLOOKUP(tblSales[[#This Row],[ProductID]],tblProducts[ProductID],tblProducts[ProductName],"Not Found")</f>
        <v>GlucoRelief</v>
      </c>
      <c r="O991" s="8">
        <f>YEAR(tblSales[[#This Row],[Month]])</f>
        <v>2025</v>
      </c>
      <c r="P991" s="8">
        <f>MONTH(tblSales[[#This Row],[Month]])</f>
        <v>9</v>
      </c>
      <c r="Q991" s="6">
        <f>IFERROR(tblSales[[#This Row],[NetSalesTRY]]/tblSales[[#This Row],[Units]],0)</f>
        <v>717.69200000000001</v>
      </c>
      <c r="R991" s="17">
        <f>IFERROR(tblSales[[#This Row],[NetSalesTRY]]/tblSales[[#This Row],[TargetTRY]],0)</f>
        <v>0.98152790366963449</v>
      </c>
      <c r="S991" s="6">
        <f>tblSales[[#This Row],[NetSalesTRY]]-tblSales[[#This Row],[TargetTRY]]</f>
        <v>-2093.5500000000029</v>
      </c>
      <c r="T991" s="6">
        <f>MAX(tblSales[[#This Row],[TargetTRY]]-tblSales[[#This Row],[NetSalesTRY]],0)</f>
        <v>2093.5500000000029</v>
      </c>
    </row>
    <row r="992" spans="1:20">
      <c r="A992" t="s">
        <v>1380</v>
      </c>
      <c r="B992" s="15">
        <v>45901</v>
      </c>
      <c r="C992" t="s">
        <v>23</v>
      </c>
      <c r="D992" t="s">
        <v>24</v>
      </c>
      <c r="E992" t="s">
        <v>55</v>
      </c>
      <c r="F992" t="s">
        <v>53</v>
      </c>
      <c r="G992" t="s">
        <v>11</v>
      </c>
      <c r="H992" s="8">
        <v>183</v>
      </c>
      <c r="I992" s="9">
        <v>113870.57</v>
      </c>
      <c r="J992" s="9">
        <v>8396.01</v>
      </c>
      <c r="K992" s="9">
        <v>1434.13</v>
      </c>
      <c r="L992" s="9">
        <v>104040.43</v>
      </c>
      <c r="M992" s="9">
        <v>107031.76</v>
      </c>
      <c r="N992" s="6" t="str">
        <f>_xlfn.XLOOKUP(tblSales[[#This Row],[ProductID]],tblProducts[ProductID],tblProducts[ProductName],"Not Found")</f>
        <v>RespiraX</v>
      </c>
      <c r="O992" s="8">
        <f>YEAR(tblSales[[#This Row],[Month]])</f>
        <v>2025</v>
      </c>
      <c r="P992" s="8">
        <f>MONTH(tblSales[[#This Row],[Month]])</f>
        <v>9</v>
      </c>
      <c r="Q992" s="6">
        <f>IFERROR(tblSales[[#This Row],[NetSalesTRY]]/tblSales[[#This Row],[Units]],0)</f>
        <v>568.52693989071031</v>
      </c>
      <c r="R992" s="17">
        <f>IFERROR(tblSales[[#This Row],[NetSalesTRY]]/tblSales[[#This Row],[TargetTRY]],0)</f>
        <v>0.97205194047075372</v>
      </c>
      <c r="S992" s="6">
        <f>tblSales[[#This Row],[NetSalesTRY]]-tblSales[[#This Row],[TargetTRY]]</f>
        <v>-2991.3300000000017</v>
      </c>
      <c r="T992" s="6">
        <f>MAX(tblSales[[#This Row],[TargetTRY]]-tblSales[[#This Row],[NetSalesTRY]],0)</f>
        <v>2991.3300000000017</v>
      </c>
    </row>
    <row r="993" spans="1:20">
      <c r="A993" t="s">
        <v>1381</v>
      </c>
      <c r="B993" s="15">
        <v>45901</v>
      </c>
      <c r="C993" t="s">
        <v>23</v>
      </c>
      <c r="D993" t="s">
        <v>24</v>
      </c>
      <c r="E993" t="s">
        <v>55</v>
      </c>
      <c r="F993" t="s">
        <v>53</v>
      </c>
      <c r="G993" t="s">
        <v>14</v>
      </c>
      <c r="H993" s="8">
        <v>99</v>
      </c>
      <c r="I993" s="9">
        <v>107994.76</v>
      </c>
      <c r="J993" s="9">
        <v>4582.0200000000004</v>
      </c>
      <c r="K993" s="9">
        <v>492.83</v>
      </c>
      <c r="L993" s="9">
        <v>102919.9</v>
      </c>
      <c r="M993" s="9">
        <v>103629.28</v>
      </c>
      <c r="N993" s="6" t="str">
        <f>_xlfn.XLOOKUP(tblSales[[#This Row],[ProductID]],tblProducts[ProductID],tblProducts[ProductName],"Not Found")</f>
        <v>NeuroCalm</v>
      </c>
      <c r="O993" s="8">
        <f>YEAR(tblSales[[#This Row],[Month]])</f>
        <v>2025</v>
      </c>
      <c r="P993" s="8">
        <f>MONTH(tblSales[[#This Row],[Month]])</f>
        <v>9</v>
      </c>
      <c r="Q993" s="6">
        <f>IFERROR(tblSales[[#This Row],[NetSalesTRY]]/tblSales[[#This Row],[Units]],0)</f>
        <v>1039.5949494949493</v>
      </c>
      <c r="R993" s="17">
        <f>IFERROR(tblSales[[#This Row],[NetSalesTRY]]/tblSales[[#This Row],[TargetTRY]],0)</f>
        <v>0.9931546373766178</v>
      </c>
      <c r="S993" s="6">
        <f>tblSales[[#This Row],[NetSalesTRY]]-tblSales[[#This Row],[TargetTRY]]</f>
        <v>-709.38000000000466</v>
      </c>
      <c r="T993" s="6">
        <f>MAX(tblSales[[#This Row],[TargetTRY]]-tblSales[[#This Row],[NetSalesTRY]],0)</f>
        <v>709.38000000000466</v>
      </c>
    </row>
    <row r="994" spans="1:20">
      <c r="A994" t="s">
        <v>1382</v>
      </c>
      <c r="B994" s="15">
        <v>45901</v>
      </c>
      <c r="C994" t="s">
        <v>23</v>
      </c>
      <c r="D994" t="s">
        <v>24</v>
      </c>
      <c r="E994" t="s">
        <v>58</v>
      </c>
      <c r="F994" t="s">
        <v>56</v>
      </c>
      <c r="G994" t="s">
        <v>5</v>
      </c>
      <c r="H994" s="8">
        <v>139</v>
      </c>
      <c r="I994" s="9">
        <v>134474.37</v>
      </c>
      <c r="J994" s="9">
        <v>7903.86</v>
      </c>
      <c r="K994" s="9">
        <v>658.16</v>
      </c>
      <c r="L994" s="9">
        <v>125912.35</v>
      </c>
      <c r="M994" s="9">
        <v>127005.5</v>
      </c>
      <c r="N994" s="6" t="str">
        <f>_xlfn.XLOOKUP(tblSales[[#This Row],[ProductID]],tblProducts[ProductID],tblProducts[ProductName],"Not Found")</f>
        <v>Cardiovan</v>
      </c>
      <c r="O994" s="8">
        <f>YEAR(tblSales[[#This Row],[Month]])</f>
        <v>2025</v>
      </c>
      <c r="P994" s="8">
        <f>MONTH(tblSales[[#This Row],[Month]])</f>
        <v>9</v>
      </c>
      <c r="Q994" s="6">
        <f>IFERROR(tblSales[[#This Row],[NetSalesTRY]]/tblSales[[#This Row],[Units]],0)</f>
        <v>905.8442446043166</v>
      </c>
      <c r="R994" s="17">
        <f>IFERROR(tblSales[[#This Row],[NetSalesTRY]]/tblSales[[#This Row],[TargetTRY]],0)</f>
        <v>0.99139289243379225</v>
      </c>
      <c r="S994" s="6">
        <f>tblSales[[#This Row],[NetSalesTRY]]-tblSales[[#This Row],[TargetTRY]]</f>
        <v>-1093.1499999999942</v>
      </c>
      <c r="T994" s="6">
        <f>MAX(tblSales[[#This Row],[TargetTRY]]-tblSales[[#This Row],[NetSalesTRY]],0)</f>
        <v>1093.1499999999942</v>
      </c>
    </row>
    <row r="995" spans="1:20">
      <c r="A995" t="s">
        <v>1383</v>
      </c>
      <c r="B995" s="15">
        <v>45901</v>
      </c>
      <c r="C995" t="s">
        <v>23</v>
      </c>
      <c r="D995" t="s">
        <v>24</v>
      </c>
      <c r="E995" t="s">
        <v>58</v>
      </c>
      <c r="F995" t="s">
        <v>56</v>
      </c>
      <c r="G995" t="s">
        <v>8</v>
      </c>
      <c r="H995" s="8">
        <v>160</v>
      </c>
      <c r="I995" s="9">
        <v>123146.52</v>
      </c>
      <c r="J995" s="9">
        <v>7941.05</v>
      </c>
      <c r="K995" s="9">
        <v>1703.28</v>
      </c>
      <c r="L995" s="9">
        <v>113502.19</v>
      </c>
      <c r="M995" s="9">
        <v>116098.66</v>
      </c>
      <c r="N995" s="6" t="str">
        <f>_xlfn.XLOOKUP(tblSales[[#This Row],[ProductID]],tblProducts[ProductID],tblProducts[ProductName],"Not Found")</f>
        <v>GlucoRelief</v>
      </c>
      <c r="O995" s="8">
        <f>YEAR(tblSales[[#This Row],[Month]])</f>
        <v>2025</v>
      </c>
      <c r="P995" s="8">
        <f>MONTH(tblSales[[#This Row],[Month]])</f>
        <v>9</v>
      </c>
      <c r="Q995" s="6">
        <f>IFERROR(tblSales[[#This Row],[NetSalesTRY]]/tblSales[[#This Row],[Units]],0)</f>
        <v>709.38868750000006</v>
      </c>
      <c r="R995" s="17">
        <f>IFERROR(tblSales[[#This Row],[NetSalesTRY]]/tblSales[[#This Row],[TargetTRY]],0)</f>
        <v>0.97763565918848672</v>
      </c>
      <c r="S995" s="6">
        <f>tblSales[[#This Row],[NetSalesTRY]]-tblSales[[#This Row],[TargetTRY]]</f>
        <v>-2596.4700000000012</v>
      </c>
      <c r="T995" s="6">
        <f>MAX(tblSales[[#This Row],[TargetTRY]]-tblSales[[#This Row],[NetSalesTRY]],0)</f>
        <v>2596.4700000000012</v>
      </c>
    </row>
    <row r="996" spans="1:20">
      <c r="A996" t="s">
        <v>1384</v>
      </c>
      <c r="B996" s="15">
        <v>45901</v>
      </c>
      <c r="C996" t="s">
        <v>23</v>
      </c>
      <c r="D996" t="s">
        <v>24</v>
      </c>
      <c r="E996" t="s">
        <v>58</v>
      </c>
      <c r="F996" t="s">
        <v>56</v>
      </c>
      <c r="G996" t="s">
        <v>11</v>
      </c>
      <c r="H996" s="8">
        <v>193</v>
      </c>
      <c r="I996" s="9">
        <v>120931.32</v>
      </c>
      <c r="J996" s="9">
        <v>8286.0300000000007</v>
      </c>
      <c r="K996" s="9">
        <v>640.87</v>
      </c>
      <c r="L996" s="9">
        <v>112004.41</v>
      </c>
      <c r="M996" s="9">
        <v>110430.88</v>
      </c>
      <c r="N996" s="6" t="str">
        <f>_xlfn.XLOOKUP(tblSales[[#This Row],[ProductID]],tblProducts[ProductID],tblProducts[ProductName],"Not Found")</f>
        <v>RespiraX</v>
      </c>
      <c r="O996" s="8">
        <f>YEAR(tblSales[[#This Row],[Month]])</f>
        <v>2025</v>
      </c>
      <c r="P996" s="8">
        <f>MONTH(tblSales[[#This Row],[Month]])</f>
        <v>9</v>
      </c>
      <c r="Q996" s="6">
        <f>IFERROR(tblSales[[#This Row],[NetSalesTRY]]/tblSales[[#This Row],[Units]],0)</f>
        <v>580.33373056994822</v>
      </c>
      <c r="R996" s="17">
        <f>IFERROR(tblSales[[#This Row],[NetSalesTRY]]/tblSales[[#This Row],[TargetTRY]],0)</f>
        <v>1.0142490035395897</v>
      </c>
      <c r="S996" s="6">
        <f>tblSales[[#This Row],[NetSalesTRY]]-tblSales[[#This Row],[TargetTRY]]</f>
        <v>1573.5299999999988</v>
      </c>
      <c r="T996" s="6">
        <f>MAX(tblSales[[#This Row],[TargetTRY]]-tblSales[[#This Row],[NetSalesTRY]],0)</f>
        <v>0</v>
      </c>
    </row>
    <row r="997" spans="1:20">
      <c r="A997" t="s">
        <v>1385</v>
      </c>
      <c r="B997" s="15">
        <v>45901</v>
      </c>
      <c r="C997" t="s">
        <v>23</v>
      </c>
      <c r="D997" t="s">
        <v>24</v>
      </c>
      <c r="E997" t="s">
        <v>58</v>
      </c>
      <c r="F997" t="s">
        <v>56</v>
      </c>
      <c r="G997" t="s">
        <v>14</v>
      </c>
      <c r="H997" s="8">
        <v>96</v>
      </c>
      <c r="I997" s="9">
        <v>104026.24000000001</v>
      </c>
      <c r="J997" s="9">
        <v>7345.4</v>
      </c>
      <c r="K997" s="9">
        <v>437.34</v>
      </c>
      <c r="L997" s="9">
        <v>96243.5</v>
      </c>
      <c r="M997" s="9">
        <v>105583.18</v>
      </c>
      <c r="N997" s="6" t="str">
        <f>_xlfn.XLOOKUP(tblSales[[#This Row],[ProductID]],tblProducts[ProductID],tblProducts[ProductName],"Not Found")</f>
        <v>NeuroCalm</v>
      </c>
      <c r="O997" s="8">
        <f>YEAR(tblSales[[#This Row],[Month]])</f>
        <v>2025</v>
      </c>
      <c r="P997" s="8">
        <f>MONTH(tblSales[[#This Row],[Month]])</f>
        <v>9</v>
      </c>
      <c r="Q997" s="6">
        <f>IFERROR(tblSales[[#This Row],[NetSalesTRY]]/tblSales[[#This Row],[Units]],0)</f>
        <v>1002.5364583333334</v>
      </c>
      <c r="R997" s="17">
        <f>IFERROR(tblSales[[#This Row],[NetSalesTRY]]/tblSales[[#This Row],[TargetTRY]],0)</f>
        <v>0.9115419709843936</v>
      </c>
      <c r="S997" s="6">
        <f>tblSales[[#This Row],[NetSalesTRY]]-tblSales[[#This Row],[TargetTRY]]</f>
        <v>-9339.679999999993</v>
      </c>
      <c r="T997" s="6">
        <f>MAX(tblSales[[#This Row],[TargetTRY]]-tblSales[[#This Row],[NetSalesTRY]],0)</f>
        <v>9339.679999999993</v>
      </c>
    </row>
    <row r="998" spans="1:20">
      <c r="A998" t="s">
        <v>1386</v>
      </c>
      <c r="B998" s="15">
        <v>45901</v>
      </c>
      <c r="C998" t="s">
        <v>25</v>
      </c>
      <c r="D998" t="s">
        <v>26</v>
      </c>
      <c r="E998" t="s">
        <v>61</v>
      </c>
      <c r="F998" t="s">
        <v>59</v>
      </c>
      <c r="G998" t="s">
        <v>5</v>
      </c>
      <c r="H998" s="8">
        <v>109</v>
      </c>
      <c r="I998" s="9">
        <v>107195.22</v>
      </c>
      <c r="J998" s="9">
        <v>6360.94</v>
      </c>
      <c r="K998" s="9">
        <v>781.81</v>
      </c>
      <c r="L998" s="9">
        <v>100052.46</v>
      </c>
      <c r="M998" s="9">
        <v>100220.19</v>
      </c>
      <c r="N998" s="6" t="str">
        <f>_xlfn.XLOOKUP(tblSales[[#This Row],[ProductID]],tblProducts[ProductID],tblProducts[ProductName],"Not Found")</f>
        <v>Cardiovan</v>
      </c>
      <c r="O998" s="8">
        <f>YEAR(tblSales[[#This Row],[Month]])</f>
        <v>2025</v>
      </c>
      <c r="P998" s="8">
        <f>MONTH(tblSales[[#This Row],[Month]])</f>
        <v>9</v>
      </c>
      <c r="Q998" s="6">
        <f>IFERROR(tblSales[[#This Row],[NetSalesTRY]]/tblSales[[#This Row],[Units]],0)</f>
        <v>917.9124770642203</v>
      </c>
      <c r="R998" s="17">
        <f>IFERROR(tblSales[[#This Row],[NetSalesTRY]]/tblSales[[#This Row],[TargetTRY]],0)</f>
        <v>0.99832638513257665</v>
      </c>
      <c r="S998" s="6">
        <f>tblSales[[#This Row],[NetSalesTRY]]-tblSales[[#This Row],[TargetTRY]]</f>
        <v>-167.72999999999593</v>
      </c>
      <c r="T998" s="6">
        <f>MAX(tblSales[[#This Row],[TargetTRY]]-tblSales[[#This Row],[NetSalesTRY]],0)</f>
        <v>167.72999999999593</v>
      </c>
    </row>
    <row r="999" spans="1:20">
      <c r="A999" t="s">
        <v>1387</v>
      </c>
      <c r="B999" s="15">
        <v>45901</v>
      </c>
      <c r="C999" t="s">
        <v>25</v>
      </c>
      <c r="D999" t="s">
        <v>26</v>
      </c>
      <c r="E999" t="s">
        <v>61</v>
      </c>
      <c r="F999" t="s">
        <v>59</v>
      </c>
      <c r="G999" t="s">
        <v>8</v>
      </c>
      <c r="H999" s="8">
        <v>124</v>
      </c>
      <c r="I999" s="9">
        <v>95538.51</v>
      </c>
      <c r="J999" s="9">
        <v>3377.76</v>
      </c>
      <c r="K999" s="9">
        <v>696.9</v>
      </c>
      <c r="L999" s="9">
        <v>91463.86</v>
      </c>
      <c r="M999" s="9">
        <v>92316.52</v>
      </c>
      <c r="N999" s="6" t="str">
        <f>_xlfn.XLOOKUP(tblSales[[#This Row],[ProductID]],tblProducts[ProductID],tblProducts[ProductName],"Not Found")</f>
        <v>GlucoRelief</v>
      </c>
      <c r="O999" s="8">
        <f>YEAR(tblSales[[#This Row],[Month]])</f>
        <v>2025</v>
      </c>
      <c r="P999" s="8">
        <f>MONTH(tblSales[[#This Row],[Month]])</f>
        <v>9</v>
      </c>
      <c r="Q999" s="6">
        <f>IFERROR(tblSales[[#This Row],[NetSalesTRY]]/tblSales[[#This Row],[Units]],0)</f>
        <v>737.6117741935484</v>
      </c>
      <c r="R999" s="17">
        <f>IFERROR(tblSales[[#This Row],[NetSalesTRY]]/tblSales[[#This Row],[TargetTRY]],0)</f>
        <v>0.99076373329497247</v>
      </c>
      <c r="S999" s="6">
        <f>tblSales[[#This Row],[NetSalesTRY]]-tblSales[[#This Row],[TargetTRY]]</f>
        <v>-852.66000000000349</v>
      </c>
      <c r="T999" s="6">
        <f>MAX(tblSales[[#This Row],[TargetTRY]]-tblSales[[#This Row],[NetSalesTRY]],0)</f>
        <v>852.66000000000349</v>
      </c>
    </row>
    <row r="1000" spans="1:20">
      <c r="A1000" t="s">
        <v>1388</v>
      </c>
      <c r="B1000" s="15">
        <v>45901</v>
      </c>
      <c r="C1000" t="s">
        <v>25</v>
      </c>
      <c r="D1000" t="s">
        <v>26</v>
      </c>
      <c r="E1000" t="s">
        <v>61</v>
      </c>
      <c r="F1000" t="s">
        <v>59</v>
      </c>
      <c r="G1000" t="s">
        <v>11</v>
      </c>
      <c r="H1000" s="8">
        <v>140</v>
      </c>
      <c r="I1000" s="9">
        <v>85652.01</v>
      </c>
      <c r="J1000" s="9">
        <v>3731.55</v>
      </c>
      <c r="K1000" s="9">
        <v>1127.42</v>
      </c>
      <c r="L1000" s="9">
        <v>80793.03</v>
      </c>
      <c r="M1000" s="9">
        <v>85784.320000000007</v>
      </c>
      <c r="N1000" s="6" t="str">
        <f>_xlfn.XLOOKUP(tblSales[[#This Row],[ProductID]],tblProducts[ProductID],tblProducts[ProductName],"Not Found")</f>
        <v>RespiraX</v>
      </c>
      <c r="O1000" s="8">
        <f>YEAR(tblSales[[#This Row],[Month]])</f>
        <v>2025</v>
      </c>
      <c r="P1000" s="8">
        <f>MONTH(tblSales[[#This Row],[Month]])</f>
        <v>9</v>
      </c>
      <c r="Q1000" s="6">
        <f>IFERROR(tblSales[[#This Row],[NetSalesTRY]]/tblSales[[#This Row],[Units]],0)</f>
        <v>577.09307142857142</v>
      </c>
      <c r="R1000" s="17">
        <f>IFERROR(tblSales[[#This Row],[NetSalesTRY]]/tblSales[[#This Row],[TargetTRY]],0)</f>
        <v>0.94181582368432826</v>
      </c>
      <c r="S1000" s="6">
        <f>tblSales[[#This Row],[NetSalesTRY]]-tblSales[[#This Row],[TargetTRY]]</f>
        <v>-4991.2900000000081</v>
      </c>
      <c r="T1000" s="6">
        <f>MAX(tblSales[[#This Row],[TargetTRY]]-tblSales[[#This Row],[NetSalesTRY]],0)</f>
        <v>4991.2900000000081</v>
      </c>
    </row>
    <row r="1001" spans="1:20">
      <c r="A1001" t="s">
        <v>1389</v>
      </c>
      <c r="B1001" s="15">
        <v>45901</v>
      </c>
      <c r="C1001" t="s">
        <v>25</v>
      </c>
      <c r="D1001" t="s">
        <v>26</v>
      </c>
      <c r="E1001" t="s">
        <v>61</v>
      </c>
      <c r="F1001" t="s">
        <v>59</v>
      </c>
      <c r="G1001" t="s">
        <v>14</v>
      </c>
      <c r="H1001" s="8">
        <v>80</v>
      </c>
      <c r="I1001" s="9">
        <v>86820.72</v>
      </c>
      <c r="J1001" s="9">
        <v>6378.45</v>
      </c>
      <c r="K1001" s="9">
        <v>1065.6099999999999</v>
      </c>
      <c r="L1001" s="9">
        <v>79376.66</v>
      </c>
      <c r="M1001" s="9">
        <v>83041.03</v>
      </c>
      <c r="N1001" s="6" t="str">
        <f>_xlfn.XLOOKUP(tblSales[[#This Row],[ProductID]],tblProducts[ProductID],tblProducts[ProductName],"Not Found")</f>
        <v>NeuroCalm</v>
      </c>
      <c r="O1001" s="8">
        <f>YEAR(tblSales[[#This Row],[Month]])</f>
        <v>2025</v>
      </c>
      <c r="P1001" s="8">
        <f>MONTH(tblSales[[#This Row],[Month]])</f>
        <v>9</v>
      </c>
      <c r="Q1001" s="6">
        <f>IFERROR(tblSales[[#This Row],[NetSalesTRY]]/tblSales[[#This Row],[Units]],0)</f>
        <v>992.20825000000002</v>
      </c>
      <c r="R1001" s="17">
        <f>IFERROR(tblSales[[#This Row],[NetSalesTRY]]/tblSales[[#This Row],[TargetTRY]],0)</f>
        <v>0.95587277758958433</v>
      </c>
      <c r="S1001" s="6">
        <f>tblSales[[#This Row],[NetSalesTRY]]-tblSales[[#This Row],[TargetTRY]]</f>
        <v>-3664.3699999999953</v>
      </c>
      <c r="T1001" s="6">
        <f>MAX(tblSales[[#This Row],[TargetTRY]]-tblSales[[#This Row],[NetSalesTRY]],0)</f>
        <v>3664.3699999999953</v>
      </c>
    </row>
    <row r="1002" spans="1:20">
      <c r="A1002" t="s">
        <v>1390</v>
      </c>
      <c r="B1002" s="15">
        <v>45901</v>
      </c>
      <c r="C1002" t="s">
        <v>25</v>
      </c>
      <c r="D1002" t="s">
        <v>26</v>
      </c>
      <c r="E1002" t="s">
        <v>64</v>
      </c>
      <c r="F1002" t="s">
        <v>62</v>
      </c>
      <c r="G1002" t="s">
        <v>5</v>
      </c>
      <c r="H1002" s="8">
        <v>104</v>
      </c>
      <c r="I1002" s="9">
        <v>100675.03</v>
      </c>
      <c r="J1002" s="9">
        <v>6457.28</v>
      </c>
      <c r="K1002" s="9">
        <v>625.12</v>
      </c>
      <c r="L1002" s="9">
        <v>93592.63</v>
      </c>
      <c r="M1002" s="9">
        <v>99264.68</v>
      </c>
      <c r="N1002" s="6" t="str">
        <f>_xlfn.XLOOKUP(tblSales[[#This Row],[ProductID]],tblProducts[ProductID],tblProducts[ProductName],"Not Found")</f>
        <v>Cardiovan</v>
      </c>
      <c r="O1002" s="8">
        <f>YEAR(tblSales[[#This Row],[Month]])</f>
        <v>2025</v>
      </c>
      <c r="P1002" s="8">
        <f>MONTH(tblSales[[#This Row],[Month]])</f>
        <v>9</v>
      </c>
      <c r="Q1002" s="6">
        <f>IFERROR(tblSales[[#This Row],[NetSalesTRY]]/tblSales[[#This Row],[Units]],0)</f>
        <v>899.92913461538467</v>
      </c>
      <c r="R1002" s="17">
        <f>IFERROR(tblSales[[#This Row],[NetSalesTRY]]/tblSales[[#This Row],[TargetTRY]],0)</f>
        <v>0.94285933324924853</v>
      </c>
      <c r="S1002" s="6">
        <f>tblSales[[#This Row],[NetSalesTRY]]-tblSales[[#This Row],[TargetTRY]]</f>
        <v>-5672.0499999999884</v>
      </c>
      <c r="T1002" s="6">
        <f>MAX(tblSales[[#This Row],[TargetTRY]]-tblSales[[#This Row],[NetSalesTRY]],0)</f>
        <v>5672.0499999999884</v>
      </c>
    </row>
    <row r="1003" spans="1:20">
      <c r="A1003" t="s">
        <v>1391</v>
      </c>
      <c r="B1003" s="15">
        <v>45901</v>
      </c>
      <c r="C1003" t="s">
        <v>25</v>
      </c>
      <c r="D1003" t="s">
        <v>26</v>
      </c>
      <c r="E1003" t="s">
        <v>64</v>
      </c>
      <c r="F1003" t="s">
        <v>62</v>
      </c>
      <c r="G1003" t="s">
        <v>8</v>
      </c>
      <c r="H1003" s="8">
        <v>124</v>
      </c>
      <c r="I1003" s="9">
        <v>93171.13</v>
      </c>
      <c r="J1003" s="9">
        <v>3807.72</v>
      </c>
      <c r="K1003" s="9">
        <v>933.81</v>
      </c>
      <c r="L1003" s="9">
        <v>88429.6</v>
      </c>
      <c r="M1003" s="9">
        <v>91486.85</v>
      </c>
      <c r="N1003" s="6" t="str">
        <f>_xlfn.XLOOKUP(tblSales[[#This Row],[ProductID]],tblProducts[ProductID],tblProducts[ProductName],"Not Found")</f>
        <v>GlucoRelief</v>
      </c>
      <c r="O1003" s="8">
        <f>YEAR(tblSales[[#This Row],[Month]])</f>
        <v>2025</v>
      </c>
      <c r="P1003" s="8">
        <f>MONTH(tblSales[[#This Row],[Month]])</f>
        <v>9</v>
      </c>
      <c r="Q1003" s="6">
        <f>IFERROR(tblSales[[#This Row],[NetSalesTRY]]/tblSales[[#This Row],[Units]],0)</f>
        <v>713.14193548387107</v>
      </c>
      <c r="R1003" s="17">
        <f>IFERROR(tblSales[[#This Row],[NetSalesTRY]]/tblSales[[#This Row],[TargetTRY]],0)</f>
        <v>0.96658262908822412</v>
      </c>
      <c r="S1003" s="6">
        <f>tblSales[[#This Row],[NetSalesTRY]]-tblSales[[#This Row],[TargetTRY]]</f>
        <v>-3057.25</v>
      </c>
      <c r="T1003" s="6">
        <f>MAX(tblSales[[#This Row],[TargetTRY]]-tblSales[[#This Row],[NetSalesTRY]],0)</f>
        <v>3057.25</v>
      </c>
    </row>
    <row r="1004" spans="1:20">
      <c r="A1004" t="s">
        <v>1392</v>
      </c>
      <c r="B1004" s="15">
        <v>45901</v>
      </c>
      <c r="C1004" t="s">
        <v>25</v>
      </c>
      <c r="D1004" t="s">
        <v>26</v>
      </c>
      <c r="E1004" t="s">
        <v>64</v>
      </c>
      <c r="F1004" t="s">
        <v>62</v>
      </c>
      <c r="G1004" t="s">
        <v>11</v>
      </c>
      <c r="H1004" s="8">
        <v>134</v>
      </c>
      <c r="I1004" s="9">
        <v>82656.08</v>
      </c>
      <c r="J1004" s="9">
        <v>4901.9799999999996</v>
      </c>
      <c r="K1004" s="9">
        <v>719.02</v>
      </c>
      <c r="L1004" s="9">
        <v>77035.08</v>
      </c>
      <c r="M1004" s="9">
        <v>85644.64</v>
      </c>
      <c r="N1004" s="6" t="str">
        <f>_xlfn.XLOOKUP(tblSales[[#This Row],[ProductID]],tblProducts[ProductID],tblProducts[ProductName],"Not Found")</f>
        <v>RespiraX</v>
      </c>
      <c r="O1004" s="8">
        <f>YEAR(tblSales[[#This Row],[Month]])</f>
        <v>2025</v>
      </c>
      <c r="P1004" s="8">
        <f>MONTH(tblSales[[#This Row],[Month]])</f>
        <v>9</v>
      </c>
      <c r="Q1004" s="6">
        <f>IFERROR(tblSales[[#This Row],[NetSalesTRY]]/tblSales[[#This Row],[Units]],0)</f>
        <v>574.88865671641793</v>
      </c>
      <c r="R1004" s="17">
        <f>IFERROR(tblSales[[#This Row],[NetSalesTRY]]/tblSales[[#This Row],[TargetTRY]],0)</f>
        <v>0.89947345216233032</v>
      </c>
      <c r="S1004" s="6">
        <f>tblSales[[#This Row],[NetSalesTRY]]-tblSales[[#This Row],[TargetTRY]]</f>
        <v>-8609.5599999999977</v>
      </c>
      <c r="T1004" s="6">
        <f>MAX(tblSales[[#This Row],[TargetTRY]]-tblSales[[#This Row],[NetSalesTRY]],0)</f>
        <v>8609.5599999999977</v>
      </c>
    </row>
    <row r="1005" spans="1:20">
      <c r="A1005" t="s">
        <v>1393</v>
      </c>
      <c r="B1005" s="15">
        <v>45901</v>
      </c>
      <c r="C1005" t="s">
        <v>25</v>
      </c>
      <c r="D1005" t="s">
        <v>26</v>
      </c>
      <c r="E1005" t="s">
        <v>64</v>
      </c>
      <c r="F1005" t="s">
        <v>62</v>
      </c>
      <c r="G1005" t="s">
        <v>14</v>
      </c>
      <c r="H1005" s="8">
        <v>74</v>
      </c>
      <c r="I1005" s="9">
        <v>81033.25</v>
      </c>
      <c r="J1005" s="9">
        <v>4806.4399999999996</v>
      </c>
      <c r="K1005" s="9">
        <v>1067.1500000000001</v>
      </c>
      <c r="L1005" s="9">
        <v>75159.66</v>
      </c>
      <c r="M1005" s="9">
        <v>82499.06</v>
      </c>
      <c r="N1005" s="6" t="str">
        <f>_xlfn.XLOOKUP(tblSales[[#This Row],[ProductID]],tblProducts[ProductID],tblProducts[ProductName],"Not Found")</f>
        <v>NeuroCalm</v>
      </c>
      <c r="O1005" s="8">
        <f>YEAR(tblSales[[#This Row],[Month]])</f>
        <v>2025</v>
      </c>
      <c r="P1005" s="8">
        <f>MONTH(tblSales[[#This Row],[Month]])</f>
        <v>9</v>
      </c>
      <c r="Q1005" s="6">
        <f>IFERROR(tblSales[[#This Row],[NetSalesTRY]]/tblSales[[#This Row],[Units]],0)</f>
        <v>1015.6710810810812</v>
      </c>
      <c r="R1005" s="17">
        <f>IFERROR(tblSales[[#This Row],[NetSalesTRY]]/tblSales[[#This Row],[TargetTRY]],0)</f>
        <v>0.91103656211355633</v>
      </c>
      <c r="S1005" s="6">
        <f>tblSales[[#This Row],[NetSalesTRY]]-tblSales[[#This Row],[TargetTRY]]</f>
        <v>-7339.3999999999942</v>
      </c>
      <c r="T1005" s="6">
        <f>MAX(tblSales[[#This Row],[TargetTRY]]-tblSales[[#This Row],[NetSalesTRY]],0)</f>
        <v>7339.3999999999942</v>
      </c>
    </row>
    <row r="1006" spans="1:20">
      <c r="A1006" t="s">
        <v>1394</v>
      </c>
      <c r="B1006" s="15">
        <v>45901</v>
      </c>
      <c r="C1006" t="s">
        <v>25</v>
      </c>
      <c r="D1006" t="s">
        <v>26</v>
      </c>
      <c r="E1006" t="s">
        <v>67</v>
      </c>
      <c r="F1006" t="s">
        <v>65</v>
      </c>
      <c r="G1006" t="s">
        <v>5</v>
      </c>
      <c r="H1006" s="8">
        <v>117</v>
      </c>
      <c r="I1006" s="9">
        <v>115691.52</v>
      </c>
      <c r="J1006" s="9">
        <v>8376.4</v>
      </c>
      <c r="K1006" s="9">
        <v>1111.24</v>
      </c>
      <c r="L1006" s="9">
        <v>106203.88</v>
      </c>
      <c r="M1006" s="9">
        <v>113050.27</v>
      </c>
      <c r="N1006" s="6" t="str">
        <f>_xlfn.XLOOKUP(tblSales[[#This Row],[ProductID]],tblProducts[ProductID],tblProducts[ProductName],"Not Found")</f>
        <v>Cardiovan</v>
      </c>
      <c r="O1006" s="8">
        <f>YEAR(tblSales[[#This Row],[Month]])</f>
        <v>2025</v>
      </c>
      <c r="P1006" s="8">
        <f>MONTH(tblSales[[#This Row],[Month]])</f>
        <v>9</v>
      </c>
      <c r="Q1006" s="6">
        <f>IFERROR(tblSales[[#This Row],[NetSalesTRY]]/tblSales[[#This Row],[Units]],0)</f>
        <v>907.72547008547008</v>
      </c>
      <c r="R1006" s="17">
        <f>IFERROR(tblSales[[#This Row],[NetSalesTRY]]/tblSales[[#This Row],[TargetTRY]],0)</f>
        <v>0.93943941929550456</v>
      </c>
      <c r="S1006" s="6">
        <f>tblSales[[#This Row],[NetSalesTRY]]-tblSales[[#This Row],[TargetTRY]]</f>
        <v>-6846.3899999999994</v>
      </c>
      <c r="T1006" s="6">
        <f>MAX(tblSales[[#This Row],[TargetTRY]]-tblSales[[#This Row],[NetSalesTRY]],0)</f>
        <v>6846.3899999999994</v>
      </c>
    </row>
    <row r="1007" spans="1:20">
      <c r="A1007" t="s">
        <v>1395</v>
      </c>
      <c r="B1007" s="15">
        <v>45901</v>
      </c>
      <c r="C1007" t="s">
        <v>25</v>
      </c>
      <c r="D1007" t="s">
        <v>26</v>
      </c>
      <c r="E1007" t="s">
        <v>67</v>
      </c>
      <c r="F1007" t="s">
        <v>65</v>
      </c>
      <c r="G1007" t="s">
        <v>8</v>
      </c>
      <c r="H1007" s="8">
        <v>145</v>
      </c>
      <c r="I1007" s="9">
        <v>108849.13</v>
      </c>
      <c r="J1007" s="9">
        <v>4276.3599999999997</v>
      </c>
      <c r="K1007" s="9">
        <v>915.92</v>
      </c>
      <c r="L1007" s="9">
        <v>103656.85</v>
      </c>
      <c r="M1007" s="9">
        <v>101342.51</v>
      </c>
      <c r="N1007" s="6" t="str">
        <f>_xlfn.XLOOKUP(tblSales[[#This Row],[ProductID]],tblProducts[ProductID],tblProducts[ProductName],"Not Found")</f>
        <v>GlucoRelief</v>
      </c>
      <c r="O1007" s="8">
        <f>YEAR(tblSales[[#This Row],[Month]])</f>
        <v>2025</v>
      </c>
      <c r="P1007" s="8">
        <f>MONTH(tblSales[[#This Row],[Month]])</f>
        <v>9</v>
      </c>
      <c r="Q1007" s="6">
        <f>IFERROR(tblSales[[#This Row],[NetSalesTRY]]/tblSales[[#This Row],[Units]],0)</f>
        <v>714.87482758620695</v>
      </c>
      <c r="R1007" s="17">
        <f>IFERROR(tblSales[[#This Row],[NetSalesTRY]]/tblSales[[#This Row],[TargetTRY]],0)</f>
        <v>1.0228368134951464</v>
      </c>
      <c r="S1007" s="6">
        <f>tblSales[[#This Row],[NetSalesTRY]]-tblSales[[#This Row],[TargetTRY]]</f>
        <v>2314.3400000000111</v>
      </c>
      <c r="T1007" s="6">
        <f>MAX(tblSales[[#This Row],[TargetTRY]]-tblSales[[#This Row],[NetSalesTRY]],0)</f>
        <v>0</v>
      </c>
    </row>
    <row r="1008" spans="1:20">
      <c r="A1008" t="s">
        <v>1396</v>
      </c>
      <c r="B1008" s="15">
        <v>45901</v>
      </c>
      <c r="C1008" t="s">
        <v>25</v>
      </c>
      <c r="D1008" t="s">
        <v>26</v>
      </c>
      <c r="E1008" t="s">
        <v>67</v>
      </c>
      <c r="F1008" t="s">
        <v>65</v>
      </c>
      <c r="G1008" t="s">
        <v>11</v>
      </c>
      <c r="H1008" s="8">
        <v>161</v>
      </c>
      <c r="I1008" s="9">
        <v>98958.28</v>
      </c>
      <c r="J1008" s="9">
        <v>5328.36</v>
      </c>
      <c r="K1008" s="9">
        <v>610.65</v>
      </c>
      <c r="L1008" s="9">
        <v>93019.27</v>
      </c>
      <c r="M1008" s="9">
        <v>96106.8</v>
      </c>
      <c r="N1008" s="6" t="str">
        <f>_xlfn.XLOOKUP(tblSales[[#This Row],[ProductID]],tblProducts[ProductID],tblProducts[ProductName],"Not Found")</f>
        <v>RespiraX</v>
      </c>
      <c r="O1008" s="8">
        <f>YEAR(tblSales[[#This Row],[Month]])</f>
        <v>2025</v>
      </c>
      <c r="P1008" s="8">
        <f>MONTH(tblSales[[#This Row],[Month]])</f>
        <v>9</v>
      </c>
      <c r="Q1008" s="6">
        <f>IFERROR(tblSales[[#This Row],[NetSalesTRY]]/tblSales[[#This Row],[Units]],0)</f>
        <v>577.75944099378887</v>
      </c>
      <c r="R1008" s="17">
        <f>IFERROR(tblSales[[#This Row],[NetSalesTRY]]/tblSales[[#This Row],[TargetTRY]],0)</f>
        <v>0.96787396937573622</v>
      </c>
      <c r="S1008" s="6">
        <f>tblSales[[#This Row],[NetSalesTRY]]-tblSales[[#This Row],[TargetTRY]]</f>
        <v>-3087.5299999999988</v>
      </c>
      <c r="T1008" s="6">
        <f>MAX(tblSales[[#This Row],[TargetTRY]]-tblSales[[#This Row],[NetSalesTRY]],0)</f>
        <v>3087.5299999999988</v>
      </c>
    </row>
    <row r="1009" spans="1:20">
      <c r="A1009" t="s">
        <v>1397</v>
      </c>
      <c r="B1009" s="15">
        <v>45901</v>
      </c>
      <c r="C1009" t="s">
        <v>25</v>
      </c>
      <c r="D1009" t="s">
        <v>26</v>
      </c>
      <c r="E1009" t="s">
        <v>67</v>
      </c>
      <c r="F1009" t="s">
        <v>65</v>
      </c>
      <c r="G1009" t="s">
        <v>14</v>
      </c>
      <c r="H1009" s="8">
        <v>88</v>
      </c>
      <c r="I1009" s="9">
        <v>97499.65</v>
      </c>
      <c r="J1009" s="9">
        <v>4652.63</v>
      </c>
      <c r="K1009" s="9">
        <v>915.67</v>
      </c>
      <c r="L1009" s="9">
        <v>91931.34</v>
      </c>
      <c r="M1009" s="9">
        <v>92533.18</v>
      </c>
      <c r="N1009" s="6" t="str">
        <f>_xlfn.XLOOKUP(tblSales[[#This Row],[ProductID]],tblProducts[ProductID],tblProducts[ProductName],"Not Found")</f>
        <v>NeuroCalm</v>
      </c>
      <c r="O1009" s="8">
        <f>YEAR(tblSales[[#This Row],[Month]])</f>
        <v>2025</v>
      </c>
      <c r="P1009" s="8">
        <f>MONTH(tblSales[[#This Row],[Month]])</f>
        <v>9</v>
      </c>
      <c r="Q1009" s="6">
        <f>IFERROR(tblSales[[#This Row],[NetSalesTRY]]/tblSales[[#This Row],[Units]],0)</f>
        <v>1044.6743181818181</v>
      </c>
      <c r="R1009" s="17">
        <f>IFERROR(tblSales[[#This Row],[NetSalesTRY]]/tblSales[[#This Row],[TargetTRY]],0)</f>
        <v>0.99349595464027074</v>
      </c>
      <c r="S1009" s="6">
        <f>tblSales[[#This Row],[NetSalesTRY]]-tblSales[[#This Row],[TargetTRY]]</f>
        <v>-601.83999999999651</v>
      </c>
      <c r="T1009" s="6">
        <f>MAX(tblSales[[#This Row],[TargetTRY]]-tblSales[[#This Row],[NetSalesTRY]],0)</f>
        <v>601.83999999999651</v>
      </c>
    </row>
    <row r="1010" spans="1:20">
      <c r="A1010" t="s">
        <v>1398</v>
      </c>
      <c r="B1010" s="15">
        <v>45931</v>
      </c>
      <c r="C1010" t="s">
        <v>19</v>
      </c>
      <c r="D1010" t="s">
        <v>20</v>
      </c>
      <c r="E1010" t="s">
        <v>34</v>
      </c>
      <c r="F1010" t="s">
        <v>32</v>
      </c>
      <c r="G1010" t="s">
        <v>5</v>
      </c>
      <c r="H1010" s="8">
        <v>162</v>
      </c>
      <c r="I1010" s="9">
        <v>158635.45000000001</v>
      </c>
      <c r="J1010" s="9">
        <v>5752.48</v>
      </c>
      <c r="K1010" s="9">
        <v>1923.02</v>
      </c>
      <c r="L1010" s="9">
        <v>150959.96</v>
      </c>
      <c r="M1010" s="9">
        <v>159891.73000000001</v>
      </c>
      <c r="N1010" s="6" t="str">
        <f>_xlfn.XLOOKUP(tblSales[[#This Row],[ProductID]],tblProducts[ProductID],tblProducts[ProductName],"Not Found")</f>
        <v>Cardiovan</v>
      </c>
      <c r="O1010" s="8">
        <f>YEAR(tblSales[[#This Row],[Month]])</f>
        <v>2025</v>
      </c>
      <c r="P1010" s="8">
        <f>MONTH(tblSales[[#This Row],[Month]])</f>
        <v>10</v>
      </c>
      <c r="Q1010" s="6">
        <f>IFERROR(tblSales[[#This Row],[NetSalesTRY]]/tblSales[[#This Row],[Units]],0)</f>
        <v>931.85160493827152</v>
      </c>
      <c r="R1010" s="17">
        <f>IFERROR(tblSales[[#This Row],[NetSalesTRY]]/tblSales[[#This Row],[TargetTRY]],0)</f>
        <v>0.94413863681379884</v>
      </c>
      <c r="S1010" s="6">
        <f>tblSales[[#This Row],[NetSalesTRY]]-tblSales[[#This Row],[TargetTRY]]</f>
        <v>-8931.7700000000186</v>
      </c>
      <c r="T1010" s="6">
        <f>MAX(tblSales[[#This Row],[TargetTRY]]-tblSales[[#This Row],[NetSalesTRY]],0)</f>
        <v>8931.7700000000186</v>
      </c>
    </row>
    <row r="1011" spans="1:20">
      <c r="A1011" t="s">
        <v>1399</v>
      </c>
      <c r="B1011" s="15">
        <v>45931</v>
      </c>
      <c r="C1011" t="s">
        <v>19</v>
      </c>
      <c r="D1011" t="s">
        <v>20</v>
      </c>
      <c r="E1011" t="s">
        <v>34</v>
      </c>
      <c r="F1011" t="s">
        <v>32</v>
      </c>
      <c r="G1011" t="s">
        <v>8</v>
      </c>
      <c r="H1011" s="8">
        <v>219</v>
      </c>
      <c r="I1011" s="9">
        <v>164102.88</v>
      </c>
      <c r="J1011" s="9">
        <v>11721.21</v>
      </c>
      <c r="K1011" s="9">
        <v>924.32</v>
      </c>
      <c r="L1011" s="9">
        <v>151457.35</v>
      </c>
      <c r="M1011" s="9">
        <v>143283.17000000001</v>
      </c>
      <c r="N1011" s="6" t="str">
        <f>_xlfn.XLOOKUP(tblSales[[#This Row],[ProductID]],tblProducts[ProductID],tblProducts[ProductName],"Not Found")</f>
        <v>GlucoRelief</v>
      </c>
      <c r="O1011" s="8">
        <f>YEAR(tblSales[[#This Row],[Month]])</f>
        <v>2025</v>
      </c>
      <c r="P1011" s="8">
        <f>MONTH(tblSales[[#This Row],[Month]])</f>
        <v>10</v>
      </c>
      <c r="Q1011" s="6">
        <f>IFERROR(tblSales[[#This Row],[NetSalesTRY]]/tblSales[[#This Row],[Units]],0)</f>
        <v>691.58607305936073</v>
      </c>
      <c r="R1011" s="17">
        <f>IFERROR(tblSales[[#This Row],[NetSalesTRY]]/tblSales[[#This Row],[TargetTRY]],0)</f>
        <v>1.0570491286590042</v>
      </c>
      <c r="S1011" s="6">
        <f>tblSales[[#This Row],[NetSalesTRY]]-tblSales[[#This Row],[TargetTRY]]</f>
        <v>8174.179999999993</v>
      </c>
      <c r="T1011" s="6">
        <f>MAX(tblSales[[#This Row],[TargetTRY]]-tblSales[[#This Row],[NetSalesTRY]],0)</f>
        <v>0</v>
      </c>
    </row>
    <row r="1012" spans="1:20">
      <c r="A1012" t="s">
        <v>1400</v>
      </c>
      <c r="B1012" s="15">
        <v>45931</v>
      </c>
      <c r="C1012" t="s">
        <v>19</v>
      </c>
      <c r="D1012" t="s">
        <v>20</v>
      </c>
      <c r="E1012" t="s">
        <v>34</v>
      </c>
      <c r="F1012" t="s">
        <v>32</v>
      </c>
      <c r="G1012" t="s">
        <v>11</v>
      </c>
      <c r="H1012" s="8">
        <v>243</v>
      </c>
      <c r="I1012" s="9">
        <v>148446.79999999999</v>
      </c>
      <c r="J1012" s="9">
        <v>9863.6200000000008</v>
      </c>
      <c r="K1012" s="9">
        <v>1468.97</v>
      </c>
      <c r="L1012" s="9">
        <v>137114.21</v>
      </c>
      <c r="M1012" s="9">
        <v>138219.48000000001</v>
      </c>
      <c r="N1012" s="6" t="str">
        <f>_xlfn.XLOOKUP(tblSales[[#This Row],[ProductID]],tblProducts[ProductID],tblProducts[ProductName],"Not Found")</f>
        <v>RespiraX</v>
      </c>
      <c r="O1012" s="8">
        <f>YEAR(tblSales[[#This Row],[Month]])</f>
        <v>2025</v>
      </c>
      <c r="P1012" s="8">
        <f>MONTH(tblSales[[#This Row],[Month]])</f>
        <v>10</v>
      </c>
      <c r="Q1012" s="6">
        <f>IFERROR(tblSales[[#This Row],[NetSalesTRY]]/tblSales[[#This Row],[Units]],0)</f>
        <v>564.25600823045261</v>
      </c>
      <c r="R1012" s="17">
        <f>IFERROR(tblSales[[#This Row],[NetSalesTRY]]/tblSales[[#This Row],[TargetTRY]],0)</f>
        <v>0.99200351498934869</v>
      </c>
      <c r="S1012" s="6">
        <f>tblSales[[#This Row],[NetSalesTRY]]-tblSales[[#This Row],[TargetTRY]]</f>
        <v>-1105.2700000000186</v>
      </c>
      <c r="T1012" s="6">
        <f>MAX(tblSales[[#This Row],[TargetTRY]]-tblSales[[#This Row],[NetSalesTRY]],0)</f>
        <v>1105.2700000000186</v>
      </c>
    </row>
    <row r="1013" spans="1:20">
      <c r="A1013" t="s">
        <v>1401</v>
      </c>
      <c r="B1013" s="15">
        <v>45931</v>
      </c>
      <c r="C1013" t="s">
        <v>19</v>
      </c>
      <c r="D1013" t="s">
        <v>20</v>
      </c>
      <c r="E1013" t="s">
        <v>34</v>
      </c>
      <c r="F1013" t="s">
        <v>32</v>
      </c>
      <c r="G1013" t="s">
        <v>14</v>
      </c>
      <c r="H1013" s="8">
        <v>133</v>
      </c>
      <c r="I1013" s="9">
        <v>144631.76999999999</v>
      </c>
      <c r="J1013" s="9">
        <v>5580.41</v>
      </c>
      <c r="K1013" s="9">
        <v>1461.79</v>
      </c>
      <c r="L1013" s="9">
        <v>137589.57</v>
      </c>
      <c r="M1013" s="9">
        <v>132354.1</v>
      </c>
      <c r="N1013" s="6" t="str">
        <f>_xlfn.XLOOKUP(tblSales[[#This Row],[ProductID]],tblProducts[ProductID],tblProducts[ProductName],"Not Found")</f>
        <v>NeuroCalm</v>
      </c>
      <c r="O1013" s="8">
        <f>YEAR(tblSales[[#This Row],[Month]])</f>
        <v>2025</v>
      </c>
      <c r="P1013" s="8">
        <f>MONTH(tblSales[[#This Row],[Month]])</f>
        <v>10</v>
      </c>
      <c r="Q1013" s="6">
        <f>IFERROR(tblSales[[#This Row],[NetSalesTRY]]/tblSales[[#This Row],[Units]],0)</f>
        <v>1034.5080451127819</v>
      </c>
      <c r="R1013" s="17">
        <f>IFERROR(tblSales[[#This Row],[NetSalesTRY]]/tblSales[[#This Row],[TargetTRY]],0)</f>
        <v>1.0395565381049774</v>
      </c>
      <c r="S1013" s="6">
        <f>tblSales[[#This Row],[NetSalesTRY]]-tblSales[[#This Row],[TargetTRY]]</f>
        <v>5235.4700000000012</v>
      </c>
      <c r="T1013" s="6">
        <f>MAX(tblSales[[#This Row],[TargetTRY]]-tblSales[[#This Row],[NetSalesTRY]],0)</f>
        <v>0</v>
      </c>
    </row>
    <row r="1014" spans="1:20">
      <c r="A1014" t="s">
        <v>1402</v>
      </c>
      <c r="B1014" s="15">
        <v>45931</v>
      </c>
      <c r="C1014" t="s">
        <v>19</v>
      </c>
      <c r="D1014" t="s">
        <v>20</v>
      </c>
      <c r="E1014" t="s">
        <v>37</v>
      </c>
      <c r="F1014" t="s">
        <v>35</v>
      </c>
      <c r="G1014" t="s">
        <v>5</v>
      </c>
      <c r="H1014" s="8">
        <v>170</v>
      </c>
      <c r="I1014" s="9">
        <v>167222.21</v>
      </c>
      <c r="J1014" s="9">
        <v>11545.42</v>
      </c>
      <c r="K1014" s="9">
        <v>1016.78</v>
      </c>
      <c r="L1014" s="9">
        <v>154660.01999999999</v>
      </c>
      <c r="M1014" s="9">
        <v>162627.43</v>
      </c>
      <c r="N1014" s="6" t="str">
        <f>_xlfn.XLOOKUP(tblSales[[#This Row],[ProductID]],tblProducts[ProductID],tblProducts[ProductName],"Not Found")</f>
        <v>Cardiovan</v>
      </c>
      <c r="O1014" s="8">
        <f>YEAR(tblSales[[#This Row],[Month]])</f>
        <v>2025</v>
      </c>
      <c r="P1014" s="8">
        <f>MONTH(tblSales[[#This Row],[Month]])</f>
        <v>10</v>
      </c>
      <c r="Q1014" s="6">
        <f>IFERROR(tblSales[[#This Row],[NetSalesTRY]]/tblSales[[#This Row],[Units]],0)</f>
        <v>909.76482352941173</v>
      </c>
      <c r="R1014" s="17">
        <f>IFERROR(tblSales[[#This Row],[NetSalesTRY]]/tblSales[[#This Row],[TargetTRY]],0)</f>
        <v>0.95100820322869273</v>
      </c>
      <c r="S1014" s="6">
        <f>tblSales[[#This Row],[NetSalesTRY]]-tblSales[[#This Row],[TargetTRY]]</f>
        <v>-7967.4100000000035</v>
      </c>
      <c r="T1014" s="6">
        <f>MAX(tblSales[[#This Row],[TargetTRY]]-tblSales[[#This Row],[NetSalesTRY]],0)</f>
        <v>7967.4100000000035</v>
      </c>
    </row>
    <row r="1015" spans="1:20">
      <c r="A1015" t="s">
        <v>1403</v>
      </c>
      <c r="B1015" s="15">
        <v>45931</v>
      </c>
      <c r="C1015" t="s">
        <v>19</v>
      </c>
      <c r="D1015" t="s">
        <v>20</v>
      </c>
      <c r="E1015" t="s">
        <v>37</v>
      </c>
      <c r="F1015" t="s">
        <v>35</v>
      </c>
      <c r="G1015" t="s">
        <v>8</v>
      </c>
      <c r="H1015" s="8">
        <v>206</v>
      </c>
      <c r="I1015" s="9">
        <v>154801.16</v>
      </c>
      <c r="J1015" s="9">
        <v>8704.7000000000007</v>
      </c>
      <c r="K1015" s="9">
        <v>786.24</v>
      </c>
      <c r="L1015" s="9">
        <v>145310.22</v>
      </c>
      <c r="M1015" s="9">
        <v>147553.10999999999</v>
      </c>
      <c r="N1015" s="6" t="str">
        <f>_xlfn.XLOOKUP(tblSales[[#This Row],[ProductID]],tblProducts[ProductID],tblProducts[ProductName],"Not Found")</f>
        <v>GlucoRelief</v>
      </c>
      <c r="O1015" s="8">
        <f>YEAR(tblSales[[#This Row],[Month]])</f>
        <v>2025</v>
      </c>
      <c r="P1015" s="8">
        <f>MONTH(tblSales[[#This Row],[Month]])</f>
        <v>10</v>
      </c>
      <c r="Q1015" s="6">
        <f>IFERROR(tblSales[[#This Row],[NetSalesTRY]]/tblSales[[#This Row],[Units]],0)</f>
        <v>705.38941747572812</v>
      </c>
      <c r="R1015" s="17">
        <f>IFERROR(tblSales[[#This Row],[NetSalesTRY]]/tblSales[[#This Row],[TargetTRY]],0)</f>
        <v>0.98479943933408121</v>
      </c>
      <c r="S1015" s="6">
        <f>tblSales[[#This Row],[NetSalesTRY]]-tblSales[[#This Row],[TargetTRY]]</f>
        <v>-2242.8899999999849</v>
      </c>
      <c r="T1015" s="6">
        <f>MAX(tblSales[[#This Row],[TargetTRY]]-tblSales[[#This Row],[NetSalesTRY]],0)</f>
        <v>2242.8899999999849</v>
      </c>
    </row>
    <row r="1016" spans="1:20">
      <c r="A1016" t="s">
        <v>1404</v>
      </c>
      <c r="B1016" s="15">
        <v>45931</v>
      </c>
      <c r="C1016" t="s">
        <v>19</v>
      </c>
      <c r="D1016" t="s">
        <v>20</v>
      </c>
      <c r="E1016" t="s">
        <v>37</v>
      </c>
      <c r="F1016" t="s">
        <v>35</v>
      </c>
      <c r="G1016" t="s">
        <v>11</v>
      </c>
      <c r="H1016" s="8">
        <v>228</v>
      </c>
      <c r="I1016" s="9">
        <v>140392.18</v>
      </c>
      <c r="J1016" s="9">
        <v>9427.16</v>
      </c>
      <c r="K1016" s="9">
        <v>817.12</v>
      </c>
      <c r="L1016" s="9">
        <v>130147.89</v>
      </c>
      <c r="M1016" s="9">
        <v>136390.76999999999</v>
      </c>
      <c r="N1016" s="6" t="str">
        <f>_xlfn.XLOOKUP(tblSales[[#This Row],[ProductID]],tblProducts[ProductID],tblProducts[ProductName],"Not Found")</f>
        <v>RespiraX</v>
      </c>
      <c r="O1016" s="8">
        <f>YEAR(tblSales[[#This Row],[Month]])</f>
        <v>2025</v>
      </c>
      <c r="P1016" s="8">
        <f>MONTH(tblSales[[#This Row],[Month]])</f>
        <v>10</v>
      </c>
      <c r="Q1016" s="6">
        <f>IFERROR(tblSales[[#This Row],[NetSalesTRY]]/tblSales[[#This Row],[Units]],0)</f>
        <v>570.82407894736843</v>
      </c>
      <c r="R1016" s="17">
        <f>IFERROR(tblSales[[#This Row],[NetSalesTRY]]/tblSales[[#This Row],[TargetTRY]],0)</f>
        <v>0.9542279877150045</v>
      </c>
      <c r="S1016" s="6">
        <f>tblSales[[#This Row],[NetSalesTRY]]-tblSales[[#This Row],[TargetTRY]]</f>
        <v>-6242.8799999999901</v>
      </c>
      <c r="T1016" s="6">
        <f>MAX(tblSales[[#This Row],[TargetTRY]]-tblSales[[#This Row],[NetSalesTRY]],0)</f>
        <v>6242.8799999999901</v>
      </c>
    </row>
    <row r="1017" spans="1:20">
      <c r="A1017" t="s">
        <v>1405</v>
      </c>
      <c r="B1017" s="15">
        <v>45931</v>
      </c>
      <c r="C1017" t="s">
        <v>19</v>
      </c>
      <c r="D1017" t="s">
        <v>20</v>
      </c>
      <c r="E1017" t="s">
        <v>37</v>
      </c>
      <c r="F1017" t="s">
        <v>35</v>
      </c>
      <c r="G1017" t="s">
        <v>14</v>
      </c>
      <c r="H1017" s="8">
        <v>133</v>
      </c>
      <c r="I1017" s="9">
        <v>147468.04</v>
      </c>
      <c r="J1017" s="9">
        <v>7033.19</v>
      </c>
      <c r="K1017" s="9">
        <v>1385</v>
      </c>
      <c r="L1017" s="9">
        <v>139049.85</v>
      </c>
      <c r="M1017" s="9">
        <v>131999.46</v>
      </c>
      <c r="N1017" s="6" t="str">
        <f>_xlfn.XLOOKUP(tblSales[[#This Row],[ProductID]],tblProducts[ProductID],tblProducts[ProductName],"Not Found")</f>
        <v>NeuroCalm</v>
      </c>
      <c r="O1017" s="8">
        <f>YEAR(tblSales[[#This Row],[Month]])</f>
        <v>2025</v>
      </c>
      <c r="P1017" s="8">
        <f>MONTH(tblSales[[#This Row],[Month]])</f>
        <v>10</v>
      </c>
      <c r="Q1017" s="6">
        <f>IFERROR(tblSales[[#This Row],[NetSalesTRY]]/tblSales[[#This Row],[Units]],0)</f>
        <v>1045.4875939849624</v>
      </c>
      <c r="R1017" s="17">
        <f>IFERROR(tblSales[[#This Row],[NetSalesTRY]]/tblSales[[#This Row],[TargetTRY]],0)</f>
        <v>1.0534122639592618</v>
      </c>
      <c r="S1017" s="6">
        <f>tblSales[[#This Row],[NetSalesTRY]]-tblSales[[#This Row],[TargetTRY]]</f>
        <v>7050.390000000014</v>
      </c>
      <c r="T1017" s="6">
        <f>MAX(tblSales[[#This Row],[TargetTRY]]-tblSales[[#This Row],[NetSalesTRY]],0)</f>
        <v>0</v>
      </c>
    </row>
    <row r="1018" spans="1:20">
      <c r="A1018" t="s">
        <v>1406</v>
      </c>
      <c r="B1018" s="15">
        <v>45931</v>
      </c>
      <c r="C1018" t="s">
        <v>19</v>
      </c>
      <c r="D1018" t="s">
        <v>20</v>
      </c>
      <c r="E1018" t="s">
        <v>40</v>
      </c>
      <c r="F1018" t="s">
        <v>38</v>
      </c>
      <c r="G1018" t="s">
        <v>5</v>
      </c>
      <c r="H1018" s="8">
        <v>193</v>
      </c>
      <c r="I1018" s="9">
        <v>186431.31</v>
      </c>
      <c r="J1018" s="9">
        <v>12764.66</v>
      </c>
      <c r="K1018" s="9">
        <v>1980.81</v>
      </c>
      <c r="L1018" s="9">
        <v>171685.85</v>
      </c>
      <c r="M1018" s="9">
        <v>180057.94</v>
      </c>
      <c r="N1018" s="6" t="str">
        <f>_xlfn.XLOOKUP(tblSales[[#This Row],[ProductID]],tblProducts[ProductID],tblProducts[ProductName],"Not Found")</f>
        <v>Cardiovan</v>
      </c>
      <c r="O1018" s="8">
        <f>YEAR(tblSales[[#This Row],[Month]])</f>
        <v>2025</v>
      </c>
      <c r="P1018" s="8">
        <f>MONTH(tblSales[[#This Row],[Month]])</f>
        <v>10</v>
      </c>
      <c r="Q1018" s="6">
        <f>IFERROR(tblSales[[#This Row],[NetSalesTRY]]/tblSales[[#This Row],[Units]],0)</f>
        <v>889.56398963730578</v>
      </c>
      <c r="R1018" s="17">
        <f>IFERROR(tblSales[[#This Row],[NetSalesTRY]]/tblSales[[#This Row],[TargetTRY]],0)</f>
        <v>0.95350335564207833</v>
      </c>
      <c r="S1018" s="6">
        <f>tblSales[[#This Row],[NetSalesTRY]]-tblSales[[#This Row],[TargetTRY]]</f>
        <v>-8372.0899999999965</v>
      </c>
      <c r="T1018" s="6">
        <f>MAX(tblSales[[#This Row],[TargetTRY]]-tblSales[[#This Row],[NetSalesTRY]],0)</f>
        <v>8372.0899999999965</v>
      </c>
    </row>
    <row r="1019" spans="1:20">
      <c r="A1019" t="s">
        <v>1407</v>
      </c>
      <c r="B1019" s="15">
        <v>45931</v>
      </c>
      <c r="C1019" t="s">
        <v>19</v>
      </c>
      <c r="D1019" t="s">
        <v>20</v>
      </c>
      <c r="E1019" t="s">
        <v>40</v>
      </c>
      <c r="F1019" t="s">
        <v>38</v>
      </c>
      <c r="G1019" t="s">
        <v>8</v>
      </c>
      <c r="H1019" s="8">
        <v>225</v>
      </c>
      <c r="I1019" s="9">
        <v>168540.03</v>
      </c>
      <c r="J1019" s="9">
        <v>8197.48</v>
      </c>
      <c r="K1019" s="9">
        <v>2280.66</v>
      </c>
      <c r="L1019" s="9">
        <v>158061.9</v>
      </c>
      <c r="M1019" s="9">
        <v>162789.10999999999</v>
      </c>
      <c r="N1019" s="6" t="str">
        <f>_xlfn.XLOOKUP(tblSales[[#This Row],[ProductID]],tblProducts[ProductID],tblProducts[ProductName],"Not Found")</f>
        <v>GlucoRelief</v>
      </c>
      <c r="O1019" s="8">
        <f>YEAR(tblSales[[#This Row],[Month]])</f>
        <v>2025</v>
      </c>
      <c r="P1019" s="8">
        <f>MONTH(tblSales[[#This Row],[Month]])</f>
        <v>10</v>
      </c>
      <c r="Q1019" s="6">
        <f>IFERROR(tblSales[[#This Row],[NetSalesTRY]]/tblSales[[#This Row],[Units]],0)</f>
        <v>702.49733333333336</v>
      </c>
      <c r="R1019" s="17">
        <f>IFERROR(tblSales[[#This Row],[NetSalesTRY]]/tblSales[[#This Row],[TargetTRY]],0)</f>
        <v>0.97096114107387166</v>
      </c>
      <c r="S1019" s="6">
        <f>tblSales[[#This Row],[NetSalesTRY]]-tblSales[[#This Row],[TargetTRY]]</f>
        <v>-4727.2099999999919</v>
      </c>
      <c r="T1019" s="6">
        <f>MAX(tblSales[[#This Row],[TargetTRY]]-tblSales[[#This Row],[NetSalesTRY]],0)</f>
        <v>4727.2099999999919</v>
      </c>
    </row>
    <row r="1020" spans="1:20">
      <c r="A1020" t="s">
        <v>1408</v>
      </c>
      <c r="B1020" s="15">
        <v>45931</v>
      </c>
      <c r="C1020" t="s">
        <v>19</v>
      </c>
      <c r="D1020" t="s">
        <v>20</v>
      </c>
      <c r="E1020" t="s">
        <v>40</v>
      </c>
      <c r="F1020" t="s">
        <v>38</v>
      </c>
      <c r="G1020" t="s">
        <v>11</v>
      </c>
      <c r="H1020" s="8">
        <v>242</v>
      </c>
      <c r="I1020" s="9">
        <v>149028.51999999999</v>
      </c>
      <c r="J1020" s="9">
        <v>6397.13</v>
      </c>
      <c r="K1020" s="9">
        <v>1991.5</v>
      </c>
      <c r="L1020" s="9">
        <v>140639.89000000001</v>
      </c>
      <c r="M1020" s="9">
        <v>152559.53</v>
      </c>
      <c r="N1020" s="6" t="str">
        <f>_xlfn.XLOOKUP(tblSales[[#This Row],[ProductID]],tblProducts[ProductID],tblProducts[ProductName],"Not Found")</f>
        <v>RespiraX</v>
      </c>
      <c r="O1020" s="8">
        <f>YEAR(tblSales[[#This Row],[Month]])</f>
        <v>2025</v>
      </c>
      <c r="P1020" s="8">
        <f>MONTH(tblSales[[#This Row],[Month]])</f>
        <v>10</v>
      </c>
      <c r="Q1020" s="6">
        <f>IFERROR(tblSales[[#This Row],[NetSalesTRY]]/tblSales[[#This Row],[Units]],0)</f>
        <v>581.15657024793393</v>
      </c>
      <c r="R1020" s="17">
        <f>IFERROR(tblSales[[#This Row],[NetSalesTRY]]/tblSales[[#This Row],[TargetTRY]],0)</f>
        <v>0.92186892552697308</v>
      </c>
      <c r="S1020" s="6">
        <f>tblSales[[#This Row],[NetSalesTRY]]-tblSales[[#This Row],[TargetTRY]]</f>
        <v>-11919.639999999985</v>
      </c>
      <c r="T1020" s="6">
        <f>MAX(tblSales[[#This Row],[TargetTRY]]-tblSales[[#This Row],[NetSalesTRY]],0)</f>
        <v>11919.639999999985</v>
      </c>
    </row>
    <row r="1021" spans="1:20">
      <c r="A1021" t="s">
        <v>1409</v>
      </c>
      <c r="B1021" s="15">
        <v>45931</v>
      </c>
      <c r="C1021" t="s">
        <v>19</v>
      </c>
      <c r="D1021" t="s">
        <v>20</v>
      </c>
      <c r="E1021" t="s">
        <v>40</v>
      </c>
      <c r="F1021" t="s">
        <v>38</v>
      </c>
      <c r="G1021" t="s">
        <v>14</v>
      </c>
      <c r="H1021" s="8">
        <v>140</v>
      </c>
      <c r="I1021" s="9">
        <v>152852.26999999999</v>
      </c>
      <c r="J1021" s="9">
        <v>10330.23</v>
      </c>
      <c r="K1021" s="9">
        <v>798.38</v>
      </c>
      <c r="L1021" s="9">
        <v>141723.67000000001</v>
      </c>
      <c r="M1021" s="9">
        <v>145551.09</v>
      </c>
      <c r="N1021" s="6" t="str">
        <f>_xlfn.XLOOKUP(tblSales[[#This Row],[ProductID]],tblProducts[ProductID],tblProducts[ProductName],"Not Found")</f>
        <v>NeuroCalm</v>
      </c>
      <c r="O1021" s="8">
        <f>YEAR(tblSales[[#This Row],[Month]])</f>
        <v>2025</v>
      </c>
      <c r="P1021" s="8">
        <f>MONTH(tblSales[[#This Row],[Month]])</f>
        <v>10</v>
      </c>
      <c r="Q1021" s="6">
        <f>IFERROR(tblSales[[#This Row],[NetSalesTRY]]/tblSales[[#This Row],[Units]],0)</f>
        <v>1012.3119285714287</v>
      </c>
      <c r="R1021" s="17">
        <f>IFERROR(tblSales[[#This Row],[NetSalesTRY]]/tblSales[[#This Row],[TargetTRY]],0)</f>
        <v>0.97370394134458227</v>
      </c>
      <c r="S1021" s="6">
        <f>tblSales[[#This Row],[NetSalesTRY]]-tblSales[[#This Row],[TargetTRY]]</f>
        <v>-3827.4199999999837</v>
      </c>
      <c r="T1021" s="6">
        <f>MAX(tblSales[[#This Row],[TargetTRY]]-tblSales[[#This Row],[NetSalesTRY]],0)</f>
        <v>3827.4199999999837</v>
      </c>
    </row>
    <row r="1022" spans="1:20">
      <c r="A1022" t="s">
        <v>1410</v>
      </c>
      <c r="B1022" s="15">
        <v>45931</v>
      </c>
      <c r="C1022" t="s">
        <v>21</v>
      </c>
      <c r="D1022" t="s">
        <v>22</v>
      </c>
      <c r="E1022" t="s">
        <v>43</v>
      </c>
      <c r="F1022" t="s">
        <v>41</v>
      </c>
      <c r="G1022" t="s">
        <v>5</v>
      </c>
      <c r="H1022" s="8">
        <v>120</v>
      </c>
      <c r="I1022" s="9">
        <v>118592.17</v>
      </c>
      <c r="J1022" s="9">
        <v>7792.57</v>
      </c>
      <c r="K1022" s="9">
        <v>846.16</v>
      </c>
      <c r="L1022" s="9">
        <v>109953.44</v>
      </c>
      <c r="M1022" s="9">
        <v>128311.1</v>
      </c>
      <c r="N1022" s="6" t="str">
        <f>_xlfn.XLOOKUP(tblSales[[#This Row],[ProductID]],tblProducts[ProductID],tblProducts[ProductName],"Not Found")</f>
        <v>Cardiovan</v>
      </c>
      <c r="O1022" s="8">
        <f>YEAR(tblSales[[#This Row],[Month]])</f>
        <v>2025</v>
      </c>
      <c r="P1022" s="8">
        <f>MONTH(tblSales[[#This Row],[Month]])</f>
        <v>10</v>
      </c>
      <c r="Q1022" s="6">
        <f>IFERROR(tblSales[[#This Row],[NetSalesTRY]]/tblSales[[#This Row],[Units]],0)</f>
        <v>916.27866666666671</v>
      </c>
      <c r="R1022" s="17">
        <f>IFERROR(tblSales[[#This Row],[NetSalesTRY]]/tblSales[[#This Row],[TargetTRY]],0)</f>
        <v>0.85692851203052578</v>
      </c>
      <c r="S1022" s="6">
        <f>tblSales[[#This Row],[NetSalesTRY]]-tblSales[[#This Row],[TargetTRY]]</f>
        <v>-18357.660000000003</v>
      </c>
      <c r="T1022" s="6">
        <f>MAX(tblSales[[#This Row],[TargetTRY]]-tblSales[[#This Row],[NetSalesTRY]],0)</f>
        <v>18357.660000000003</v>
      </c>
    </row>
    <row r="1023" spans="1:20">
      <c r="A1023" t="s">
        <v>1411</v>
      </c>
      <c r="B1023" s="15">
        <v>45931</v>
      </c>
      <c r="C1023" t="s">
        <v>21</v>
      </c>
      <c r="D1023" t="s">
        <v>22</v>
      </c>
      <c r="E1023" t="s">
        <v>43</v>
      </c>
      <c r="F1023" t="s">
        <v>41</v>
      </c>
      <c r="G1023" t="s">
        <v>8</v>
      </c>
      <c r="H1023" s="8">
        <v>154</v>
      </c>
      <c r="I1023" s="9">
        <v>117283.45</v>
      </c>
      <c r="J1023" s="9">
        <v>5697.91</v>
      </c>
      <c r="K1023" s="9">
        <v>1536.8</v>
      </c>
      <c r="L1023" s="9">
        <v>110048.74</v>
      </c>
      <c r="M1023" s="9">
        <v>118975.4</v>
      </c>
      <c r="N1023" s="6" t="str">
        <f>_xlfn.XLOOKUP(tblSales[[#This Row],[ProductID]],tblProducts[ProductID],tblProducts[ProductName],"Not Found")</f>
        <v>GlucoRelief</v>
      </c>
      <c r="O1023" s="8">
        <f>YEAR(tblSales[[#This Row],[Month]])</f>
        <v>2025</v>
      </c>
      <c r="P1023" s="8">
        <f>MONTH(tblSales[[#This Row],[Month]])</f>
        <v>10</v>
      </c>
      <c r="Q1023" s="6">
        <f>IFERROR(tblSales[[#This Row],[NetSalesTRY]]/tblSales[[#This Row],[Units]],0)</f>
        <v>714.60220779220788</v>
      </c>
      <c r="R1023" s="17">
        <f>IFERROR(tblSales[[#This Row],[NetSalesTRY]]/tblSales[[#This Row],[TargetTRY]],0)</f>
        <v>0.92497054012846358</v>
      </c>
      <c r="S1023" s="6">
        <f>tblSales[[#This Row],[NetSalesTRY]]-tblSales[[#This Row],[TargetTRY]]</f>
        <v>-8926.6599999999889</v>
      </c>
      <c r="T1023" s="6">
        <f>MAX(tblSales[[#This Row],[TargetTRY]]-tblSales[[#This Row],[NetSalesTRY]],0)</f>
        <v>8926.6599999999889</v>
      </c>
    </row>
    <row r="1024" spans="1:20">
      <c r="A1024" t="s">
        <v>1412</v>
      </c>
      <c r="B1024" s="15">
        <v>45931</v>
      </c>
      <c r="C1024" t="s">
        <v>21</v>
      </c>
      <c r="D1024" t="s">
        <v>22</v>
      </c>
      <c r="E1024" t="s">
        <v>43</v>
      </c>
      <c r="F1024" t="s">
        <v>41</v>
      </c>
      <c r="G1024" t="s">
        <v>11</v>
      </c>
      <c r="H1024" s="8">
        <v>177</v>
      </c>
      <c r="I1024" s="9">
        <v>110028.65</v>
      </c>
      <c r="J1024" s="9">
        <v>5010.9799999999996</v>
      </c>
      <c r="K1024" s="9">
        <v>1236.1099999999999</v>
      </c>
      <c r="L1024" s="9">
        <v>103781.57</v>
      </c>
      <c r="M1024" s="9">
        <v>110243.34</v>
      </c>
      <c r="N1024" s="6" t="str">
        <f>_xlfn.XLOOKUP(tblSales[[#This Row],[ProductID]],tblProducts[ProductID],tblProducts[ProductName],"Not Found")</f>
        <v>RespiraX</v>
      </c>
      <c r="O1024" s="8">
        <f>YEAR(tblSales[[#This Row],[Month]])</f>
        <v>2025</v>
      </c>
      <c r="P1024" s="8">
        <f>MONTH(tblSales[[#This Row],[Month]])</f>
        <v>10</v>
      </c>
      <c r="Q1024" s="6">
        <f>IFERROR(tblSales[[#This Row],[NetSalesTRY]]/tblSales[[#This Row],[Units]],0)</f>
        <v>586.33655367231643</v>
      </c>
      <c r="R1024" s="17">
        <f>IFERROR(tblSales[[#This Row],[NetSalesTRY]]/tblSales[[#This Row],[TargetTRY]],0)</f>
        <v>0.94138630052391381</v>
      </c>
      <c r="S1024" s="6">
        <f>tblSales[[#This Row],[NetSalesTRY]]-tblSales[[#This Row],[TargetTRY]]</f>
        <v>-6461.7699999999895</v>
      </c>
      <c r="T1024" s="6">
        <f>MAX(tblSales[[#This Row],[TargetTRY]]-tblSales[[#This Row],[NetSalesTRY]],0)</f>
        <v>6461.7699999999895</v>
      </c>
    </row>
    <row r="1025" spans="1:20">
      <c r="A1025" t="s">
        <v>1413</v>
      </c>
      <c r="B1025" s="15">
        <v>45931</v>
      </c>
      <c r="C1025" t="s">
        <v>21</v>
      </c>
      <c r="D1025" t="s">
        <v>22</v>
      </c>
      <c r="E1025" t="s">
        <v>43</v>
      </c>
      <c r="F1025" t="s">
        <v>41</v>
      </c>
      <c r="G1025" t="s">
        <v>14</v>
      </c>
      <c r="H1025" s="8">
        <v>98</v>
      </c>
      <c r="I1025" s="9">
        <v>107003.84</v>
      </c>
      <c r="J1025" s="9">
        <v>7524.98</v>
      </c>
      <c r="K1025" s="9">
        <v>891.54</v>
      </c>
      <c r="L1025" s="9">
        <v>98587.32</v>
      </c>
      <c r="M1025" s="9">
        <v>107468.32</v>
      </c>
      <c r="N1025" s="6" t="str">
        <f>_xlfn.XLOOKUP(tblSales[[#This Row],[ProductID]],tblProducts[ProductID],tblProducts[ProductName],"Not Found")</f>
        <v>NeuroCalm</v>
      </c>
      <c r="O1025" s="8">
        <f>YEAR(tblSales[[#This Row],[Month]])</f>
        <v>2025</v>
      </c>
      <c r="P1025" s="8">
        <f>MONTH(tblSales[[#This Row],[Month]])</f>
        <v>10</v>
      </c>
      <c r="Q1025" s="6">
        <f>IFERROR(tblSales[[#This Row],[NetSalesTRY]]/tblSales[[#This Row],[Units]],0)</f>
        <v>1005.9930612244899</v>
      </c>
      <c r="R1025" s="17">
        <f>IFERROR(tblSales[[#This Row],[NetSalesTRY]]/tblSales[[#This Row],[TargetTRY]],0)</f>
        <v>0.91736169319479455</v>
      </c>
      <c r="S1025" s="6">
        <f>tblSales[[#This Row],[NetSalesTRY]]-tblSales[[#This Row],[TargetTRY]]</f>
        <v>-8881</v>
      </c>
      <c r="T1025" s="6">
        <f>MAX(tblSales[[#This Row],[TargetTRY]]-tblSales[[#This Row],[NetSalesTRY]],0)</f>
        <v>8881</v>
      </c>
    </row>
    <row r="1026" spans="1:20">
      <c r="A1026" t="s">
        <v>1414</v>
      </c>
      <c r="B1026" s="15">
        <v>45931</v>
      </c>
      <c r="C1026" t="s">
        <v>21</v>
      </c>
      <c r="D1026" t="s">
        <v>22</v>
      </c>
      <c r="E1026" t="s">
        <v>46</v>
      </c>
      <c r="F1026" t="s">
        <v>44</v>
      </c>
      <c r="G1026" t="s">
        <v>5</v>
      </c>
      <c r="H1026" s="8">
        <v>102</v>
      </c>
      <c r="I1026" s="9">
        <v>100497.47</v>
      </c>
      <c r="J1026" s="9">
        <v>4529.3100000000004</v>
      </c>
      <c r="K1026" s="9">
        <v>908.3</v>
      </c>
      <c r="L1026" s="9">
        <v>95059.87</v>
      </c>
      <c r="M1026" s="9">
        <v>116151.83</v>
      </c>
      <c r="N1026" s="6" t="str">
        <f>_xlfn.XLOOKUP(tblSales[[#This Row],[ProductID]],tblProducts[ProductID],tblProducts[ProductName],"Not Found")</f>
        <v>Cardiovan</v>
      </c>
      <c r="O1026" s="8">
        <f>YEAR(tblSales[[#This Row],[Month]])</f>
        <v>2025</v>
      </c>
      <c r="P1026" s="8">
        <f>MONTH(tblSales[[#This Row],[Month]])</f>
        <v>10</v>
      </c>
      <c r="Q1026" s="6">
        <f>IFERROR(tblSales[[#This Row],[NetSalesTRY]]/tblSales[[#This Row],[Units]],0)</f>
        <v>931.95950980392149</v>
      </c>
      <c r="R1026" s="17">
        <f>IFERROR(tblSales[[#This Row],[NetSalesTRY]]/tblSales[[#This Row],[TargetTRY]],0)</f>
        <v>0.81841043744209618</v>
      </c>
      <c r="S1026" s="6">
        <f>tblSales[[#This Row],[NetSalesTRY]]-tblSales[[#This Row],[TargetTRY]]</f>
        <v>-21091.960000000006</v>
      </c>
      <c r="T1026" s="6">
        <f>MAX(tblSales[[#This Row],[TargetTRY]]-tblSales[[#This Row],[NetSalesTRY]],0)</f>
        <v>21091.960000000006</v>
      </c>
    </row>
    <row r="1027" spans="1:20">
      <c r="A1027" t="s">
        <v>1415</v>
      </c>
      <c r="B1027" s="15">
        <v>45931</v>
      </c>
      <c r="C1027" t="s">
        <v>21</v>
      </c>
      <c r="D1027" t="s">
        <v>22</v>
      </c>
      <c r="E1027" t="s">
        <v>46</v>
      </c>
      <c r="F1027" t="s">
        <v>44</v>
      </c>
      <c r="G1027" t="s">
        <v>8</v>
      </c>
      <c r="H1027" s="8">
        <v>140</v>
      </c>
      <c r="I1027" s="9">
        <v>107421.52</v>
      </c>
      <c r="J1027" s="9">
        <v>6790.59</v>
      </c>
      <c r="K1027" s="9">
        <v>1335.96</v>
      </c>
      <c r="L1027" s="9">
        <v>99294.97</v>
      </c>
      <c r="M1027" s="9">
        <v>104269.18</v>
      </c>
      <c r="N1027" s="6" t="str">
        <f>_xlfn.XLOOKUP(tblSales[[#This Row],[ProductID]],tblProducts[ProductID],tblProducts[ProductName],"Not Found")</f>
        <v>GlucoRelief</v>
      </c>
      <c r="O1027" s="8">
        <f>YEAR(tblSales[[#This Row],[Month]])</f>
        <v>2025</v>
      </c>
      <c r="P1027" s="8">
        <f>MONTH(tblSales[[#This Row],[Month]])</f>
        <v>10</v>
      </c>
      <c r="Q1027" s="6">
        <f>IFERROR(tblSales[[#This Row],[NetSalesTRY]]/tblSales[[#This Row],[Units]],0)</f>
        <v>709.24978571428574</v>
      </c>
      <c r="R1027" s="17">
        <f>IFERROR(tblSales[[#This Row],[NetSalesTRY]]/tblSales[[#This Row],[TargetTRY]],0)</f>
        <v>0.95229453228653005</v>
      </c>
      <c r="S1027" s="6">
        <f>tblSales[[#This Row],[NetSalesTRY]]-tblSales[[#This Row],[TargetTRY]]</f>
        <v>-4974.2099999999919</v>
      </c>
      <c r="T1027" s="6">
        <f>MAX(tblSales[[#This Row],[TargetTRY]]-tblSales[[#This Row],[NetSalesTRY]],0)</f>
        <v>4974.2099999999919</v>
      </c>
    </row>
    <row r="1028" spans="1:20">
      <c r="A1028" t="s">
        <v>1416</v>
      </c>
      <c r="B1028" s="15">
        <v>45931</v>
      </c>
      <c r="C1028" t="s">
        <v>21</v>
      </c>
      <c r="D1028" t="s">
        <v>22</v>
      </c>
      <c r="E1028" t="s">
        <v>46</v>
      </c>
      <c r="F1028" t="s">
        <v>44</v>
      </c>
      <c r="G1028" t="s">
        <v>11</v>
      </c>
      <c r="H1028" s="8">
        <v>168</v>
      </c>
      <c r="I1028" s="9">
        <v>104956.9</v>
      </c>
      <c r="J1028" s="9">
        <v>3876.86</v>
      </c>
      <c r="K1028" s="9">
        <v>970.7</v>
      </c>
      <c r="L1028" s="9">
        <v>100109.34</v>
      </c>
      <c r="M1028" s="9">
        <v>98846.83</v>
      </c>
      <c r="N1028" s="6" t="str">
        <f>_xlfn.XLOOKUP(tblSales[[#This Row],[ProductID]],tblProducts[ProductID],tblProducts[ProductName],"Not Found")</f>
        <v>RespiraX</v>
      </c>
      <c r="O1028" s="8">
        <f>YEAR(tblSales[[#This Row],[Month]])</f>
        <v>2025</v>
      </c>
      <c r="P1028" s="8">
        <f>MONTH(tblSales[[#This Row],[Month]])</f>
        <v>10</v>
      </c>
      <c r="Q1028" s="6">
        <f>IFERROR(tblSales[[#This Row],[NetSalesTRY]]/tblSales[[#This Row],[Units]],0)</f>
        <v>595.88892857142855</v>
      </c>
      <c r="R1028" s="17">
        <f>IFERROR(tblSales[[#This Row],[NetSalesTRY]]/tblSales[[#This Row],[TargetTRY]],0)</f>
        <v>1.0127723873390779</v>
      </c>
      <c r="S1028" s="6">
        <f>tblSales[[#This Row],[NetSalesTRY]]-tblSales[[#This Row],[TargetTRY]]</f>
        <v>1262.5099999999948</v>
      </c>
      <c r="T1028" s="6">
        <f>MAX(tblSales[[#This Row],[TargetTRY]]-tblSales[[#This Row],[NetSalesTRY]],0)</f>
        <v>0</v>
      </c>
    </row>
    <row r="1029" spans="1:20">
      <c r="A1029" t="s">
        <v>1417</v>
      </c>
      <c r="B1029" s="15">
        <v>45931</v>
      </c>
      <c r="C1029" t="s">
        <v>21</v>
      </c>
      <c r="D1029" t="s">
        <v>22</v>
      </c>
      <c r="E1029" t="s">
        <v>46</v>
      </c>
      <c r="F1029" t="s">
        <v>44</v>
      </c>
      <c r="G1029" t="s">
        <v>14</v>
      </c>
      <c r="H1029" s="8">
        <v>91</v>
      </c>
      <c r="I1029" s="9">
        <v>100802.35</v>
      </c>
      <c r="J1029" s="9">
        <v>7156.05</v>
      </c>
      <c r="K1029" s="9">
        <v>654.91999999999996</v>
      </c>
      <c r="L1029" s="9">
        <v>92991.38</v>
      </c>
      <c r="M1029" s="9">
        <v>94246.25</v>
      </c>
      <c r="N1029" s="6" t="str">
        <f>_xlfn.XLOOKUP(tblSales[[#This Row],[ProductID]],tblProducts[ProductID],tblProducts[ProductName],"Not Found")</f>
        <v>NeuroCalm</v>
      </c>
      <c r="O1029" s="8">
        <f>YEAR(tblSales[[#This Row],[Month]])</f>
        <v>2025</v>
      </c>
      <c r="P1029" s="8">
        <f>MONTH(tblSales[[#This Row],[Month]])</f>
        <v>10</v>
      </c>
      <c r="Q1029" s="6">
        <f>IFERROR(tblSales[[#This Row],[NetSalesTRY]]/tblSales[[#This Row],[Units]],0)</f>
        <v>1021.8832967032968</v>
      </c>
      <c r="R1029" s="17">
        <f>IFERROR(tblSales[[#This Row],[NetSalesTRY]]/tblSales[[#This Row],[TargetTRY]],0)</f>
        <v>0.9866851996763798</v>
      </c>
      <c r="S1029" s="6">
        <f>tblSales[[#This Row],[NetSalesTRY]]-tblSales[[#This Row],[TargetTRY]]</f>
        <v>-1254.8699999999953</v>
      </c>
      <c r="T1029" s="6">
        <f>MAX(tblSales[[#This Row],[TargetTRY]]-tblSales[[#This Row],[NetSalesTRY]],0)</f>
        <v>1254.8699999999953</v>
      </c>
    </row>
    <row r="1030" spans="1:20">
      <c r="A1030" t="s">
        <v>1418</v>
      </c>
      <c r="B1030" s="15">
        <v>45931</v>
      </c>
      <c r="C1030" t="s">
        <v>21</v>
      </c>
      <c r="D1030" t="s">
        <v>22</v>
      </c>
      <c r="E1030" t="s">
        <v>49</v>
      </c>
      <c r="F1030" t="s">
        <v>47</v>
      </c>
      <c r="G1030" t="s">
        <v>5</v>
      </c>
      <c r="H1030" s="8">
        <v>120</v>
      </c>
      <c r="I1030" s="9">
        <v>118049.75</v>
      </c>
      <c r="J1030" s="9">
        <v>6602.98</v>
      </c>
      <c r="K1030" s="9">
        <v>482.88</v>
      </c>
      <c r="L1030" s="9">
        <v>110963.9</v>
      </c>
      <c r="M1030" s="9">
        <v>127740</v>
      </c>
      <c r="N1030" s="6" t="str">
        <f>_xlfn.XLOOKUP(tblSales[[#This Row],[ProductID]],tblProducts[ProductID],tblProducts[ProductName],"Not Found")</f>
        <v>Cardiovan</v>
      </c>
      <c r="O1030" s="8">
        <f>YEAR(tblSales[[#This Row],[Month]])</f>
        <v>2025</v>
      </c>
      <c r="P1030" s="8">
        <f>MONTH(tblSales[[#This Row],[Month]])</f>
        <v>10</v>
      </c>
      <c r="Q1030" s="6">
        <f>IFERROR(tblSales[[#This Row],[NetSalesTRY]]/tblSales[[#This Row],[Units]],0)</f>
        <v>924.69916666666666</v>
      </c>
      <c r="R1030" s="17">
        <f>IFERROR(tblSales[[#This Row],[NetSalesTRY]]/tblSales[[#This Row],[TargetTRY]],0)</f>
        <v>0.86866995459527163</v>
      </c>
      <c r="S1030" s="6">
        <f>tblSales[[#This Row],[NetSalesTRY]]-tblSales[[#This Row],[TargetTRY]]</f>
        <v>-16776.100000000006</v>
      </c>
      <c r="T1030" s="6">
        <f>MAX(tblSales[[#This Row],[TargetTRY]]-tblSales[[#This Row],[NetSalesTRY]],0)</f>
        <v>16776.100000000006</v>
      </c>
    </row>
    <row r="1031" spans="1:20">
      <c r="A1031" t="s">
        <v>1419</v>
      </c>
      <c r="B1031" s="15">
        <v>45931</v>
      </c>
      <c r="C1031" t="s">
        <v>21</v>
      </c>
      <c r="D1031" t="s">
        <v>22</v>
      </c>
      <c r="E1031" t="s">
        <v>49</v>
      </c>
      <c r="F1031" t="s">
        <v>47</v>
      </c>
      <c r="G1031" t="s">
        <v>8</v>
      </c>
      <c r="H1031" s="8">
        <v>164</v>
      </c>
      <c r="I1031" s="9">
        <v>123646.77</v>
      </c>
      <c r="J1031" s="9">
        <v>7916.46</v>
      </c>
      <c r="K1031" s="9">
        <v>967.44</v>
      </c>
      <c r="L1031" s="9">
        <v>114762.87</v>
      </c>
      <c r="M1031" s="9">
        <v>118238.79</v>
      </c>
      <c r="N1031" s="6" t="str">
        <f>_xlfn.XLOOKUP(tblSales[[#This Row],[ProductID]],tblProducts[ProductID],tblProducts[ProductName],"Not Found")</f>
        <v>GlucoRelief</v>
      </c>
      <c r="O1031" s="8">
        <f>YEAR(tblSales[[#This Row],[Month]])</f>
        <v>2025</v>
      </c>
      <c r="P1031" s="8">
        <f>MONTH(tblSales[[#This Row],[Month]])</f>
        <v>10</v>
      </c>
      <c r="Q1031" s="6">
        <f>IFERROR(tblSales[[#This Row],[NetSalesTRY]]/tblSales[[#This Row],[Units]],0)</f>
        <v>699.77359756097553</v>
      </c>
      <c r="R1031" s="17">
        <f>IFERROR(tblSales[[#This Row],[NetSalesTRY]]/tblSales[[#This Row],[TargetTRY]],0)</f>
        <v>0.97060254084129249</v>
      </c>
      <c r="S1031" s="6">
        <f>tblSales[[#This Row],[NetSalesTRY]]-tblSales[[#This Row],[TargetTRY]]</f>
        <v>-3475.9199999999983</v>
      </c>
      <c r="T1031" s="6">
        <f>MAX(tblSales[[#This Row],[TargetTRY]]-tblSales[[#This Row],[NetSalesTRY]],0)</f>
        <v>3475.9199999999983</v>
      </c>
    </row>
    <row r="1032" spans="1:20">
      <c r="A1032" t="s">
        <v>1420</v>
      </c>
      <c r="B1032" s="15">
        <v>45931</v>
      </c>
      <c r="C1032" t="s">
        <v>21</v>
      </c>
      <c r="D1032" t="s">
        <v>22</v>
      </c>
      <c r="E1032" t="s">
        <v>49</v>
      </c>
      <c r="F1032" t="s">
        <v>47</v>
      </c>
      <c r="G1032" t="s">
        <v>11</v>
      </c>
      <c r="H1032" s="8">
        <v>174</v>
      </c>
      <c r="I1032" s="9">
        <v>107068.73</v>
      </c>
      <c r="J1032" s="9">
        <v>3888.67</v>
      </c>
      <c r="K1032" s="9">
        <v>605.87</v>
      </c>
      <c r="L1032" s="9">
        <v>102574.19</v>
      </c>
      <c r="M1032" s="9">
        <v>109621.13</v>
      </c>
      <c r="N1032" s="6" t="str">
        <f>_xlfn.XLOOKUP(tblSales[[#This Row],[ProductID]],tblProducts[ProductID],tblProducts[ProductName],"Not Found")</f>
        <v>RespiraX</v>
      </c>
      <c r="O1032" s="8">
        <f>YEAR(tblSales[[#This Row],[Month]])</f>
        <v>2025</v>
      </c>
      <c r="P1032" s="8">
        <f>MONTH(tblSales[[#This Row],[Month]])</f>
        <v>10</v>
      </c>
      <c r="Q1032" s="6">
        <f>IFERROR(tblSales[[#This Row],[NetSalesTRY]]/tblSales[[#This Row],[Units]],0)</f>
        <v>589.50683908045983</v>
      </c>
      <c r="R1032" s="17">
        <f>IFERROR(tblSales[[#This Row],[NetSalesTRY]]/tblSales[[#This Row],[TargetTRY]],0)</f>
        <v>0.93571549572605206</v>
      </c>
      <c r="S1032" s="6">
        <f>tblSales[[#This Row],[NetSalesTRY]]-tblSales[[#This Row],[TargetTRY]]</f>
        <v>-7046.9400000000023</v>
      </c>
      <c r="T1032" s="6">
        <f>MAX(tblSales[[#This Row],[TargetTRY]]-tblSales[[#This Row],[NetSalesTRY]],0)</f>
        <v>7046.9400000000023</v>
      </c>
    </row>
    <row r="1033" spans="1:20">
      <c r="A1033" t="s">
        <v>1421</v>
      </c>
      <c r="B1033" s="15">
        <v>45931</v>
      </c>
      <c r="C1033" t="s">
        <v>21</v>
      </c>
      <c r="D1033" t="s">
        <v>22</v>
      </c>
      <c r="E1033" t="s">
        <v>49</v>
      </c>
      <c r="F1033" t="s">
        <v>47</v>
      </c>
      <c r="G1033" t="s">
        <v>14</v>
      </c>
      <c r="H1033" s="8">
        <v>98</v>
      </c>
      <c r="I1033" s="9">
        <v>108579.27</v>
      </c>
      <c r="J1033" s="9">
        <v>6903.13</v>
      </c>
      <c r="K1033" s="9">
        <v>1450.59</v>
      </c>
      <c r="L1033" s="9">
        <v>100225.55</v>
      </c>
      <c r="M1033" s="9">
        <v>104985.69</v>
      </c>
      <c r="N1033" s="6" t="str">
        <f>_xlfn.XLOOKUP(tblSales[[#This Row],[ProductID]],tblProducts[ProductID],tblProducts[ProductName],"Not Found")</f>
        <v>NeuroCalm</v>
      </c>
      <c r="O1033" s="8">
        <f>YEAR(tblSales[[#This Row],[Month]])</f>
        <v>2025</v>
      </c>
      <c r="P1033" s="8">
        <f>MONTH(tblSales[[#This Row],[Month]])</f>
        <v>10</v>
      </c>
      <c r="Q1033" s="6">
        <f>IFERROR(tblSales[[#This Row],[NetSalesTRY]]/tblSales[[#This Row],[Units]],0)</f>
        <v>1022.7096938775511</v>
      </c>
      <c r="R1033" s="17">
        <f>IFERROR(tblSales[[#This Row],[NetSalesTRY]]/tblSales[[#This Row],[TargetTRY]],0)</f>
        <v>0.95465915402375312</v>
      </c>
      <c r="S1033" s="6">
        <f>tblSales[[#This Row],[NetSalesTRY]]-tblSales[[#This Row],[TargetTRY]]</f>
        <v>-4760.1399999999994</v>
      </c>
      <c r="T1033" s="6">
        <f>MAX(tblSales[[#This Row],[TargetTRY]]-tblSales[[#This Row],[NetSalesTRY]],0)</f>
        <v>4760.1399999999994</v>
      </c>
    </row>
    <row r="1034" spans="1:20">
      <c r="A1034" t="s">
        <v>1422</v>
      </c>
      <c r="B1034" s="15">
        <v>45931</v>
      </c>
      <c r="C1034" t="s">
        <v>23</v>
      </c>
      <c r="D1034" t="s">
        <v>24</v>
      </c>
      <c r="E1034" t="s">
        <v>52</v>
      </c>
      <c r="F1034" t="s">
        <v>50</v>
      </c>
      <c r="G1034" t="s">
        <v>5</v>
      </c>
      <c r="H1034" s="8">
        <v>134</v>
      </c>
      <c r="I1034" s="9">
        <v>130178.54</v>
      </c>
      <c r="J1034" s="9">
        <v>8978.18</v>
      </c>
      <c r="K1034" s="9">
        <v>1627.45</v>
      </c>
      <c r="L1034" s="9">
        <v>119572.9</v>
      </c>
      <c r="M1034" s="9">
        <v>129400.96000000001</v>
      </c>
      <c r="N1034" s="6" t="str">
        <f>_xlfn.XLOOKUP(tblSales[[#This Row],[ProductID]],tblProducts[ProductID],tblProducts[ProductName],"Not Found")</f>
        <v>Cardiovan</v>
      </c>
      <c r="O1034" s="8">
        <f>YEAR(tblSales[[#This Row],[Month]])</f>
        <v>2025</v>
      </c>
      <c r="P1034" s="8">
        <f>MONTH(tblSales[[#This Row],[Month]])</f>
        <v>10</v>
      </c>
      <c r="Q1034" s="6">
        <f>IFERROR(tblSales[[#This Row],[NetSalesTRY]]/tblSales[[#This Row],[Units]],0)</f>
        <v>892.33507462686566</v>
      </c>
      <c r="R1034" s="17">
        <f>IFERROR(tblSales[[#This Row],[NetSalesTRY]]/tblSales[[#This Row],[TargetTRY]],0)</f>
        <v>0.92404955882862061</v>
      </c>
      <c r="S1034" s="6">
        <f>tblSales[[#This Row],[NetSalesTRY]]-tblSales[[#This Row],[TargetTRY]]</f>
        <v>-9828.0600000000122</v>
      </c>
      <c r="T1034" s="6">
        <f>MAX(tblSales[[#This Row],[TargetTRY]]-tblSales[[#This Row],[NetSalesTRY]],0)</f>
        <v>9828.0600000000122</v>
      </c>
    </row>
    <row r="1035" spans="1:20">
      <c r="A1035" t="s">
        <v>1423</v>
      </c>
      <c r="B1035" s="15">
        <v>45931</v>
      </c>
      <c r="C1035" t="s">
        <v>23</v>
      </c>
      <c r="D1035" t="s">
        <v>24</v>
      </c>
      <c r="E1035" t="s">
        <v>52</v>
      </c>
      <c r="F1035" t="s">
        <v>50</v>
      </c>
      <c r="G1035" t="s">
        <v>8</v>
      </c>
      <c r="H1035" s="8">
        <v>159</v>
      </c>
      <c r="I1035" s="9">
        <v>121007.44</v>
      </c>
      <c r="J1035" s="9">
        <v>8484.67</v>
      </c>
      <c r="K1035" s="9">
        <v>1586.28</v>
      </c>
      <c r="L1035" s="9">
        <v>110936.5</v>
      </c>
      <c r="M1035" s="9">
        <v>116025.4</v>
      </c>
      <c r="N1035" s="6" t="str">
        <f>_xlfn.XLOOKUP(tblSales[[#This Row],[ProductID]],tblProducts[ProductID],tblProducts[ProductName],"Not Found")</f>
        <v>GlucoRelief</v>
      </c>
      <c r="O1035" s="8">
        <f>YEAR(tblSales[[#This Row],[Month]])</f>
        <v>2025</v>
      </c>
      <c r="P1035" s="8">
        <f>MONTH(tblSales[[#This Row],[Month]])</f>
        <v>10</v>
      </c>
      <c r="Q1035" s="6">
        <f>IFERROR(tblSales[[#This Row],[NetSalesTRY]]/tblSales[[#This Row],[Units]],0)</f>
        <v>697.71383647798746</v>
      </c>
      <c r="R1035" s="17">
        <f>IFERROR(tblSales[[#This Row],[NetSalesTRY]]/tblSales[[#This Row],[TargetTRY]],0)</f>
        <v>0.95613977629036406</v>
      </c>
      <c r="S1035" s="6">
        <f>tblSales[[#This Row],[NetSalesTRY]]-tblSales[[#This Row],[TargetTRY]]</f>
        <v>-5088.8999999999942</v>
      </c>
      <c r="T1035" s="6">
        <f>MAX(tblSales[[#This Row],[TargetTRY]]-tblSales[[#This Row],[NetSalesTRY]],0)</f>
        <v>5088.8999999999942</v>
      </c>
    </row>
    <row r="1036" spans="1:20">
      <c r="A1036" t="s">
        <v>1424</v>
      </c>
      <c r="B1036" s="15">
        <v>45931</v>
      </c>
      <c r="C1036" t="s">
        <v>23</v>
      </c>
      <c r="D1036" t="s">
        <v>24</v>
      </c>
      <c r="E1036" t="s">
        <v>52</v>
      </c>
      <c r="F1036" t="s">
        <v>50</v>
      </c>
      <c r="G1036" t="s">
        <v>11</v>
      </c>
      <c r="H1036" s="8">
        <v>175</v>
      </c>
      <c r="I1036" s="9">
        <v>109181.1</v>
      </c>
      <c r="J1036" s="9">
        <v>5305.46</v>
      </c>
      <c r="K1036" s="9">
        <v>1483.62</v>
      </c>
      <c r="L1036" s="9">
        <v>102392.02</v>
      </c>
      <c r="M1036" s="9">
        <v>110434.31</v>
      </c>
      <c r="N1036" s="6" t="str">
        <f>_xlfn.XLOOKUP(tblSales[[#This Row],[ProductID]],tblProducts[ProductID],tblProducts[ProductName],"Not Found")</f>
        <v>RespiraX</v>
      </c>
      <c r="O1036" s="8">
        <f>YEAR(tblSales[[#This Row],[Month]])</f>
        <v>2025</v>
      </c>
      <c r="P1036" s="8">
        <f>MONTH(tblSales[[#This Row],[Month]])</f>
        <v>10</v>
      </c>
      <c r="Q1036" s="6">
        <f>IFERROR(tblSales[[#This Row],[NetSalesTRY]]/tblSales[[#This Row],[Units]],0)</f>
        <v>585.09725714285719</v>
      </c>
      <c r="R1036" s="17">
        <f>IFERROR(tblSales[[#This Row],[NetSalesTRY]]/tblSales[[#This Row],[TargetTRY]],0)</f>
        <v>0.92717580252006837</v>
      </c>
      <c r="S1036" s="6">
        <f>tblSales[[#This Row],[NetSalesTRY]]-tblSales[[#This Row],[TargetTRY]]</f>
        <v>-8042.2899999999936</v>
      </c>
      <c r="T1036" s="6">
        <f>MAX(tblSales[[#This Row],[TargetTRY]]-tblSales[[#This Row],[NetSalesTRY]],0)</f>
        <v>8042.2899999999936</v>
      </c>
    </row>
    <row r="1037" spans="1:20">
      <c r="A1037" t="s">
        <v>1425</v>
      </c>
      <c r="B1037" s="15">
        <v>45931</v>
      </c>
      <c r="C1037" t="s">
        <v>23</v>
      </c>
      <c r="D1037" t="s">
        <v>24</v>
      </c>
      <c r="E1037" t="s">
        <v>52</v>
      </c>
      <c r="F1037" t="s">
        <v>50</v>
      </c>
      <c r="G1037" t="s">
        <v>14</v>
      </c>
      <c r="H1037" s="8">
        <v>98</v>
      </c>
      <c r="I1037" s="9">
        <v>106320.78</v>
      </c>
      <c r="J1037" s="9">
        <v>5934.24</v>
      </c>
      <c r="K1037" s="9">
        <v>1468.43</v>
      </c>
      <c r="L1037" s="9">
        <v>98918.11</v>
      </c>
      <c r="M1037" s="9">
        <v>105570.83</v>
      </c>
      <c r="N1037" s="6" t="str">
        <f>_xlfn.XLOOKUP(tblSales[[#This Row],[ProductID]],tblProducts[ProductID],tblProducts[ProductName],"Not Found")</f>
        <v>NeuroCalm</v>
      </c>
      <c r="O1037" s="8">
        <f>YEAR(tblSales[[#This Row],[Month]])</f>
        <v>2025</v>
      </c>
      <c r="P1037" s="8">
        <f>MONTH(tblSales[[#This Row],[Month]])</f>
        <v>10</v>
      </c>
      <c r="Q1037" s="6">
        <f>IFERROR(tblSales[[#This Row],[NetSalesTRY]]/tblSales[[#This Row],[Units]],0)</f>
        <v>1009.3684693877551</v>
      </c>
      <c r="R1037" s="17">
        <f>IFERROR(tblSales[[#This Row],[NetSalesTRY]]/tblSales[[#This Row],[TargetTRY]],0)</f>
        <v>0.93698335041980818</v>
      </c>
      <c r="S1037" s="6">
        <f>tblSales[[#This Row],[NetSalesTRY]]-tblSales[[#This Row],[TargetTRY]]</f>
        <v>-6652.7200000000012</v>
      </c>
      <c r="T1037" s="6">
        <f>MAX(tblSales[[#This Row],[TargetTRY]]-tblSales[[#This Row],[NetSalesTRY]],0)</f>
        <v>6652.7200000000012</v>
      </c>
    </row>
    <row r="1038" spans="1:20">
      <c r="A1038" t="s">
        <v>1426</v>
      </c>
      <c r="B1038" s="15">
        <v>45931</v>
      </c>
      <c r="C1038" t="s">
        <v>23</v>
      </c>
      <c r="D1038" t="s">
        <v>24</v>
      </c>
      <c r="E1038" t="s">
        <v>55</v>
      </c>
      <c r="F1038" t="s">
        <v>53</v>
      </c>
      <c r="G1038" t="s">
        <v>5</v>
      </c>
      <c r="H1038" s="8">
        <v>132</v>
      </c>
      <c r="I1038" s="9">
        <v>129751.92</v>
      </c>
      <c r="J1038" s="9">
        <v>9027.41</v>
      </c>
      <c r="K1038" s="9">
        <v>763.08</v>
      </c>
      <c r="L1038" s="9">
        <v>119961.43</v>
      </c>
      <c r="M1038" s="9">
        <v>129208.18</v>
      </c>
      <c r="N1038" s="6" t="str">
        <f>_xlfn.XLOOKUP(tblSales[[#This Row],[ProductID]],tblProducts[ProductID],tblProducts[ProductName],"Not Found")</f>
        <v>Cardiovan</v>
      </c>
      <c r="O1038" s="8">
        <f>YEAR(tblSales[[#This Row],[Month]])</f>
        <v>2025</v>
      </c>
      <c r="P1038" s="8">
        <f>MONTH(tblSales[[#This Row],[Month]])</f>
        <v>10</v>
      </c>
      <c r="Q1038" s="6">
        <f>IFERROR(tblSales[[#This Row],[NetSalesTRY]]/tblSales[[#This Row],[Units]],0)</f>
        <v>908.79871212121202</v>
      </c>
      <c r="R1038" s="17">
        <f>IFERROR(tblSales[[#This Row],[NetSalesTRY]]/tblSales[[#This Row],[TargetTRY]],0)</f>
        <v>0.92843525851072273</v>
      </c>
      <c r="S1038" s="6">
        <f>tblSales[[#This Row],[NetSalesTRY]]-tblSales[[#This Row],[TargetTRY]]</f>
        <v>-9246.75</v>
      </c>
      <c r="T1038" s="6">
        <f>MAX(tblSales[[#This Row],[TargetTRY]]-tblSales[[#This Row],[NetSalesTRY]],0)</f>
        <v>9246.75</v>
      </c>
    </row>
    <row r="1039" spans="1:20">
      <c r="A1039" t="s">
        <v>1427</v>
      </c>
      <c r="B1039" s="15">
        <v>45931</v>
      </c>
      <c r="C1039" t="s">
        <v>23</v>
      </c>
      <c r="D1039" t="s">
        <v>24</v>
      </c>
      <c r="E1039" t="s">
        <v>55</v>
      </c>
      <c r="F1039" t="s">
        <v>53</v>
      </c>
      <c r="G1039" t="s">
        <v>8</v>
      </c>
      <c r="H1039" s="8">
        <v>168</v>
      </c>
      <c r="I1039" s="9">
        <v>126807.9</v>
      </c>
      <c r="J1039" s="9">
        <v>6832.98</v>
      </c>
      <c r="K1039" s="9">
        <v>757.92</v>
      </c>
      <c r="L1039" s="9">
        <v>119216.99</v>
      </c>
      <c r="M1039" s="9">
        <v>119241.60000000001</v>
      </c>
      <c r="N1039" s="6" t="str">
        <f>_xlfn.XLOOKUP(tblSales[[#This Row],[ProductID]],tblProducts[ProductID],tblProducts[ProductName],"Not Found")</f>
        <v>GlucoRelief</v>
      </c>
      <c r="O1039" s="8">
        <f>YEAR(tblSales[[#This Row],[Month]])</f>
        <v>2025</v>
      </c>
      <c r="P1039" s="8">
        <f>MONTH(tblSales[[#This Row],[Month]])</f>
        <v>10</v>
      </c>
      <c r="Q1039" s="6">
        <f>IFERROR(tblSales[[#This Row],[NetSalesTRY]]/tblSales[[#This Row],[Units]],0)</f>
        <v>709.62494047619055</v>
      </c>
      <c r="R1039" s="17">
        <f>IFERROR(tblSales[[#This Row],[NetSalesTRY]]/tblSales[[#This Row],[TargetTRY]],0)</f>
        <v>0.99979361229637975</v>
      </c>
      <c r="S1039" s="6">
        <f>tblSales[[#This Row],[NetSalesTRY]]-tblSales[[#This Row],[TargetTRY]]</f>
        <v>-24.610000000000582</v>
      </c>
      <c r="T1039" s="6">
        <f>MAX(tblSales[[#This Row],[TargetTRY]]-tblSales[[#This Row],[NetSalesTRY]],0)</f>
        <v>24.610000000000582</v>
      </c>
    </row>
    <row r="1040" spans="1:20">
      <c r="A1040" t="s">
        <v>1428</v>
      </c>
      <c r="B1040" s="15">
        <v>45931</v>
      </c>
      <c r="C1040" t="s">
        <v>23</v>
      </c>
      <c r="D1040" t="s">
        <v>24</v>
      </c>
      <c r="E1040" t="s">
        <v>55</v>
      </c>
      <c r="F1040" t="s">
        <v>53</v>
      </c>
      <c r="G1040" t="s">
        <v>11</v>
      </c>
      <c r="H1040" s="8">
        <v>181</v>
      </c>
      <c r="I1040" s="9">
        <v>112707.86</v>
      </c>
      <c r="J1040" s="9">
        <v>7207.5</v>
      </c>
      <c r="K1040" s="9">
        <v>1084.5999999999999</v>
      </c>
      <c r="L1040" s="9">
        <v>104415.75</v>
      </c>
      <c r="M1040" s="9">
        <v>109336.95</v>
      </c>
      <c r="N1040" s="6" t="str">
        <f>_xlfn.XLOOKUP(tblSales[[#This Row],[ProductID]],tblProducts[ProductID],tblProducts[ProductName],"Not Found")</f>
        <v>RespiraX</v>
      </c>
      <c r="O1040" s="8">
        <f>YEAR(tblSales[[#This Row],[Month]])</f>
        <v>2025</v>
      </c>
      <c r="P1040" s="8">
        <f>MONTH(tblSales[[#This Row],[Month]])</f>
        <v>10</v>
      </c>
      <c r="Q1040" s="6">
        <f>IFERROR(tblSales[[#This Row],[NetSalesTRY]]/tblSales[[#This Row],[Units]],0)</f>
        <v>576.88259668508283</v>
      </c>
      <c r="R1040" s="17">
        <f>IFERROR(tblSales[[#This Row],[NetSalesTRY]]/tblSales[[#This Row],[TargetTRY]],0)</f>
        <v>0.95499051327113116</v>
      </c>
      <c r="S1040" s="6">
        <f>tblSales[[#This Row],[NetSalesTRY]]-tblSales[[#This Row],[TargetTRY]]</f>
        <v>-4921.1999999999971</v>
      </c>
      <c r="T1040" s="6">
        <f>MAX(tblSales[[#This Row],[TargetTRY]]-tblSales[[#This Row],[NetSalesTRY]],0)</f>
        <v>4921.1999999999971</v>
      </c>
    </row>
    <row r="1041" spans="1:20">
      <c r="A1041" t="s">
        <v>1429</v>
      </c>
      <c r="B1041" s="15">
        <v>45931</v>
      </c>
      <c r="C1041" t="s">
        <v>23</v>
      </c>
      <c r="D1041" t="s">
        <v>24</v>
      </c>
      <c r="E1041" t="s">
        <v>55</v>
      </c>
      <c r="F1041" t="s">
        <v>53</v>
      </c>
      <c r="G1041" t="s">
        <v>14</v>
      </c>
      <c r="H1041" s="8">
        <v>104</v>
      </c>
      <c r="I1041" s="9">
        <v>113681.52</v>
      </c>
      <c r="J1041" s="9">
        <v>8142.86</v>
      </c>
      <c r="K1041" s="9">
        <v>522.66999999999996</v>
      </c>
      <c r="L1041" s="9">
        <v>105015.99</v>
      </c>
      <c r="M1041" s="9">
        <v>107966.51</v>
      </c>
      <c r="N1041" s="6" t="str">
        <f>_xlfn.XLOOKUP(tblSales[[#This Row],[ProductID]],tblProducts[ProductID],tblProducts[ProductName],"Not Found")</f>
        <v>NeuroCalm</v>
      </c>
      <c r="O1041" s="8">
        <f>YEAR(tblSales[[#This Row],[Month]])</f>
        <v>2025</v>
      </c>
      <c r="P1041" s="8">
        <f>MONTH(tblSales[[#This Row],[Month]])</f>
        <v>10</v>
      </c>
      <c r="Q1041" s="6">
        <f>IFERROR(tblSales[[#This Row],[NetSalesTRY]]/tblSales[[#This Row],[Units]],0)</f>
        <v>1009.7691346153847</v>
      </c>
      <c r="R1041" s="17">
        <f>IFERROR(tblSales[[#This Row],[NetSalesTRY]]/tblSales[[#This Row],[TargetTRY]],0)</f>
        <v>0.97267189612779015</v>
      </c>
      <c r="S1041" s="6">
        <f>tblSales[[#This Row],[NetSalesTRY]]-tblSales[[#This Row],[TargetTRY]]</f>
        <v>-2950.5199999999895</v>
      </c>
      <c r="T1041" s="6">
        <f>MAX(tblSales[[#This Row],[TargetTRY]]-tblSales[[#This Row],[NetSalesTRY]],0)</f>
        <v>2950.5199999999895</v>
      </c>
    </row>
    <row r="1042" spans="1:20">
      <c r="A1042" t="s">
        <v>1430</v>
      </c>
      <c r="B1042" s="15">
        <v>45931</v>
      </c>
      <c r="C1042" t="s">
        <v>23</v>
      </c>
      <c r="D1042" t="s">
        <v>24</v>
      </c>
      <c r="E1042" t="s">
        <v>58</v>
      </c>
      <c r="F1042" t="s">
        <v>56</v>
      </c>
      <c r="G1042" t="s">
        <v>5</v>
      </c>
      <c r="H1042" s="8">
        <v>141</v>
      </c>
      <c r="I1042" s="9">
        <v>136451.78</v>
      </c>
      <c r="J1042" s="9">
        <v>8718.2900000000009</v>
      </c>
      <c r="K1042" s="9">
        <v>792.5</v>
      </c>
      <c r="L1042" s="9">
        <v>126940.99</v>
      </c>
      <c r="M1042" s="9">
        <v>135086.51</v>
      </c>
      <c r="N1042" s="6" t="str">
        <f>_xlfn.XLOOKUP(tblSales[[#This Row],[ProductID]],tblProducts[ProductID],tblProducts[ProductName],"Not Found")</f>
        <v>Cardiovan</v>
      </c>
      <c r="O1042" s="8">
        <f>YEAR(tblSales[[#This Row],[Month]])</f>
        <v>2025</v>
      </c>
      <c r="P1042" s="8">
        <f>MONTH(tblSales[[#This Row],[Month]])</f>
        <v>10</v>
      </c>
      <c r="Q1042" s="6">
        <f>IFERROR(tblSales[[#This Row],[NetSalesTRY]]/tblSales[[#This Row],[Units]],0)</f>
        <v>900.29070921985817</v>
      </c>
      <c r="R1042" s="17">
        <f>IFERROR(tblSales[[#This Row],[NetSalesTRY]]/tblSales[[#This Row],[TargetTRY]],0)</f>
        <v>0.93970145501575242</v>
      </c>
      <c r="S1042" s="6">
        <f>tblSales[[#This Row],[NetSalesTRY]]-tblSales[[#This Row],[TargetTRY]]</f>
        <v>-8145.5200000000041</v>
      </c>
      <c r="T1042" s="6">
        <f>MAX(tblSales[[#This Row],[TargetTRY]]-tblSales[[#This Row],[NetSalesTRY]],0)</f>
        <v>8145.5200000000041</v>
      </c>
    </row>
    <row r="1043" spans="1:20">
      <c r="A1043" t="s">
        <v>1431</v>
      </c>
      <c r="B1043" s="15">
        <v>45931</v>
      </c>
      <c r="C1043" t="s">
        <v>23</v>
      </c>
      <c r="D1043" t="s">
        <v>24</v>
      </c>
      <c r="E1043" t="s">
        <v>58</v>
      </c>
      <c r="F1043" t="s">
        <v>56</v>
      </c>
      <c r="G1043" t="s">
        <v>8</v>
      </c>
      <c r="H1043" s="8">
        <v>175</v>
      </c>
      <c r="I1043" s="9">
        <v>132278.6</v>
      </c>
      <c r="J1043" s="9">
        <v>8020.92</v>
      </c>
      <c r="K1043" s="9">
        <v>1580.71</v>
      </c>
      <c r="L1043" s="9">
        <v>122676.97</v>
      </c>
      <c r="M1043" s="9">
        <v>122241.29</v>
      </c>
      <c r="N1043" s="6" t="str">
        <f>_xlfn.XLOOKUP(tblSales[[#This Row],[ProductID]],tblProducts[ProductID],tblProducts[ProductName],"Not Found")</f>
        <v>GlucoRelief</v>
      </c>
      <c r="O1043" s="8">
        <f>YEAR(tblSales[[#This Row],[Month]])</f>
        <v>2025</v>
      </c>
      <c r="P1043" s="8">
        <f>MONTH(tblSales[[#This Row],[Month]])</f>
        <v>10</v>
      </c>
      <c r="Q1043" s="6">
        <f>IFERROR(tblSales[[#This Row],[NetSalesTRY]]/tblSales[[#This Row],[Units]],0)</f>
        <v>701.01125714285718</v>
      </c>
      <c r="R1043" s="17">
        <f>IFERROR(tblSales[[#This Row],[NetSalesTRY]]/tblSales[[#This Row],[TargetTRY]],0)</f>
        <v>1.0035640985136856</v>
      </c>
      <c r="S1043" s="6">
        <f>tblSales[[#This Row],[NetSalesTRY]]-tblSales[[#This Row],[TargetTRY]]</f>
        <v>435.68000000000757</v>
      </c>
      <c r="T1043" s="6">
        <f>MAX(tblSales[[#This Row],[TargetTRY]]-tblSales[[#This Row],[NetSalesTRY]],0)</f>
        <v>0</v>
      </c>
    </row>
    <row r="1044" spans="1:20">
      <c r="A1044" t="s">
        <v>1432</v>
      </c>
      <c r="B1044" s="15">
        <v>45931</v>
      </c>
      <c r="C1044" t="s">
        <v>23</v>
      </c>
      <c r="D1044" t="s">
        <v>24</v>
      </c>
      <c r="E1044" t="s">
        <v>58</v>
      </c>
      <c r="F1044" t="s">
        <v>56</v>
      </c>
      <c r="G1044" t="s">
        <v>11</v>
      </c>
      <c r="H1044" s="8">
        <v>188</v>
      </c>
      <c r="I1044" s="9">
        <v>115698.15</v>
      </c>
      <c r="J1044" s="9">
        <v>8376.75</v>
      </c>
      <c r="K1044" s="9">
        <v>838.05</v>
      </c>
      <c r="L1044" s="9">
        <v>106483.35</v>
      </c>
      <c r="M1044" s="9">
        <v>112290.7</v>
      </c>
      <c r="N1044" s="6" t="str">
        <f>_xlfn.XLOOKUP(tblSales[[#This Row],[ProductID]],tblProducts[ProductID],tblProducts[ProductName],"Not Found")</f>
        <v>RespiraX</v>
      </c>
      <c r="O1044" s="8">
        <f>YEAR(tblSales[[#This Row],[Month]])</f>
        <v>2025</v>
      </c>
      <c r="P1044" s="8">
        <f>MONTH(tblSales[[#This Row],[Month]])</f>
        <v>10</v>
      </c>
      <c r="Q1044" s="6">
        <f>IFERROR(tblSales[[#This Row],[NetSalesTRY]]/tblSales[[#This Row],[Units]],0)</f>
        <v>566.40079787234049</v>
      </c>
      <c r="R1044" s="17">
        <f>IFERROR(tblSales[[#This Row],[NetSalesTRY]]/tblSales[[#This Row],[TargetTRY]],0)</f>
        <v>0.94828289430914592</v>
      </c>
      <c r="S1044" s="6">
        <f>tblSales[[#This Row],[NetSalesTRY]]-tblSales[[#This Row],[TargetTRY]]</f>
        <v>-5807.3499999999913</v>
      </c>
      <c r="T1044" s="6">
        <f>MAX(tblSales[[#This Row],[TargetTRY]]-tblSales[[#This Row],[NetSalesTRY]],0)</f>
        <v>5807.3499999999913</v>
      </c>
    </row>
    <row r="1045" spans="1:20">
      <c r="A1045" t="s">
        <v>1433</v>
      </c>
      <c r="B1045" s="15">
        <v>45931</v>
      </c>
      <c r="C1045" t="s">
        <v>23</v>
      </c>
      <c r="D1045" t="s">
        <v>24</v>
      </c>
      <c r="E1045" t="s">
        <v>58</v>
      </c>
      <c r="F1045" t="s">
        <v>56</v>
      </c>
      <c r="G1045" t="s">
        <v>14</v>
      </c>
      <c r="H1045" s="8">
        <v>104</v>
      </c>
      <c r="I1045" s="9">
        <v>115096.24</v>
      </c>
      <c r="J1045" s="9">
        <v>6347.44</v>
      </c>
      <c r="K1045" s="9">
        <v>1306.25</v>
      </c>
      <c r="L1045" s="9">
        <v>107442.55</v>
      </c>
      <c r="M1045" s="9">
        <v>108873.55</v>
      </c>
      <c r="N1045" s="6" t="str">
        <f>_xlfn.XLOOKUP(tblSales[[#This Row],[ProductID]],tblProducts[ProductID],tblProducts[ProductName],"Not Found")</f>
        <v>NeuroCalm</v>
      </c>
      <c r="O1045" s="8">
        <f>YEAR(tblSales[[#This Row],[Month]])</f>
        <v>2025</v>
      </c>
      <c r="P1045" s="8">
        <f>MONTH(tblSales[[#This Row],[Month]])</f>
        <v>10</v>
      </c>
      <c r="Q1045" s="6">
        <f>IFERROR(tblSales[[#This Row],[NetSalesTRY]]/tblSales[[#This Row],[Units]],0)</f>
        <v>1033.1014423076924</v>
      </c>
      <c r="R1045" s="17">
        <f>IFERROR(tblSales[[#This Row],[NetSalesTRY]]/tblSales[[#This Row],[TargetTRY]],0)</f>
        <v>0.98685631174881316</v>
      </c>
      <c r="S1045" s="6">
        <f>tblSales[[#This Row],[NetSalesTRY]]-tblSales[[#This Row],[TargetTRY]]</f>
        <v>-1431</v>
      </c>
      <c r="T1045" s="6">
        <f>MAX(tblSales[[#This Row],[TargetTRY]]-tblSales[[#This Row],[NetSalesTRY]],0)</f>
        <v>1431</v>
      </c>
    </row>
    <row r="1046" spans="1:20">
      <c r="A1046" t="s">
        <v>1434</v>
      </c>
      <c r="B1046" s="15">
        <v>45931</v>
      </c>
      <c r="C1046" t="s">
        <v>25</v>
      </c>
      <c r="D1046" t="s">
        <v>26</v>
      </c>
      <c r="E1046" t="s">
        <v>61</v>
      </c>
      <c r="F1046" t="s">
        <v>59</v>
      </c>
      <c r="G1046" t="s">
        <v>5</v>
      </c>
      <c r="H1046" s="8">
        <v>109</v>
      </c>
      <c r="I1046" s="9">
        <v>105828.95</v>
      </c>
      <c r="J1046" s="9">
        <v>3861.43</v>
      </c>
      <c r="K1046" s="9">
        <v>941.91</v>
      </c>
      <c r="L1046" s="9">
        <v>101025.62</v>
      </c>
      <c r="M1046" s="9">
        <v>104579.42</v>
      </c>
      <c r="N1046" s="6" t="str">
        <f>_xlfn.XLOOKUP(tblSales[[#This Row],[ProductID]],tblProducts[ProductID],tblProducts[ProductName],"Not Found")</f>
        <v>Cardiovan</v>
      </c>
      <c r="O1046" s="8">
        <f>YEAR(tblSales[[#This Row],[Month]])</f>
        <v>2025</v>
      </c>
      <c r="P1046" s="8">
        <f>MONTH(tblSales[[#This Row],[Month]])</f>
        <v>10</v>
      </c>
      <c r="Q1046" s="6">
        <f>IFERROR(tblSales[[#This Row],[NetSalesTRY]]/tblSales[[#This Row],[Units]],0)</f>
        <v>926.8405504587156</v>
      </c>
      <c r="R1046" s="17">
        <f>IFERROR(tblSales[[#This Row],[NetSalesTRY]]/tblSales[[#This Row],[TargetTRY]],0)</f>
        <v>0.96601817068788487</v>
      </c>
      <c r="S1046" s="6">
        <f>tblSales[[#This Row],[NetSalesTRY]]-tblSales[[#This Row],[TargetTRY]]</f>
        <v>-3553.8000000000029</v>
      </c>
      <c r="T1046" s="6">
        <f>MAX(tblSales[[#This Row],[TargetTRY]]-tblSales[[#This Row],[NetSalesTRY]],0)</f>
        <v>3553.8000000000029</v>
      </c>
    </row>
    <row r="1047" spans="1:20">
      <c r="A1047" t="s">
        <v>1435</v>
      </c>
      <c r="B1047" s="15">
        <v>45931</v>
      </c>
      <c r="C1047" t="s">
        <v>25</v>
      </c>
      <c r="D1047" t="s">
        <v>26</v>
      </c>
      <c r="E1047" t="s">
        <v>61</v>
      </c>
      <c r="F1047" t="s">
        <v>59</v>
      </c>
      <c r="G1047" t="s">
        <v>8</v>
      </c>
      <c r="H1047" s="8">
        <v>132</v>
      </c>
      <c r="I1047" s="9">
        <v>100271.5</v>
      </c>
      <c r="J1047" s="9">
        <v>5948.21</v>
      </c>
      <c r="K1047" s="9">
        <v>1101.45</v>
      </c>
      <c r="L1047" s="9">
        <v>93221.83</v>
      </c>
      <c r="M1047" s="9">
        <v>94829.4</v>
      </c>
      <c r="N1047" s="6" t="str">
        <f>_xlfn.XLOOKUP(tblSales[[#This Row],[ProductID]],tblProducts[ProductID],tblProducts[ProductName],"Not Found")</f>
        <v>GlucoRelief</v>
      </c>
      <c r="O1047" s="8">
        <f>YEAR(tblSales[[#This Row],[Month]])</f>
        <v>2025</v>
      </c>
      <c r="P1047" s="8">
        <f>MONTH(tblSales[[#This Row],[Month]])</f>
        <v>10</v>
      </c>
      <c r="Q1047" s="6">
        <f>IFERROR(tblSales[[#This Row],[NetSalesTRY]]/tblSales[[#This Row],[Units]],0)</f>
        <v>706.22598484848481</v>
      </c>
      <c r="R1047" s="17">
        <f>IFERROR(tblSales[[#This Row],[NetSalesTRY]]/tblSales[[#This Row],[TargetTRY]],0)</f>
        <v>0.98304776788633064</v>
      </c>
      <c r="S1047" s="6">
        <f>tblSales[[#This Row],[NetSalesTRY]]-tblSales[[#This Row],[TargetTRY]]</f>
        <v>-1607.5699999999924</v>
      </c>
      <c r="T1047" s="6">
        <f>MAX(tblSales[[#This Row],[TargetTRY]]-tblSales[[#This Row],[NetSalesTRY]],0)</f>
        <v>1607.5699999999924</v>
      </c>
    </row>
    <row r="1048" spans="1:20">
      <c r="A1048" t="s">
        <v>1436</v>
      </c>
      <c r="B1048" s="15">
        <v>45931</v>
      </c>
      <c r="C1048" t="s">
        <v>25</v>
      </c>
      <c r="D1048" t="s">
        <v>26</v>
      </c>
      <c r="E1048" t="s">
        <v>61</v>
      </c>
      <c r="F1048" t="s">
        <v>59</v>
      </c>
      <c r="G1048" t="s">
        <v>11</v>
      </c>
      <c r="H1048" s="8">
        <v>141</v>
      </c>
      <c r="I1048" s="9">
        <v>86765.95</v>
      </c>
      <c r="J1048" s="9">
        <v>6478.77</v>
      </c>
      <c r="K1048" s="9">
        <v>582.66999999999996</v>
      </c>
      <c r="L1048" s="9">
        <v>79704.509999999995</v>
      </c>
      <c r="M1048" s="9">
        <v>88830.24</v>
      </c>
      <c r="N1048" s="6" t="str">
        <f>_xlfn.XLOOKUP(tblSales[[#This Row],[ProductID]],tblProducts[ProductID],tblProducts[ProductName],"Not Found")</f>
        <v>RespiraX</v>
      </c>
      <c r="O1048" s="8">
        <f>YEAR(tblSales[[#This Row],[Month]])</f>
        <v>2025</v>
      </c>
      <c r="P1048" s="8">
        <f>MONTH(tblSales[[#This Row],[Month]])</f>
        <v>10</v>
      </c>
      <c r="Q1048" s="6">
        <f>IFERROR(tblSales[[#This Row],[NetSalesTRY]]/tblSales[[#This Row],[Units]],0)</f>
        <v>565.28021276595746</v>
      </c>
      <c r="R1048" s="17">
        <f>IFERROR(tblSales[[#This Row],[NetSalesTRY]]/tblSales[[#This Row],[TargetTRY]],0)</f>
        <v>0.89726775476459353</v>
      </c>
      <c r="S1048" s="6">
        <f>tblSales[[#This Row],[NetSalesTRY]]-tblSales[[#This Row],[TargetTRY]]</f>
        <v>-9125.7300000000105</v>
      </c>
      <c r="T1048" s="6">
        <f>MAX(tblSales[[#This Row],[TargetTRY]]-tblSales[[#This Row],[NetSalesTRY]],0)</f>
        <v>9125.7300000000105</v>
      </c>
    </row>
    <row r="1049" spans="1:20">
      <c r="A1049" t="s">
        <v>1437</v>
      </c>
      <c r="B1049" s="15">
        <v>45931</v>
      </c>
      <c r="C1049" t="s">
        <v>25</v>
      </c>
      <c r="D1049" t="s">
        <v>26</v>
      </c>
      <c r="E1049" t="s">
        <v>61</v>
      </c>
      <c r="F1049" t="s">
        <v>59</v>
      </c>
      <c r="G1049" t="s">
        <v>14</v>
      </c>
      <c r="H1049" s="8">
        <v>78</v>
      </c>
      <c r="I1049" s="9">
        <v>86161.31</v>
      </c>
      <c r="J1049" s="9">
        <v>4674.99</v>
      </c>
      <c r="K1049" s="9">
        <v>774.83</v>
      </c>
      <c r="L1049" s="9">
        <v>80711.5</v>
      </c>
      <c r="M1049" s="9">
        <v>85862.85</v>
      </c>
      <c r="N1049" s="6" t="str">
        <f>_xlfn.XLOOKUP(tblSales[[#This Row],[ProductID]],tblProducts[ProductID],tblProducts[ProductName],"Not Found")</f>
        <v>NeuroCalm</v>
      </c>
      <c r="O1049" s="8">
        <f>YEAR(tblSales[[#This Row],[Month]])</f>
        <v>2025</v>
      </c>
      <c r="P1049" s="8">
        <f>MONTH(tblSales[[#This Row],[Month]])</f>
        <v>10</v>
      </c>
      <c r="Q1049" s="6">
        <f>IFERROR(tblSales[[#This Row],[NetSalesTRY]]/tblSales[[#This Row],[Units]],0)</f>
        <v>1034.7628205128206</v>
      </c>
      <c r="R1049" s="17">
        <f>IFERROR(tblSales[[#This Row],[NetSalesTRY]]/tblSales[[#This Row],[TargetTRY]],0)</f>
        <v>0.94000490316825025</v>
      </c>
      <c r="S1049" s="6">
        <f>tblSales[[#This Row],[NetSalesTRY]]-tblSales[[#This Row],[TargetTRY]]</f>
        <v>-5151.3500000000058</v>
      </c>
      <c r="T1049" s="6">
        <f>MAX(tblSales[[#This Row],[TargetTRY]]-tblSales[[#This Row],[NetSalesTRY]],0)</f>
        <v>5151.3500000000058</v>
      </c>
    </row>
    <row r="1050" spans="1:20">
      <c r="A1050" t="s">
        <v>1438</v>
      </c>
      <c r="B1050" s="15">
        <v>45931</v>
      </c>
      <c r="C1050" t="s">
        <v>25</v>
      </c>
      <c r="D1050" t="s">
        <v>26</v>
      </c>
      <c r="E1050" t="s">
        <v>64</v>
      </c>
      <c r="F1050" t="s">
        <v>62</v>
      </c>
      <c r="G1050" t="s">
        <v>5</v>
      </c>
      <c r="H1050" s="8">
        <v>102</v>
      </c>
      <c r="I1050" s="9">
        <v>100541.93</v>
      </c>
      <c r="J1050" s="9">
        <v>5966.71</v>
      </c>
      <c r="K1050" s="9">
        <v>539.32000000000005</v>
      </c>
      <c r="L1050" s="9">
        <v>94035.9</v>
      </c>
      <c r="M1050" s="9">
        <v>106047.71</v>
      </c>
      <c r="N1050" s="6" t="str">
        <f>_xlfn.XLOOKUP(tblSales[[#This Row],[ProductID]],tblProducts[ProductID],tblProducts[ProductName],"Not Found")</f>
        <v>Cardiovan</v>
      </c>
      <c r="O1050" s="8">
        <f>YEAR(tblSales[[#This Row],[Month]])</f>
        <v>2025</v>
      </c>
      <c r="P1050" s="8">
        <f>MONTH(tblSales[[#This Row],[Month]])</f>
        <v>10</v>
      </c>
      <c r="Q1050" s="6">
        <f>IFERROR(tblSales[[#This Row],[NetSalesTRY]]/tblSales[[#This Row],[Units]],0)</f>
        <v>921.92058823529408</v>
      </c>
      <c r="R1050" s="17">
        <f>IFERROR(tblSales[[#This Row],[NetSalesTRY]]/tblSales[[#This Row],[TargetTRY]],0)</f>
        <v>0.88673201901295173</v>
      </c>
      <c r="S1050" s="6">
        <f>tblSales[[#This Row],[NetSalesTRY]]-tblSales[[#This Row],[TargetTRY]]</f>
        <v>-12011.810000000012</v>
      </c>
      <c r="T1050" s="6">
        <f>MAX(tblSales[[#This Row],[TargetTRY]]-tblSales[[#This Row],[NetSalesTRY]],0)</f>
        <v>12011.810000000012</v>
      </c>
    </row>
    <row r="1051" spans="1:20">
      <c r="A1051" t="s">
        <v>1439</v>
      </c>
      <c r="B1051" s="15">
        <v>45931</v>
      </c>
      <c r="C1051" t="s">
        <v>25</v>
      </c>
      <c r="D1051" t="s">
        <v>26</v>
      </c>
      <c r="E1051" t="s">
        <v>64</v>
      </c>
      <c r="F1051" t="s">
        <v>62</v>
      </c>
      <c r="G1051" t="s">
        <v>8</v>
      </c>
      <c r="H1051" s="8">
        <v>131</v>
      </c>
      <c r="I1051" s="9">
        <v>100334.12</v>
      </c>
      <c r="J1051" s="9">
        <v>4657.68</v>
      </c>
      <c r="K1051" s="9">
        <v>1359.25</v>
      </c>
      <c r="L1051" s="9">
        <v>94317.19</v>
      </c>
      <c r="M1051" s="9">
        <v>94666.58</v>
      </c>
      <c r="N1051" s="6" t="str">
        <f>_xlfn.XLOOKUP(tblSales[[#This Row],[ProductID]],tblProducts[ProductID],tblProducts[ProductName],"Not Found")</f>
        <v>GlucoRelief</v>
      </c>
      <c r="O1051" s="8">
        <f>YEAR(tblSales[[#This Row],[Month]])</f>
        <v>2025</v>
      </c>
      <c r="P1051" s="8">
        <f>MONTH(tblSales[[#This Row],[Month]])</f>
        <v>10</v>
      </c>
      <c r="Q1051" s="6">
        <f>IFERROR(tblSales[[#This Row],[NetSalesTRY]]/tblSales[[#This Row],[Units]],0)</f>
        <v>719.97854961832059</v>
      </c>
      <c r="R1051" s="17">
        <f>IFERROR(tblSales[[#This Row],[NetSalesTRY]]/tblSales[[#This Row],[TargetTRY]],0)</f>
        <v>0.99630925718453123</v>
      </c>
      <c r="S1051" s="6">
        <f>tblSales[[#This Row],[NetSalesTRY]]-tblSales[[#This Row],[TargetTRY]]</f>
        <v>-349.38999999999942</v>
      </c>
      <c r="T1051" s="6">
        <f>MAX(tblSales[[#This Row],[TargetTRY]]-tblSales[[#This Row],[NetSalesTRY]],0)</f>
        <v>349.38999999999942</v>
      </c>
    </row>
    <row r="1052" spans="1:20">
      <c r="A1052" t="s">
        <v>1440</v>
      </c>
      <c r="B1052" s="15">
        <v>45931</v>
      </c>
      <c r="C1052" t="s">
        <v>25</v>
      </c>
      <c r="D1052" t="s">
        <v>26</v>
      </c>
      <c r="E1052" t="s">
        <v>64</v>
      </c>
      <c r="F1052" t="s">
        <v>62</v>
      </c>
      <c r="G1052" t="s">
        <v>11</v>
      </c>
      <c r="H1052" s="8">
        <v>150</v>
      </c>
      <c r="I1052" s="9">
        <v>93210.77</v>
      </c>
      <c r="J1052" s="9">
        <v>6311.61</v>
      </c>
      <c r="K1052" s="9">
        <v>1123.6300000000001</v>
      </c>
      <c r="L1052" s="9">
        <v>85775.53</v>
      </c>
      <c r="M1052" s="9">
        <v>88825.16</v>
      </c>
      <c r="N1052" s="6" t="str">
        <f>_xlfn.XLOOKUP(tblSales[[#This Row],[ProductID]],tblProducts[ProductID],tblProducts[ProductName],"Not Found")</f>
        <v>RespiraX</v>
      </c>
      <c r="O1052" s="8">
        <f>YEAR(tblSales[[#This Row],[Month]])</f>
        <v>2025</v>
      </c>
      <c r="P1052" s="8">
        <f>MONTH(tblSales[[#This Row],[Month]])</f>
        <v>10</v>
      </c>
      <c r="Q1052" s="6">
        <f>IFERROR(tblSales[[#This Row],[NetSalesTRY]]/tblSales[[#This Row],[Units]],0)</f>
        <v>571.83686666666665</v>
      </c>
      <c r="R1052" s="17">
        <f>IFERROR(tblSales[[#This Row],[NetSalesTRY]]/tblSales[[#This Row],[TargetTRY]],0)</f>
        <v>0.96566704748969767</v>
      </c>
      <c r="S1052" s="6">
        <f>tblSales[[#This Row],[NetSalesTRY]]-tblSales[[#This Row],[TargetTRY]]</f>
        <v>-3049.6300000000047</v>
      </c>
      <c r="T1052" s="6">
        <f>MAX(tblSales[[#This Row],[TargetTRY]]-tblSales[[#This Row],[NetSalesTRY]],0)</f>
        <v>3049.6300000000047</v>
      </c>
    </row>
    <row r="1053" spans="1:20">
      <c r="A1053" t="s">
        <v>1441</v>
      </c>
      <c r="B1053" s="15">
        <v>45931</v>
      </c>
      <c r="C1053" t="s">
        <v>25</v>
      </c>
      <c r="D1053" t="s">
        <v>26</v>
      </c>
      <c r="E1053" t="s">
        <v>64</v>
      </c>
      <c r="F1053" t="s">
        <v>62</v>
      </c>
      <c r="G1053" t="s">
        <v>14</v>
      </c>
      <c r="H1053" s="8">
        <v>78</v>
      </c>
      <c r="I1053" s="9">
        <v>84535.69</v>
      </c>
      <c r="J1053" s="9">
        <v>6298.99</v>
      </c>
      <c r="K1053" s="9">
        <v>567.21</v>
      </c>
      <c r="L1053" s="9">
        <v>77669.48</v>
      </c>
      <c r="M1053" s="9">
        <v>86803.42</v>
      </c>
      <c r="N1053" s="6" t="str">
        <f>_xlfn.XLOOKUP(tblSales[[#This Row],[ProductID]],tblProducts[ProductID],tblProducts[ProductName],"Not Found")</f>
        <v>NeuroCalm</v>
      </c>
      <c r="O1053" s="8">
        <f>YEAR(tblSales[[#This Row],[Month]])</f>
        <v>2025</v>
      </c>
      <c r="P1053" s="8">
        <f>MONTH(tblSales[[#This Row],[Month]])</f>
        <v>10</v>
      </c>
      <c r="Q1053" s="6">
        <f>IFERROR(tblSales[[#This Row],[NetSalesTRY]]/tblSales[[#This Row],[Units]],0)</f>
        <v>995.76256410256406</v>
      </c>
      <c r="R1053" s="17">
        <f>IFERROR(tblSales[[#This Row],[NetSalesTRY]]/tblSales[[#This Row],[TargetTRY]],0)</f>
        <v>0.89477442248243211</v>
      </c>
      <c r="S1053" s="6">
        <f>tblSales[[#This Row],[NetSalesTRY]]-tblSales[[#This Row],[TargetTRY]]</f>
        <v>-9133.9400000000023</v>
      </c>
      <c r="T1053" s="6">
        <f>MAX(tblSales[[#This Row],[TargetTRY]]-tblSales[[#This Row],[NetSalesTRY]],0)</f>
        <v>9133.9400000000023</v>
      </c>
    </row>
    <row r="1054" spans="1:20">
      <c r="A1054" t="s">
        <v>1442</v>
      </c>
      <c r="B1054" s="15">
        <v>45931</v>
      </c>
      <c r="C1054" t="s">
        <v>25</v>
      </c>
      <c r="D1054" t="s">
        <v>26</v>
      </c>
      <c r="E1054" t="s">
        <v>67</v>
      </c>
      <c r="F1054" t="s">
        <v>65</v>
      </c>
      <c r="G1054" t="s">
        <v>5</v>
      </c>
      <c r="H1054" s="8">
        <v>123</v>
      </c>
      <c r="I1054" s="9">
        <v>118794.9</v>
      </c>
      <c r="J1054" s="9">
        <v>7708.51</v>
      </c>
      <c r="K1054" s="9">
        <v>1022.91</v>
      </c>
      <c r="L1054" s="9">
        <v>110063.48</v>
      </c>
      <c r="M1054" s="9">
        <v>119316.97</v>
      </c>
      <c r="N1054" s="6" t="str">
        <f>_xlfn.XLOOKUP(tblSales[[#This Row],[ProductID]],tblProducts[ProductID],tblProducts[ProductName],"Not Found")</f>
        <v>Cardiovan</v>
      </c>
      <c r="O1054" s="8">
        <f>YEAR(tblSales[[#This Row],[Month]])</f>
        <v>2025</v>
      </c>
      <c r="P1054" s="8">
        <f>MONTH(tblSales[[#This Row],[Month]])</f>
        <v>10</v>
      </c>
      <c r="Q1054" s="6">
        <f>IFERROR(tblSales[[#This Row],[NetSalesTRY]]/tblSales[[#This Row],[Units]],0)</f>
        <v>894.82504065040644</v>
      </c>
      <c r="R1054" s="17">
        <f>IFERROR(tblSales[[#This Row],[NetSalesTRY]]/tblSales[[#This Row],[TargetTRY]],0)</f>
        <v>0.92244615330074164</v>
      </c>
      <c r="S1054" s="6">
        <f>tblSales[[#This Row],[NetSalesTRY]]-tblSales[[#This Row],[TargetTRY]]</f>
        <v>-9253.4900000000052</v>
      </c>
      <c r="T1054" s="6">
        <f>MAX(tblSales[[#This Row],[TargetTRY]]-tblSales[[#This Row],[NetSalesTRY]],0)</f>
        <v>9253.4900000000052</v>
      </c>
    </row>
    <row r="1055" spans="1:20">
      <c r="A1055" t="s">
        <v>1443</v>
      </c>
      <c r="B1055" s="15">
        <v>45931</v>
      </c>
      <c r="C1055" t="s">
        <v>25</v>
      </c>
      <c r="D1055" t="s">
        <v>26</v>
      </c>
      <c r="E1055" t="s">
        <v>67</v>
      </c>
      <c r="F1055" t="s">
        <v>65</v>
      </c>
      <c r="G1055" t="s">
        <v>8</v>
      </c>
      <c r="H1055" s="8">
        <v>158</v>
      </c>
      <c r="I1055" s="9">
        <v>121495.01</v>
      </c>
      <c r="J1055" s="9">
        <v>5126.84</v>
      </c>
      <c r="K1055" s="9">
        <v>793.44</v>
      </c>
      <c r="L1055" s="9">
        <v>115574.73</v>
      </c>
      <c r="M1055" s="9">
        <v>106329.32</v>
      </c>
      <c r="N1055" s="6" t="str">
        <f>_xlfn.XLOOKUP(tblSales[[#This Row],[ProductID]],tblProducts[ProductID],tblProducts[ProductName],"Not Found")</f>
        <v>GlucoRelief</v>
      </c>
      <c r="O1055" s="8">
        <f>YEAR(tblSales[[#This Row],[Month]])</f>
        <v>2025</v>
      </c>
      <c r="P1055" s="8">
        <f>MONTH(tblSales[[#This Row],[Month]])</f>
        <v>10</v>
      </c>
      <c r="Q1055" s="6">
        <f>IFERROR(tblSales[[#This Row],[NetSalesTRY]]/tblSales[[#This Row],[Units]],0)</f>
        <v>731.48563291139237</v>
      </c>
      <c r="R1055" s="17">
        <f>IFERROR(tblSales[[#This Row],[NetSalesTRY]]/tblSales[[#This Row],[TargetTRY]],0)</f>
        <v>1.0869507112431454</v>
      </c>
      <c r="S1055" s="6">
        <f>tblSales[[#This Row],[NetSalesTRY]]-tblSales[[#This Row],[TargetTRY]]</f>
        <v>9245.4099999999889</v>
      </c>
      <c r="T1055" s="6">
        <f>MAX(tblSales[[#This Row],[TargetTRY]]-tblSales[[#This Row],[NetSalesTRY]],0)</f>
        <v>0</v>
      </c>
    </row>
    <row r="1056" spans="1:20">
      <c r="A1056" t="s">
        <v>1444</v>
      </c>
      <c r="B1056" s="15">
        <v>45931</v>
      </c>
      <c r="C1056" t="s">
        <v>25</v>
      </c>
      <c r="D1056" t="s">
        <v>26</v>
      </c>
      <c r="E1056" t="s">
        <v>67</v>
      </c>
      <c r="F1056" t="s">
        <v>65</v>
      </c>
      <c r="G1056" t="s">
        <v>11</v>
      </c>
      <c r="H1056" s="8">
        <v>175</v>
      </c>
      <c r="I1056" s="9">
        <v>109084.65</v>
      </c>
      <c r="J1056" s="9">
        <v>5539.06</v>
      </c>
      <c r="K1056" s="9">
        <v>661.62</v>
      </c>
      <c r="L1056" s="9">
        <v>102883.97</v>
      </c>
      <c r="M1056" s="9">
        <v>99295.81</v>
      </c>
      <c r="N1056" s="6" t="str">
        <f>_xlfn.XLOOKUP(tblSales[[#This Row],[ProductID]],tblProducts[ProductID],tblProducts[ProductName],"Not Found")</f>
        <v>RespiraX</v>
      </c>
      <c r="O1056" s="8">
        <f>YEAR(tblSales[[#This Row],[Month]])</f>
        <v>2025</v>
      </c>
      <c r="P1056" s="8">
        <f>MONTH(tblSales[[#This Row],[Month]])</f>
        <v>10</v>
      </c>
      <c r="Q1056" s="6">
        <f>IFERROR(tblSales[[#This Row],[NetSalesTRY]]/tblSales[[#This Row],[Units]],0)</f>
        <v>587.90840000000003</v>
      </c>
      <c r="R1056" s="17">
        <f>IFERROR(tblSales[[#This Row],[NetSalesTRY]]/tblSales[[#This Row],[TargetTRY]],0)</f>
        <v>1.0361360665671593</v>
      </c>
      <c r="S1056" s="6">
        <f>tblSales[[#This Row],[NetSalesTRY]]-tblSales[[#This Row],[TargetTRY]]</f>
        <v>3588.1600000000035</v>
      </c>
      <c r="T1056" s="6">
        <f>MAX(tblSales[[#This Row],[TargetTRY]]-tblSales[[#This Row],[NetSalesTRY]],0)</f>
        <v>0</v>
      </c>
    </row>
    <row r="1057" spans="1:20">
      <c r="A1057" t="s">
        <v>1445</v>
      </c>
      <c r="B1057" s="15">
        <v>45931</v>
      </c>
      <c r="C1057" t="s">
        <v>25</v>
      </c>
      <c r="D1057" t="s">
        <v>26</v>
      </c>
      <c r="E1057" t="s">
        <v>67</v>
      </c>
      <c r="F1057" t="s">
        <v>65</v>
      </c>
      <c r="G1057" t="s">
        <v>14</v>
      </c>
      <c r="H1057" s="8">
        <v>93</v>
      </c>
      <c r="I1057" s="9">
        <v>102284.09</v>
      </c>
      <c r="J1057" s="9">
        <v>6868.43</v>
      </c>
      <c r="K1057" s="9">
        <v>457.04</v>
      </c>
      <c r="L1057" s="9">
        <v>94958.63</v>
      </c>
      <c r="M1057" s="9">
        <v>98261.54</v>
      </c>
      <c r="N1057" s="6" t="str">
        <f>_xlfn.XLOOKUP(tblSales[[#This Row],[ProductID]],tblProducts[ProductID],tblProducts[ProductName],"Not Found")</f>
        <v>NeuroCalm</v>
      </c>
      <c r="O1057" s="8">
        <f>YEAR(tblSales[[#This Row],[Month]])</f>
        <v>2025</v>
      </c>
      <c r="P1057" s="8">
        <f>MONTH(tblSales[[#This Row],[Month]])</f>
        <v>10</v>
      </c>
      <c r="Q1057" s="6">
        <f>IFERROR(tblSales[[#This Row],[NetSalesTRY]]/tblSales[[#This Row],[Units]],0)</f>
        <v>1021.0605376344087</v>
      </c>
      <c r="R1057" s="17">
        <f>IFERROR(tblSales[[#This Row],[NetSalesTRY]]/tblSales[[#This Row],[TargetTRY]],0)</f>
        <v>0.96638654350420328</v>
      </c>
      <c r="S1057" s="6">
        <f>tblSales[[#This Row],[NetSalesTRY]]-tblSales[[#This Row],[TargetTRY]]</f>
        <v>-3302.9099999999889</v>
      </c>
      <c r="T1057" s="6">
        <f>MAX(tblSales[[#This Row],[TargetTRY]]-tblSales[[#This Row],[NetSalesTRY]],0)</f>
        <v>3302.9099999999889</v>
      </c>
    </row>
    <row r="1058" spans="1:20">
      <c r="A1058" t="s">
        <v>1446</v>
      </c>
      <c r="B1058" s="15">
        <v>45962</v>
      </c>
      <c r="C1058" t="s">
        <v>19</v>
      </c>
      <c r="D1058" t="s">
        <v>20</v>
      </c>
      <c r="E1058" t="s">
        <v>34</v>
      </c>
      <c r="F1058" t="s">
        <v>32</v>
      </c>
      <c r="G1058" t="s">
        <v>5</v>
      </c>
      <c r="H1058" s="8">
        <v>181</v>
      </c>
      <c r="I1058" s="9">
        <v>178197.81</v>
      </c>
      <c r="J1058" s="9">
        <v>9592.85</v>
      </c>
      <c r="K1058" s="9">
        <v>1233.1500000000001</v>
      </c>
      <c r="L1058" s="9">
        <v>167371.81</v>
      </c>
      <c r="M1058" s="9">
        <v>165846.79999999999</v>
      </c>
      <c r="N1058" s="6" t="str">
        <f>_xlfn.XLOOKUP(tblSales[[#This Row],[ProductID]],tblProducts[ProductID],tblProducts[ProductName],"Not Found")</f>
        <v>Cardiovan</v>
      </c>
      <c r="O1058" s="8">
        <f>YEAR(tblSales[[#This Row],[Month]])</f>
        <v>2025</v>
      </c>
      <c r="P1058" s="8">
        <f>MONTH(tblSales[[#This Row],[Month]])</f>
        <v>11</v>
      </c>
      <c r="Q1058" s="6">
        <f>IFERROR(tblSales[[#This Row],[NetSalesTRY]]/tblSales[[#This Row],[Units]],0)</f>
        <v>924.70613259668505</v>
      </c>
      <c r="R1058" s="17">
        <f>IFERROR(tblSales[[#This Row],[NetSalesTRY]]/tblSales[[#This Row],[TargetTRY]],0)</f>
        <v>1.0091952934877249</v>
      </c>
      <c r="S1058" s="6">
        <f>tblSales[[#This Row],[NetSalesTRY]]-tblSales[[#This Row],[TargetTRY]]</f>
        <v>1525.0100000000093</v>
      </c>
      <c r="T1058" s="6">
        <f>MAX(tblSales[[#This Row],[TargetTRY]]-tblSales[[#This Row],[NetSalesTRY]],0)</f>
        <v>0</v>
      </c>
    </row>
    <row r="1059" spans="1:20">
      <c r="A1059" t="s">
        <v>1447</v>
      </c>
      <c r="B1059" s="15">
        <v>45962</v>
      </c>
      <c r="C1059" t="s">
        <v>19</v>
      </c>
      <c r="D1059" t="s">
        <v>20</v>
      </c>
      <c r="E1059" t="s">
        <v>34</v>
      </c>
      <c r="F1059" t="s">
        <v>32</v>
      </c>
      <c r="G1059" t="s">
        <v>8</v>
      </c>
      <c r="H1059" s="8">
        <v>217</v>
      </c>
      <c r="I1059" s="9">
        <v>163910.67000000001</v>
      </c>
      <c r="J1059" s="9">
        <v>7819.56</v>
      </c>
      <c r="K1059" s="9">
        <v>947.1</v>
      </c>
      <c r="L1059" s="9">
        <v>155144.01</v>
      </c>
      <c r="M1059" s="9">
        <v>147376.57</v>
      </c>
      <c r="N1059" s="6" t="str">
        <f>_xlfn.XLOOKUP(tblSales[[#This Row],[ProductID]],tblProducts[ProductID],tblProducts[ProductName],"Not Found")</f>
        <v>GlucoRelief</v>
      </c>
      <c r="O1059" s="8">
        <f>YEAR(tblSales[[#This Row],[Month]])</f>
        <v>2025</v>
      </c>
      <c r="P1059" s="8">
        <f>MONTH(tblSales[[#This Row],[Month]])</f>
        <v>11</v>
      </c>
      <c r="Q1059" s="6">
        <f>IFERROR(tblSales[[#This Row],[NetSalesTRY]]/tblSales[[#This Row],[Units]],0)</f>
        <v>714.94935483870972</v>
      </c>
      <c r="R1059" s="17">
        <f>IFERROR(tblSales[[#This Row],[NetSalesTRY]]/tblSales[[#This Row],[TargetTRY]],0)</f>
        <v>1.0527047141889652</v>
      </c>
      <c r="S1059" s="6">
        <f>tblSales[[#This Row],[NetSalesTRY]]-tblSales[[#This Row],[TargetTRY]]</f>
        <v>7767.4400000000023</v>
      </c>
      <c r="T1059" s="6">
        <f>MAX(tblSales[[#This Row],[TargetTRY]]-tblSales[[#This Row],[NetSalesTRY]],0)</f>
        <v>0</v>
      </c>
    </row>
    <row r="1060" spans="1:20">
      <c r="A1060" t="s">
        <v>1448</v>
      </c>
      <c r="B1060" s="15">
        <v>45962</v>
      </c>
      <c r="C1060" t="s">
        <v>19</v>
      </c>
      <c r="D1060" t="s">
        <v>20</v>
      </c>
      <c r="E1060" t="s">
        <v>34</v>
      </c>
      <c r="F1060" t="s">
        <v>32</v>
      </c>
      <c r="G1060" t="s">
        <v>11</v>
      </c>
      <c r="H1060" s="8">
        <v>228</v>
      </c>
      <c r="I1060" s="9">
        <v>139965.35999999999</v>
      </c>
      <c r="J1060" s="9">
        <v>8770.66</v>
      </c>
      <c r="K1060" s="9">
        <v>1711.12</v>
      </c>
      <c r="L1060" s="9">
        <v>129483.58</v>
      </c>
      <c r="M1060" s="9">
        <v>141013.85</v>
      </c>
      <c r="N1060" s="6" t="str">
        <f>_xlfn.XLOOKUP(tblSales[[#This Row],[ProductID]],tblProducts[ProductID],tblProducts[ProductName],"Not Found")</f>
        <v>RespiraX</v>
      </c>
      <c r="O1060" s="8">
        <f>YEAR(tblSales[[#This Row],[Month]])</f>
        <v>2025</v>
      </c>
      <c r="P1060" s="8">
        <f>MONTH(tblSales[[#This Row],[Month]])</f>
        <v>11</v>
      </c>
      <c r="Q1060" s="6">
        <f>IFERROR(tblSales[[#This Row],[NetSalesTRY]]/tblSales[[#This Row],[Units]],0)</f>
        <v>567.91043859649119</v>
      </c>
      <c r="R1060" s="17">
        <f>IFERROR(tblSales[[#This Row],[NetSalesTRY]]/tblSales[[#This Row],[TargetTRY]],0)</f>
        <v>0.91823306717744391</v>
      </c>
      <c r="S1060" s="6">
        <f>tblSales[[#This Row],[NetSalesTRY]]-tblSales[[#This Row],[TargetTRY]]</f>
        <v>-11530.270000000004</v>
      </c>
      <c r="T1060" s="6">
        <f>MAX(tblSales[[#This Row],[TargetTRY]]-tblSales[[#This Row],[NetSalesTRY]],0)</f>
        <v>11530.270000000004</v>
      </c>
    </row>
    <row r="1061" spans="1:20">
      <c r="A1061" t="s">
        <v>1449</v>
      </c>
      <c r="B1061" s="15">
        <v>45962</v>
      </c>
      <c r="C1061" t="s">
        <v>19</v>
      </c>
      <c r="D1061" t="s">
        <v>20</v>
      </c>
      <c r="E1061" t="s">
        <v>34</v>
      </c>
      <c r="F1061" t="s">
        <v>32</v>
      </c>
      <c r="G1061" t="s">
        <v>14</v>
      </c>
      <c r="H1061" s="8">
        <v>129</v>
      </c>
      <c r="I1061" s="9">
        <v>142816.89000000001</v>
      </c>
      <c r="J1061" s="9">
        <v>10395.39</v>
      </c>
      <c r="K1061" s="9">
        <v>1501.09</v>
      </c>
      <c r="L1061" s="9">
        <v>130920.41</v>
      </c>
      <c r="M1061" s="9">
        <v>135112.85</v>
      </c>
      <c r="N1061" s="6" t="str">
        <f>_xlfn.XLOOKUP(tblSales[[#This Row],[ProductID]],tblProducts[ProductID],tblProducts[ProductName],"Not Found")</f>
        <v>NeuroCalm</v>
      </c>
      <c r="O1061" s="8">
        <f>YEAR(tblSales[[#This Row],[Month]])</f>
        <v>2025</v>
      </c>
      <c r="P1061" s="8">
        <f>MONTH(tblSales[[#This Row],[Month]])</f>
        <v>11</v>
      </c>
      <c r="Q1061" s="6">
        <f>IFERROR(tblSales[[#This Row],[NetSalesTRY]]/tblSales[[#This Row],[Units]],0)</f>
        <v>1014.8868992248063</v>
      </c>
      <c r="R1061" s="17">
        <f>IFERROR(tblSales[[#This Row],[NetSalesTRY]]/tblSales[[#This Row],[TargetTRY]],0)</f>
        <v>0.9689708269790771</v>
      </c>
      <c r="S1061" s="6">
        <f>tblSales[[#This Row],[NetSalesTRY]]-tblSales[[#This Row],[TargetTRY]]</f>
        <v>-4192.4400000000023</v>
      </c>
      <c r="T1061" s="6">
        <f>MAX(tblSales[[#This Row],[TargetTRY]]-tblSales[[#This Row],[NetSalesTRY]],0)</f>
        <v>4192.4400000000023</v>
      </c>
    </row>
    <row r="1062" spans="1:20">
      <c r="A1062" t="s">
        <v>1450</v>
      </c>
      <c r="B1062" s="15">
        <v>45962</v>
      </c>
      <c r="C1062" t="s">
        <v>19</v>
      </c>
      <c r="D1062" t="s">
        <v>20</v>
      </c>
      <c r="E1062" t="s">
        <v>37</v>
      </c>
      <c r="F1062" t="s">
        <v>35</v>
      </c>
      <c r="G1062" t="s">
        <v>5</v>
      </c>
      <c r="H1062" s="8">
        <v>167</v>
      </c>
      <c r="I1062" s="9">
        <v>164417.92000000001</v>
      </c>
      <c r="J1062" s="9">
        <v>10908.25</v>
      </c>
      <c r="K1062" s="9">
        <v>703.9</v>
      </c>
      <c r="L1062" s="9">
        <v>152805.76000000001</v>
      </c>
      <c r="M1062" s="9">
        <v>162759.67000000001</v>
      </c>
      <c r="N1062" s="6" t="str">
        <f>_xlfn.XLOOKUP(tblSales[[#This Row],[ProductID]],tblProducts[ProductID],tblProducts[ProductName],"Not Found")</f>
        <v>Cardiovan</v>
      </c>
      <c r="O1062" s="8">
        <f>YEAR(tblSales[[#This Row],[Month]])</f>
        <v>2025</v>
      </c>
      <c r="P1062" s="8">
        <f>MONTH(tblSales[[#This Row],[Month]])</f>
        <v>11</v>
      </c>
      <c r="Q1062" s="6">
        <f>IFERROR(tblSales[[#This Row],[NetSalesTRY]]/tblSales[[#This Row],[Units]],0)</f>
        <v>915.00455089820366</v>
      </c>
      <c r="R1062" s="17">
        <f>IFERROR(tblSales[[#This Row],[NetSalesTRY]]/tblSales[[#This Row],[TargetTRY]],0)</f>
        <v>0.93884289640056406</v>
      </c>
      <c r="S1062" s="6">
        <f>tblSales[[#This Row],[NetSalesTRY]]-tblSales[[#This Row],[TargetTRY]]</f>
        <v>-9953.9100000000035</v>
      </c>
      <c r="T1062" s="6">
        <f>MAX(tblSales[[#This Row],[TargetTRY]]-tblSales[[#This Row],[NetSalesTRY]],0)</f>
        <v>9953.9100000000035</v>
      </c>
    </row>
    <row r="1063" spans="1:20">
      <c r="A1063" t="s">
        <v>1451</v>
      </c>
      <c r="B1063" s="15">
        <v>45962</v>
      </c>
      <c r="C1063" t="s">
        <v>19</v>
      </c>
      <c r="D1063" t="s">
        <v>20</v>
      </c>
      <c r="E1063" t="s">
        <v>37</v>
      </c>
      <c r="F1063" t="s">
        <v>35</v>
      </c>
      <c r="G1063" t="s">
        <v>8</v>
      </c>
      <c r="H1063" s="8">
        <v>213</v>
      </c>
      <c r="I1063" s="9">
        <v>160958.29</v>
      </c>
      <c r="J1063" s="9">
        <v>8040.11</v>
      </c>
      <c r="K1063" s="9">
        <v>1919.52</v>
      </c>
      <c r="L1063" s="9">
        <v>150998.66</v>
      </c>
      <c r="M1063" s="9">
        <v>150688.62</v>
      </c>
      <c r="N1063" s="6" t="str">
        <f>_xlfn.XLOOKUP(tblSales[[#This Row],[ProductID]],tblProducts[ProductID],tblProducts[ProductName],"Not Found")</f>
        <v>GlucoRelief</v>
      </c>
      <c r="O1063" s="8">
        <f>YEAR(tblSales[[#This Row],[Month]])</f>
        <v>2025</v>
      </c>
      <c r="P1063" s="8">
        <f>MONTH(tblSales[[#This Row],[Month]])</f>
        <v>11</v>
      </c>
      <c r="Q1063" s="6">
        <f>IFERROR(tblSales[[#This Row],[NetSalesTRY]]/tblSales[[#This Row],[Units]],0)</f>
        <v>708.91389671361503</v>
      </c>
      <c r="R1063" s="17">
        <f>IFERROR(tblSales[[#This Row],[NetSalesTRY]]/tblSales[[#This Row],[TargetTRY]],0)</f>
        <v>1.0020574878182573</v>
      </c>
      <c r="S1063" s="6">
        <f>tblSales[[#This Row],[NetSalesTRY]]-tblSales[[#This Row],[TargetTRY]]</f>
        <v>310.04000000000815</v>
      </c>
      <c r="T1063" s="6">
        <f>MAX(tblSales[[#This Row],[TargetTRY]]-tblSales[[#This Row],[NetSalesTRY]],0)</f>
        <v>0</v>
      </c>
    </row>
    <row r="1064" spans="1:20">
      <c r="A1064" t="s">
        <v>1452</v>
      </c>
      <c r="B1064" s="15">
        <v>45962</v>
      </c>
      <c r="C1064" t="s">
        <v>19</v>
      </c>
      <c r="D1064" t="s">
        <v>20</v>
      </c>
      <c r="E1064" t="s">
        <v>37</v>
      </c>
      <c r="F1064" t="s">
        <v>35</v>
      </c>
      <c r="G1064" t="s">
        <v>11</v>
      </c>
      <c r="H1064" s="8">
        <v>251</v>
      </c>
      <c r="I1064" s="9">
        <v>157703.84</v>
      </c>
      <c r="J1064" s="9">
        <v>7773.27</v>
      </c>
      <c r="K1064" s="9">
        <v>802.26</v>
      </c>
      <c r="L1064" s="9">
        <v>149128.32000000001</v>
      </c>
      <c r="M1064" s="9">
        <v>140299.47</v>
      </c>
      <c r="N1064" s="6" t="str">
        <f>_xlfn.XLOOKUP(tblSales[[#This Row],[ProductID]],tblProducts[ProductID],tblProducts[ProductName],"Not Found")</f>
        <v>RespiraX</v>
      </c>
      <c r="O1064" s="8">
        <f>YEAR(tblSales[[#This Row],[Month]])</f>
        <v>2025</v>
      </c>
      <c r="P1064" s="8">
        <f>MONTH(tblSales[[#This Row],[Month]])</f>
        <v>11</v>
      </c>
      <c r="Q1064" s="6">
        <f>IFERROR(tblSales[[#This Row],[NetSalesTRY]]/tblSales[[#This Row],[Units]],0)</f>
        <v>594.1367330677291</v>
      </c>
      <c r="R1064" s="17">
        <f>IFERROR(tblSales[[#This Row],[NetSalesTRY]]/tblSales[[#This Row],[TargetTRY]],0)</f>
        <v>1.0629286055036415</v>
      </c>
      <c r="S1064" s="6">
        <f>tblSales[[#This Row],[NetSalesTRY]]-tblSales[[#This Row],[TargetTRY]]</f>
        <v>8828.8500000000058</v>
      </c>
      <c r="T1064" s="6">
        <f>MAX(tblSales[[#This Row],[TargetTRY]]-tblSales[[#This Row],[NetSalesTRY]],0)</f>
        <v>0</v>
      </c>
    </row>
    <row r="1065" spans="1:20">
      <c r="A1065" t="s">
        <v>1453</v>
      </c>
      <c r="B1065" s="15">
        <v>45962</v>
      </c>
      <c r="C1065" t="s">
        <v>19</v>
      </c>
      <c r="D1065" t="s">
        <v>20</v>
      </c>
      <c r="E1065" t="s">
        <v>37</v>
      </c>
      <c r="F1065" t="s">
        <v>35</v>
      </c>
      <c r="G1065" t="s">
        <v>14</v>
      </c>
      <c r="H1065" s="8">
        <v>128</v>
      </c>
      <c r="I1065" s="9">
        <v>139329.66</v>
      </c>
      <c r="J1065" s="9">
        <v>8705.9699999999993</v>
      </c>
      <c r="K1065" s="9">
        <v>1328.84</v>
      </c>
      <c r="L1065" s="9">
        <v>129294.86</v>
      </c>
      <c r="M1065" s="9">
        <v>135512.78</v>
      </c>
      <c r="N1065" s="6" t="str">
        <f>_xlfn.XLOOKUP(tblSales[[#This Row],[ProductID]],tblProducts[ProductID],tblProducts[ProductName],"Not Found")</f>
        <v>NeuroCalm</v>
      </c>
      <c r="O1065" s="8">
        <f>YEAR(tblSales[[#This Row],[Month]])</f>
        <v>2025</v>
      </c>
      <c r="P1065" s="8">
        <f>MONTH(tblSales[[#This Row],[Month]])</f>
        <v>11</v>
      </c>
      <c r="Q1065" s="6">
        <f>IFERROR(tblSales[[#This Row],[NetSalesTRY]]/tblSales[[#This Row],[Units]],0)</f>
        <v>1010.11609375</v>
      </c>
      <c r="R1065" s="17">
        <f>IFERROR(tblSales[[#This Row],[NetSalesTRY]]/tblSales[[#This Row],[TargetTRY]],0)</f>
        <v>0.95411561920580479</v>
      </c>
      <c r="S1065" s="6">
        <f>tblSales[[#This Row],[NetSalesTRY]]-tblSales[[#This Row],[TargetTRY]]</f>
        <v>-6217.9199999999983</v>
      </c>
      <c r="T1065" s="6">
        <f>MAX(tblSales[[#This Row],[TargetTRY]]-tblSales[[#This Row],[NetSalesTRY]],0)</f>
        <v>6217.9199999999983</v>
      </c>
    </row>
    <row r="1066" spans="1:20">
      <c r="A1066" t="s">
        <v>1454</v>
      </c>
      <c r="B1066" s="15">
        <v>45962</v>
      </c>
      <c r="C1066" t="s">
        <v>19</v>
      </c>
      <c r="D1066" t="s">
        <v>20</v>
      </c>
      <c r="E1066" t="s">
        <v>40</v>
      </c>
      <c r="F1066" t="s">
        <v>38</v>
      </c>
      <c r="G1066" t="s">
        <v>5</v>
      </c>
      <c r="H1066" s="8">
        <v>198</v>
      </c>
      <c r="I1066" s="9">
        <v>192419.61</v>
      </c>
      <c r="J1066" s="9">
        <v>12688.86</v>
      </c>
      <c r="K1066" s="9">
        <v>1804.05</v>
      </c>
      <c r="L1066" s="9">
        <v>177926.7</v>
      </c>
      <c r="M1066" s="9">
        <v>178547.73</v>
      </c>
      <c r="N1066" s="6" t="str">
        <f>_xlfn.XLOOKUP(tblSales[[#This Row],[ProductID]],tblProducts[ProductID],tblProducts[ProductName],"Not Found")</f>
        <v>Cardiovan</v>
      </c>
      <c r="O1066" s="8">
        <f>YEAR(tblSales[[#This Row],[Month]])</f>
        <v>2025</v>
      </c>
      <c r="P1066" s="8">
        <f>MONTH(tblSales[[#This Row],[Month]])</f>
        <v>11</v>
      </c>
      <c r="Q1066" s="6">
        <f>IFERROR(tblSales[[#This Row],[NetSalesTRY]]/tblSales[[#This Row],[Units]],0)</f>
        <v>898.61969696969697</v>
      </c>
      <c r="R1066" s="17">
        <f>IFERROR(tblSales[[#This Row],[NetSalesTRY]]/tblSales[[#This Row],[TargetTRY]],0)</f>
        <v>0.99652177039719292</v>
      </c>
      <c r="S1066" s="6">
        <f>tblSales[[#This Row],[NetSalesTRY]]-tblSales[[#This Row],[TargetTRY]]</f>
        <v>-621.02999999999884</v>
      </c>
      <c r="T1066" s="6">
        <f>MAX(tblSales[[#This Row],[TargetTRY]]-tblSales[[#This Row],[NetSalesTRY]],0)</f>
        <v>621.02999999999884</v>
      </c>
    </row>
    <row r="1067" spans="1:20">
      <c r="A1067" t="s">
        <v>1455</v>
      </c>
      <c r="B1067" s="15">
        <v>45962</v>
      </c>
      <c r="C1067" t="s">
        <v>19</v>
      </c>
      <c r="D1067" t="s">
        <v>20</v>
      </c>
      <c r="E1067" t="s">
        <v>40</v>
      </c>
      <c r="F1067" t="s">
        <v>38</v>
      </c>
      <c r="G1067" t="s">
        <v>8</v>
      </c>
      <c r="H1067" s="8">
        <v>220</v>
      </c>
      <c r="I1067" s="9">
        <v>165100.38</v>
      </c>
      <c r="J1067" s="9">
        <v>8093.24</v>
      </c>
      <c r="K1067" s="9">
        <v>2248.85</v>
      </c>
      <c r="L1067" s="9">
        <v>154758.29</v>
      </c>
      <c r="M1067" s="9">
        <v>163424.81</v>
      </c>
      <c r="N1067" s="6" t="str">
        <f>_xlfn.XLOOKUP(tblSales[[#This Row],[ProductID]],tblProducts[ProductID],tblProducts[ProductName],"Not Found")</f>
        <v>GlucoRelief</v>
      </c>
      <c r="O1067" s="8">
        <f>YEAR(tblSales[[#This Row],[Month]])</f>
        <v>2025</v>
      </c>
      <c r="P1067" s="8">
        <f>MONTH(tblSales[[#This Row],[Month]])</f>
        <v>11</v>
      </c>
      <c r="Q1067" s="6">
        <f>IFERROR(tblSales[[#This Row],[NetSalesTRY]]/tblSales[[#This Row],[Units]],0)</f>
        <v>703.44677272727279</v>
      </c>
      <c r="R1067" s="17">
        <f>IFERROR(tblSales[[#This Row],[NetSalesTRY]]/tblSales[[#This Row],[TargetTRY]],0)</f>
        <v>0.94696937386679547</v>
      </c>
      <c r="S1067" s="6">
        <f>tblSales[[#This Row],[NetSalesTRY]]-tblSales[[#This Row],[TargetTRY]]</f>
        <v>-8666.5199999999895</v>
      </c>
      <c r="T1067" s="6">
        <f>MAX(tblSales[[#This Row],[TargetTRY]]-tblSales[[#This Row],[NetSalesTRY]],0)</f>
        <v>8666.5199999999895</v>
      </c>
    </row>
    <row r="1068" spans="1:20">
      <c r="A1068" t="s">
        <v>1456</v>
      </c>
      <c r="B1068" s="15">
        <v>45962</v>
      </c>
      <c r="C1068" t="s">
        <v>19</v>
      </c>
      <c r="D1068" t="s">
        <v>20</v>
      </c>
      <c r="E1068" t="s">
        <v>40</v>
      </c>
      <c r="F1068" t="s">
        <v>38</v>
      </c>
      <c r="G1068" t="s">
        <v>11</v>
      </c>
      <c r="H1068" s="8">
        <v>261</v>
      </c>
      <c r="I1068" s="9">
        <v>160321.99</v>
      </c>
      <c r="J1068" s="9">
        <v>11345.66</v>
      </c>
      <c r="K1068" s="9">
        <v>966.9</v>
      </c>
      <c r="L1068" s="9">
        <v>148009.43</v>
      </c>
      <c r="M1068" s="9">
        <v>152419.51999999999</v>
      </c>
      <c r="N1068" s="6" t="str">
        <f>_xlfn.XLOOKUP(tblSales[[#This Row],[ProductID]],tblProducts[ProductID],tblProducts[ProductName],"Not Found")</f>
        <v>RespiraX</v>
      </c>
      <c r="O1068" s="8">
        <f>YEAR(tblSales[[#This Row],[Month]])</f>
        <v>2025</v>
      </c>
      <c r="P1068" s="8">
        <f>MONTH(tblSales[[#This Row],[Month]])</f>
        <v>11</v>
      </c>
      <c r="Q1068" s="6">
        <f>IFERROR(tblSales[[#This Row],[NetSalesTRY]]/tblSales[[#This Row],[Units]],0)</f>
        <v>567.08593869731794</v>
      </c>
      <c r="R1068" s="17">
        <f>IFERROR(tblSales[[#This Row],[NetSalesTRY]]/tblSales[[#This Row],[TargetTRY]],0)</f>
        <v>0.97106610754318079</v>
      </c>
      <c r="S1068" s="6">
        <f>tblSales[[#This Row],[NetSalesTRY]]-tblSales[[#This Row],[TargetTRY]]</f>
        <v>-4410.0899999999965</v>
      </c>
      <c r="T1068" s="6">
        <f>MAX(tblSales[[#This Row],[TargetTRY]]-tblSales[[#This Row],[NetSalesTRY]],0)</f>
        <v>4410.0899999999965</v>
      </c>
    </row>
    <row r="1069" spans="1:20">
      <c r="A1069" t="s">
        <v>1457</v>
      </c>
      <c r="B1069" s="15">
        <v>45962</v>
      </c>
      <c r="C1069" t="s">
        <v>19</v>
      </c>
      <c r="D1069" t="s">
        <v>20</v>
      </c>
      <c r="E1069" t="s">
        <v>40</v>
      </c>
      <c r="F1069" t="s">
        <v>38</v>
      </c>
      <c r="G1069" t="s">
        <v>14</v>
      </c>
      <c r="H1069" s="8">
        <v>140</v>
      </c>
      <c r="I1069" s="9">
        <v>154723.35999999999</v>
      </c>
      <c r="J1069" s="9">
        <v>9980.3799999999992</v>
      </c>
      <c r="K1069" s="9">
        <v>1361.96</v>
      </c>
      <c r="L1069" s="9">
        <v>143381.01999999999</v>
      </c>
      <c r="M1069" s="9">
        <v>151008.04999999999</v>
      </c>
      <c r="N1069" s="6" t="str">
        <f>_xlfn.XLOOKUP(tblSales[[#This Row],[ProductID]],tblProducts[ProductID],tblProducts[ProductName],"Not Found")</f>
        <v>NeuroCalm</v>
      </c>
      <c r="O1069" s="8">
        <f>YEAR(tblSales[[#This Row],[Month]])</f>
        <v>2025</v>
      </c>
      <c r="P1069" s="8">
        <f>MONTH(tblSales[[#This Row],[Month]])</f>
        <v>11</v>
      </c>
      <c r="Q1069" s="6">
        <f>IFERROR(tblSales[[#This Row],[NetSalesTRY]]/tblSales[[#This Row],[Units]],0)</f>
        <v>1024.1501428571428</v>
      </c>
      <c r="R1069" s="17">
        <f>IFERROR(tblSales[[#This Row],[NetSalesTRY]]/tblSales[[#This Row],[TargetTRY]],0)</f>
        <v>0.94949256016483885</v>
      </c>
      <c r="S1069" s="6">
        <f>tblSales[[#This Row],[NetSalesTRY]]-tblSales[[#This Row],[TargetTRY]]</f>
        <v>-7627.0299999999988</v>
      </c>
      <c r="T1069" s="6">
        <f>MAX(tblSales[[#This Row],[TargetTRY]]-tblSales[[#This Row],[NetSalesTRY]],0)</f>
        <v>7627.0299999999988</v>
      </c>
    </row>
    <row r="1070" spans="1:20">
      <c r="A1070" t="s">
        <v>1458</v>
      </c>
      <c r="B1070" s="15">
        <v>45962</v>
      </c>
      <c r="C1070" t="s">
        <v>21</v>
      </c>
      <c r="D1070" t="s">
        <v>22</v>
      </c>
      <c r="E1070" t="s">
        <v>43</v>
      </c>
      <c r="F1070" t="s">
        <v>41</v>
      </c>
      <c r="G1070" t="s">
        <v>5</v>
      </c>
      <c r="H1070" s="8">
        <v>112</v>
      </c>
      <c r="I1070" s="9">
        <v>110499.69</v>
      </c>
      <c r="J1070" s="9">
        <v>7333.35</v>
      </c>
      <c r="K1070" s="9">
        <v>1251.7</v>
      </c>
      <c r="L1070" s="9">
        <v>101914.64</v>
      </c>
      <c r="M1070" s="9">
        <v>133866.88</v>
      </c>
      <c r="N1070" s="6" t="str">
        <f>_xlfn.XLOOKUP(tblSales[[#This Row],[ProductID]],tblProducts[ProductID],tblProducts[ProductName],"Not Found")</f>
        <v>Cardiovan</v>
      </c>
      <c r="O1070" s="8">
        <f>YEAR(tblSales[[#This Row],[Month]])</f>
        <v>2025</v>
      </c>
      <c r="P1070" s="8">
        <f>MONTH(tblSales[[#This Row],[Month]])</f>
        <v>11</v>
      </c>
      <c r="Q1070" s="6">
        <f>IFERROR(tblSales[[#This Row],[NetSalesTRY]]/tblSales[[#This Row],[Units]],0)</f>
        <v>909.9521428571428</v>
      </c>
      <c r="R1070" s="17">
        <f>IFERROR(tblSales[[#This Row],[NetSalesTRY]]/tblSales[[#This Row],[TargetTRY]],0)</f>
        <v>0.76131332858433687</v>
      </c>
      <c r="S1070" s="6">
        <f>tblSales[[#This Row],[NetSalesTRY]]-tblSales[[#This Row],[TargetTRY]]</f>
        <v>-31952.240000000005</v>
      </c>
      <c r="T1070" s="6">
        <f>MAX(tblSales[[#This Row],[TargetTRY]]-tblSales[[#This Row],[NetSalesTRY]],0)</f>
        <v>31952.240000000005</v>
      </c>
    </row>
    <row r="1071" spans="1:20">
      <c r="A1071" t="s">
        <v>1459</v>
      </c>
      <c r="B1071" s="15">
        <v>45962</v>
      </c>
      <c r="C1071" t="s">
        <v>21</v>
      </c>
      <c r="D1071" t="s">
        <v>22</v>
      </c>
      <c r="E1071" t="s">
        <v>43</v>
      </c>
      <c r="F1071" t="s">
        <v>41</v>
      </c>
      <c r="G1071" t="s">
        <v>8</v>
      </c>
      <c r="H1071" s="8">
        <v>164</v>
      </c>
      <c r="I1071" s="9">
        <v>124958.56</v>
      </c>
      <c r="J1071" s="9">
        <v>7649.98</v>
      </c>
      <c r="K1071" s="9">
        <v>937.17</v>
      </c>
      <c r="L1071" s="9">
        <v>116371.41</v>
      </c>
      <c r="M1071" s="9">
        <v>119178.33</v>
      </c>
      <c r="N1071" s="6" t="str">
        <f>_xlfn.XLOOKUP(tblSales[[#This Row],[ProductID]],tblProducts[ProductID],tblProducts[ProductName],"Not Found")</f>
        <v>GlucoRelief</v>
      </c>
      <c r="O1071" s="8">
        <f>YEAR(tblSales[[#This Row],[Month]])</f>
        <v>2025</v>
      </c>
      <c r="P1071" s="8">
        <f>MONTH(tblSales[[#This Row],[Month]])</f>
        <v>11</v>
      </c>
      <c r="Q1071" s="6">
        <f>IFERROR(tblSales[[#This Row],[NetSalesTRY]]/tblSales[[#This Row],[Units]],0)</f>
        <v>709.58176829268291</v>
      </c>
      <c r="R1071" s="17">
        <f>IFERROR(tblSales[[#This Row],[NetSalesTRY]]/tblSales[[#This Row],[TargetTRY]],0)</f>
        <v>0.97644773173109578</v>
      </c>
      <c r="S1071" s="6">
        <f>tblSales[[#This Row],[NetSalesTRY]]-tblSales[[#This Row],[TargetTRY]]</f>
        <v>-2806.9199999999983</v>
      </c>
      <c r="T1071" s="6">
        <f>MAX(tblSales[[#This Row],[TargetTRY]]-tblSales[[#This Row],[NetSalesTRY]],0)</f>
        <v>2806.9199999999983</v>
      </c>
    </row>
    <row r="1072" spans="1:20">
      <c r="A1072" t="s">
        <v>1460</v>
      </c>
      <c r="B1072" s="15">
        <v>45962</v>
      </c>
      <c r="C1072" t="s">
        <v>21</v>
      </c>
      <c r="D1072" t="s">
        <v>22</v>
      </c>
      <c r="E1072" t="s">
        <v>43</v>
      </c>
      <c r="F1072" t="s">
        <v>41</v>
      </c>
      <c r="G1072" t="s">
        <v>11</v>
      </c>
      <c r="H1072" s="8">
        <v>174</v>
      </c>
      <c r="I1072" s="9">
        <v>107225.22</v>
      </c>
      <c r="J1072" s="9">
        <v>6004.2</v>
      </c>
      <c r="K1072" s="9">
        <v>1108.52</v>
      </c>
      <c r="L1072" s="9">
        <v>100112.49</v>
      </c>
      <c r="M1072" s="9">
        <v>114162.56</v>
      </c>
      <c r="N1072" s="6" t="str">
        <f>_xlfn.XLOOKUP(tblSales[[#This Row],[ProductID]],tblProducts[ProductID],tblProducts[ProductName],"Not Found")</f>
        <v>RespiraX</v>
      </c>
      <c r="O1072" s="8">
        <f>YEAR(tblSales[[#This Row],[Month]])</f>
        <v>2025</v>
      </c>
      <c r="P1072" s="8">
        <f>MONTH(tblSales[[#This Row],[Month]])</f>
        <v>11</v>
      </c>
      <c r="Q1072" s="6">
        <f>IFERROR(tblSales[[#This Row],[NetSalesTRY]]/tblSales[[#This Row],[Units]],0)</f>
        <v>575.35913793103452</v>
      </c>
      <c r="R1072" s="17">
        <f>IFERROR(tblSales[[#This Row],[NetSalesTRY]]/tblSales[[#This Row],[TargetTRY]],0)</f>
        <v>0.87692926647755631</v>
      </c>
      <c r="S1072" s="6">
        <f>tblSales[[#This Row],[NetSalesTRY]]-tblSales[[#This Row],[TargetTRY]]</f>
        <v>-14050.069999999992</v>
      </c>
      <c r="T1072" s="6">
        <f>MAX(tblSales[[#This Row],[TargetTRY]]-tblSales[[#This Row],[NetSalesTRY]],0)</f>
        <v>14050.069999999992</v>
      </c>
    </row>
    <row r="1073" spans="1:20">
      <c r="A1073" t="s">
        <v>1461</v>
      </c>
      <c r="B1073" s="15">
        <v>45962</v>
      </c>
      <c r="C1073" t="s">
        <v>21</v>
      </c>
      <c r="D1073" t="s">
        <v>22</v>
      </c>
      <c r="E1073" t="s">
        <v>43</v>
      </c>
      <c r="F1073" t="s">
        <v>41</v>
      </c>
      <c r="G1073" t="s">
        <v>14</v>
      </c>
      <c r="H1073" s="8">
        <v>106</v>
      </c>
      <c r="I1073" s="9">
        <v>118270.18</v>
      </c>
      <c r="J1073" s="9">
        <v>4686.96</v>
      </c>
      <c r="K1073" s="9">
        <v>876.35</v>
      </c>
      <c r="L1073" s="9">
        <v>112706.86</v>
      </c>
      <c r="M1073" s="9">
        <v>109712.27</v>
      </c>
      <c r="N1073" s="6" t="str">
        <f>_xlfn.XLOOKUP(tblSales[[#This Row],[ProductID]],tblProducts[ProductID],tblProducts[ProductName],"Not Found")</f>
        <v>NeuroCalm</v>
      </c>
      <c r="O1073" s="8">
        <f>YEAR(tblSales[[#This Row],[Month]])</f>
        <v>2025</v>
      </c>
      <c r="P1073" s="8">
        <f>MONTH(tblSales[[#This Row],[Month]])</f>
        <v>11</v>
      </c>
      <c r="Q1073" s="6">
        <f>IFERROR(tblSales[[#This Row],[NetSalesTRY]]/tblSales[[#This Row],[Units]],0)</f>
        <v>1063.2722641509433</v>
      </c>
      <c r="R1073" s="17">
        <f>IFERROR(tblSales[[#This Row],[NetSalesTRY]]/tblSales[[#This Row],[TargetTRY]],0)</f>
        <v>1.0272949415776376</v>
      </c>
      <c r="S1073" s="6">
        <f>tblSales[[#This Row],[NetSalesTRY]]-tblSales[[#This Row],[TargetTRY]]</f>
        <v>2994.5899999999965</v>
      </c>
      <c r="T1073" s="6">
        <f>MAX(tblSales[[#This Row],[TargetTRY]]-tblSales[[#This Row],[NetSalesTRY]],0)</f>
        <v>0</v>
      </c>
    </row>
    <row r="1074" spans="1:20">
      <c r="A1074" t="s">
        <v>1462</v>
      </c>
      <c r="B1074" s="15">
        <v>45962</v>
      </c>
      <c r="C1074" t="s">
        <v>21</v>
      </c>
      <c r="D1074" t="s">
        <v>22</v>
      </c>
      <c r="E1074" t="s">
        <v>46</v>
      </c>
      <c r="F1074" t="s">
        <v>44</v>
      </c>
      <c r="G1074" t="s">
        <v>5</v>
      </c>
      <c r="H1074" s="8">
        <v>103</v>
      </c>
      <c r="I1074" s="9">
        <v>100991.36</v>
      </c>
      <c r="J1074" s="9">
        <v>3958.2</v>
      </c>
      <c r="K1074" s="9">
        <v>434.55</v>
      </c>
      <c r="L1074" s="9">
        <v>96598.61</v>
      </c>
      <c r="M1074" s="9">
        <v>116851.71</v>
      </c>
      <c r="N1074" s="6" t="str">
        <f>_xlfn.XLOOKUP(tblSales[[#This Row],[ProductID]],tblProducts[ProductID],tblProducts[ProductName],"Not Found")</f>
        <v>Cardiovan</v>
      </c>
      <c r="O1074" s="8">
        <f>YEAR(tblSales[[#This Row],[Month]])</f>
        <v>2025</v>
      </c>
      <c r="P1074" s="8">
        <f>MONTH(tblSales[[#This Row],[Month]])</f>
        <v>11</v>
      </c>
      <c r="Q1074" s="6">
        <f>IFERROR(tblSales[[#This Row],[NetSalesTRY]]/tblSales[[#This Row],[Units]],0)</f>
        <v>937.85058252427189</v>
      </c>
      <c r="R1074" s="17">
        <f>IFERROR(tblSales[[#This Row],[NetSalesTRY]]/tblSales[[#This Row],[TargetTRY]],0)</f>
        <v>0.82667690528448401</v>
      </c>
      <c r="S1074" s="6">
        <f>tblSales[[#This Row],[NetSalesTRY]]-tblSales[[#This Row],[TargetTRY]]</f>
        <v>-20253.100000000006</v>
      </c>
      <c r="T1074" s="6">
        <f>MAX(tblSales[[#This Row],[TargetTRY]]-tblSales[[#This Row],[NetSalesTRY]],0)</f>
        <v>20253.100000000006</v>
      </c>
    </row>
    <row r="1075" spans="1:20">
      <c r="A1075" t="s">
        <v>1463</v>
      </c>
      <c r="B1075" s="15">
        <v>45962</v>
      </c>
      <c r="C1075" t="s">
        <v>21</v>
      </c>
      <c r="D1075" t="s">
        <v>22</v>
      </c>
      <c r="E1075" t="s">
        <v>46</v>
      </c>
      <c r="F1075" t="s">
        <v>44</v>
      </c>
      <c r="G1075" t="s">
        <v>8</v>
      </c>
      <c r="H1075" s="8">
        <v>147</v>
      </c>
      <c r="I1075" s="9">
        <v>111465.48</v>
      </c>
      <c r="J1075" s="9">
        <v>7390.7</v>
      </c>
      <c r="K1075" s="9">
        <v>608.75</v>
      </c>
      <c r="L1075" s="9">
        <v>103466.03</v>
      </c>
      <c r="M1075" s="9">
        <v>106152.57</v>
      </c>
      <c r="N1075" s="6" t="str">
        <f>_xlfn.XLOOKUP(tblSales[[#This Row],[ProductID]],tblProducts[ProductID],tblProducts[ProductName],"Not Found")</f>
        <v>GlucoRelief</v>
      </c>
      <c r="O1075" s="8">
        <f>YEAR(tblSales[[#This Row],[Month]])</f>
        <v>2025</v>
      </c>
      <c r="P1075" s="8">
        <f>MONTH(tblSales[[#This Row],[Month]])</f>
        <v>11</v>
      </c>
      <c r="Q1075" s="6">
        <f>IFERROR(tblSales[[#This Row],[NetSalesTRY]]/tblSales[[#This Row],[Units]],0)</f>
        <v>703.85054421768712</v>
      </c>
      <c r="R1075" s="17">
        <f>IFERROR(tblSales[[#This Row],[NetSalesTRY]]/tblSales[[#This Row],[TargetTRY]],0)</f>
        <v>0.9746917102430962</v>
      </c>
      <c r="S1075" s="6">
        <f>tblSales[[#This Row],[NetSalesTRY]]-tblSales[[#This Row],[TargetTRY]]</f>
        <v>-2686.5400000000081</v>
      </c>
      <c r="T1075" s="6">
        <f>MAX(tblSales[[#This Row],[TargetTRY]]-tblSales[[#This Row],[NetSalesTRY]],0)</f>
        <v>2686.5400000000081</v>
      </c>
    </row>
    <row r="1076" spans="1:20">
      <c r="A1076" t="s">
        <v>1464</v>
      </c>
      <c r="B1076" s="15">
        <v>45962</v>
      </c>
      <c r="C1076" t="s">
        <v>21</v>
      </c>
      <c r="D1076" t="s">
        <v>22</v>
      </c>
      <c r="E1076" t="s">
        <v>46</v>
      </c>
      <c r="F1076" t="s">
        <v>44</v>
      </c>
      <c r="G1076" t="s">
        <v>11</v>
      </c>
      <c r="H1076" s="8">
        <v>157</v>
      </c>
      <c r="I1076" s="9">
        <v>98638.89</v>
      </c>
      <c r="J1076" s="9">
        <v>6378.97</v>
      </c>
      <c r="K1076" s="9">
        <v>1253.3399999999999</v>
      </c>
      <c r="L1076" s="9">
        <v>91006.58</v>
      </c>
      <c r="M1076" s="9">
        <v>98035.51</v>
      </c>
      <c r="N1076" s="6" t="str">
        <f>_xlfn.XLOOKUP(tblSales[[#This Row],[ProductID]],tblProducts[ProductID],tblProducts[ProductName],"Not Found")</f>
        <v>RespiraX</v>
      </c>
      <c r="O1076" s="8">
        <f>YEAR(tblSales[[#This Row],[Month]])</f>
        <v>2025</v>
      </c>
      <c r="P1076" s="8">
        <f>MONTH(tblSales[[#This Row],[Month]])</f>
        <v>11</v>
      </c>
      <c r="Q1076" s="6">
        <f>IFERROR(tblSales[[#This Row],[NetSalesTRY]]/tblSales[[#This Row],[Units]],0)</f>
        <v>579.65974522292993</v>
      </c>
      <c r="R1076" s="17">
        <f>IFERROR(tblSales[[#This Row],[NetSalesTRY]]/tblSales[[#This Row],[TargetTRY]],0)</f>
        <v>0.9283022039667056</v>
      </c>
      <c r="S1076" s="6">
        <f>tblSales[[#This Row],[NetSalesTRY]]-tblSales[[#This Row],[TargetTRY]]</f>
        <v>-7028.929999999993</v>
      </c>
      <c r="T1076" s="6">
        <f>MAX(tblSales[[#This Row],[TargetTRY]]-tblSales[[#This Row],[NetSalesTRY]],0)</f>
        <v>7028.929999999993</v>
      </c>
    </row>
    <row r="1077" spans="1:20">
      <c r="A1077" t="s">
        <v>1465</v>
      </c>
      <c r="B1077" s="15">
        <v>45962</v>
      </c>
      <c r="C1077" t="s">
        <v>21</v>
      </c>
      <c r="D1077" t="s">
        <v>22</v>
      </c>
      <c r="E1077" t="s">
        <v>46</v>
      </c>
      <c r="F1077" t="s">
        <v>44</v>
      </c>
      <c r="G1077" t="s">
        <v>14</v>
      </c>
      <c r="H1077" s="8">
        <v>89</v>
      </c>
      <c r="I1077" s="9">
        <v>97636.58</v>
      </c>
      <c r="J1077" s="9">
        <v>3551.56</v>
      </c>
      <c r="K1077" s="9">
        <v>1332.03</v>
      </c>
      <c r="L1077" s="9">
        <v>92752.98</v>
      </c>
      <c r="M1077" s="9">
        <v>95402.36</v>
      </c>
      <c r="N1077" s="6" t="str">
        <f>_xlfn.XLOOKUP(tblSales[[#This Row],[ProductID]],tblProducts[ProductID],tblProducts[ProductName],"Not Found")</f>
        <v>NeuroCalm</v>
      </c>
      <c r="O1077" s="8">
        <f>YEAR(tblSales[[#This Row],[Month]])</f>
        <v>2025</v>
      </c>
      <c r="P1077" s="8">
        <f>MONTH(tblSales[[#This Row],[Month]])</f>
        <v>11</v>
      </c>
      <c r="Q1077" s="6">
        <f>IFERROR(tblSales[[#This Row],[NetSalesTRY]]/tblSales[[#This Row],[Units]],0)</f>
        <v>1042.1683146067414</v>
      </c>
      <c r="R1077" s="17">
        <f>IFERROR(tblSales[[#This Row],[NetSalesTRY]]/tblSales[[#This Row],[TargetTRY]],0)</f>
        <v>0.97222940816139136</v>
      </c>
      <c r="S1077" s="6">
        <f>tblSales[[#This Row],[NetSalesTRY]]-tblSales[[#This Row],[TargetTRY]]</f>
        <v>-2649.3800000000047</v>
      </c>
      <c r="T1077" s="6">
        <f>MAX(tblSales[[#This Row],[TargetTRY]]-tblSales[[#This Row],[NetSalesTRY]],0)</f>
        <v>2649.3800000000047</v>
      </c>
    </row>
    <row r="1078" spans="1:20">
      <c r="A1078" t="s">
        <v>1466</v>
      </c>
      <c r="B1078" s="15">
        <v>45962</v>
      </c>
      <c r="C1078" t="s">
        <v>21</v>
      </c>
      <c r="D1078" t="s">
        <v>22</v>
      </c>
      <c r="E1078" t="s">
        <v>49</v>
      </c>
      <c r="F1078" t="s">
        <v>47</v>
      </c>
      <c r="G1078" t="s">
        <v>5</v>
      </c>
      <c r="H1078" s="8">
        <v>111</v>
      </c>
      <c r="I1078" s="9">
        <v>107383.56</v>
      </c>
      <c r="J1078" s="9">
        <v>7578.8</v>
      </c>
      <c r="K1078" s="9">
        <v>933.99</v>
      </c>
      <c r="L1078" s="9">
        <v>98870.77</v>
      </c>
      <c r="M1078" s="9">
        <v>130925.71</v>
      </c>
      <c r="N1078" s="6" t="str">
        <f>_xlfn.XLOOKUP(tblSales[[#This Row],[ProductID]],tblProducts[ProductID],tblProducts[ProductName],"Not Found")</f>
        <v>Cardiovan</v>
      </c>
      <c r="O1078" s="8">
        <f>YEAR(tblSales[[#This Row],[Month]])</f>
        <v>2025</v>
      </c>
      <c r="P1078" s="8">
        <f>MONTH(tblSales[[#This Row],[Month]])</f>
        <v>11</v>
      </c>
      <c r="Q1078" s="6">
        <f>IFERROR(tblSales[[#This Row],[NetSalesTRY]]/tblSales[[#This Row],[Units]],0)</f>
        <v>890.72765765765769</v>
      </c>
      <c r="R1078" s="17">
        <f>IFERROR(tblSales[[#This Row],[NetSalesTRY]]/tblSales[[#This Row],[TargetTRY]],0)</f>
        <v>0.75516695689486812</v>
      </c>
      <c r="S1078" s="6">
        <f>tblSales[[#This Row],[NetSalesTRY]]-tblSales[[#This Row],[TargetTRY]]</f>
        <v>-32054.940000000002</v>
      </c>
      <c r="T1078" s="6">
        <f>MAX(tblSales[[#This Row],[TargetTRY]]-tblSales[[#This Row],[NetSalesTRY]],0)</f>
        <v>32054.940000000002</v>
      </c>
    </row>
    <row r="1079" spans="1:20">
      <c r="A1079" t="s">
        <v>1467</v>
      </c>
      <c r="B1079" s="15">
        <v>45962</v>
      </c>
      <c r="C1079" t="s">
        <v>21</v>
      </c>
      <c r="D1079" t="s">
        <v>22</v>
      </c>
      <c r="E1079" t="s">
        <v>49</v>
      </c>
      <c r="F1079" t="s">
        <v>47</v>
      </c>
      <c r="G1079" t="s">
        <v>8</v>
      </c>
      <c r="H1079" s="8">
        <v>165</v>
      </c>
      <c r="I1079" s="9">
        <v>123755.22</v>
      </c>
      <c r="J1079" s="9">
        <v>7799.64</v>
      </c>
      <c r="K1079" s="9">
        <v>1679.09</v>
      </c>
      <c r="L1079" s="9">
        <v>114276.5</v>
      </c>
      <c r="M1079" s="9">
        <v>118815.1</v>
      </c>
      <c r="N1079" s="6" t="str">
        <f>_xlfn.XLOOKUP(tblSales[[#This Row],[ProductID]],tblProducts[ProductID],tblProducts[ProductName],"Not Found")</f>
        <v>GlucoRelief</v>
      </c>
      <c r="O1079" s="8">
        <f>YEAR(tblSales[[#This Row],[Month]])</f>
        <v>2025</v>
      </c>
      <c r="P1079" s="8">
        <f>MONTH(tblSales[[#This Row],[Month]])</f>
        <v>11</v>
      </c>
      <c r="Q1079" s="6">
        <f>IFERROR(tblSales[[#This Row],[NetSalesTRY]]/tblSales[[#This Row],[Units]],0)</f>
        <v>692.58484848484852</v>
      </c>
      <c r="R1079" s="17">
        <f>IFERROR(tblSales[[#This Row],[NetSalesTRY]]/tblSales[[#This Row],[TargetTRY]],0)</f>
        <v>0.96180115153713619</v>
      </c>
      <c r="S1079" s="6">
        <f>tblSales[[#This Row],[NetSalesTRY]]-tblSales[[#This Row],[TargetTRY]]</f>
        <v>-4538.6000000000058</v>
      </c>
      <c r="T1079" s="6">
        <f>MAX(tblSales[[#This Row],[TargetTRY]]-tblSales[[#This Row],[NetSalesTRY]],0)</f>
        <v>4538.6000000000058</v>
      </c>
    </row>
    <row r="1080" spans="1:20">
      <c r="A1080" t="s">
        <v>1468</v>
      </c>
      <c r="B1080" s="15">
        <v>45962</v>
      </c>
      <c r="C1080" t="s">
        <v>21</v>
      </c>
      <c r="D1080" t="s">
        <v>22</v>
      </c>
      <c r="E1080" t="s">
        <v>49</v>
      </c>
      <c r="F1080" t="s">
        <v>47</v>
      </c>
      <c r="G1080" t="s">
        <v>11</v>
      </c>
      <c r="H1080" s="8">
        <v>190</v>
      </c>
      <c r="I1080" s="9">
        <v>116080.4</v>
      </c>
      <c r="J1080" s="9">
        <v>8627.66</v>
      </c>
      <c r="K1080" s="9">
        <v>1521.54</v>
      </c>
      <c r="L1080" s="9">
        <v>105931.2</v>
      </c>
      <c r="M1080" s="9">
        <v>111795.73</v>
      </c>
      <c r="N1080" s="6" t="str">
        <f>_xlfn.XLOOKUP(tblSales[[#This Row],[ProductID]],tblProducts[ProductID],tblProducts[ProductName],"Not Found")</f>
        <v>RespiraX</v>
      </c>
      <c r="O1080" s="8">
        <f>YEAR(tblSales[[#This Row],[Month]])</f>
        <v>2025</v>
      </c>
      <c r="P1080" s="8">
        <f>MONTH(tblSales[[#This Row],[Month]])</f>
        <v>11</v>
      </c>
      <c r="Q1080" s="6">
        <f>IFERROR(tblSales[[#This Row],[NetSalesTRY]]/tblSales[[#This Row],[Units]],0)</f>
        <v>557.5326315789473</v>
      </c>
      <c r="R1080" s="17">
        <f>IFERROR(tblSales[[#This Row],[NetSalesTRY]]/tblSales[[#This Row],[TargetTRY]],0)</f>
        <v>0.94754245086104805</v>
      </c>
      <c r="S1080" s="6">
        <f>tblSales[[#This Row],[NetSalesTRY]]-tblSales[[#This Row],[TargetTRY]]</f>
        <v>-5864.5299999999988</v>
      </c>
      <c r="T1080" s="6">
        <f>MAX(tblSales[[#This Row],[TargetTRY]]-tblSales[[#This Row],[NetSalesTRY]],0)</f>
        <v>5864.5299999999988</v>
      </c>
    </row>
    <row r="1081" spans="1:20">
      <c r="A1081" t="s">
        <v>1469</v>
      </c>
      <c r="B1081" s="15">
        <v>45962</v>
      </c>
      <c r="C1081" t="s">
        <v>21</v>
      </c>
      <c r="D1081" t="s">
        <v>22</v>
      </c>
      <c r="E1081" t="s">
        <v>49</v>
      </c>
      <c r="F1081" t="s">
        <v>47</v>
      </c>
      <c r="G1081" t="s">
        <v>14</v>
      </c>
      <c r="H1081" s="8">
        <v>97</v>
      </c>
      <c r="I1081" s="9">
        <v>107635.55</v>
      </c>
      <c r="J1081" s="9">
        <v>6419.41</v>
      </c>
      <c r="K1081" s="9">
        <v>467.46</v>
      </c>
      <c r="L1081" s="9">
        <v>100748.68</v>
      </c>
      <c r="M1081" s="9">
        <v>108674.6</v>
      </c>
      <c r="N1081" s="6" t="str">
        <f>_xlfn.XLOOKUP(tblSales[[#This Row],[ProductID]],tblProducts[ProductID],tblProducts[ProductName],"Not Found")</f>
        <v>NeuroCalm</v>
      </c>
      <c r="O1081" s="8">
        <f>YEAR(tblSales[[#This Row],[Month]])</f>
        <v>2025</v>
      </c>
      <c r="P1081" s="8">
        <f>MONTH(tblSales[[#This Row],[Month]])</f>
        <v>11</v>
      </c>
      <c r="Q1081" s="6">
        <f>IFERROR(tblSales[[#This Row],[NetSalesTRY]]/tblSales[[#This Row],[Units]],0)</f>
        <v>1038.6461855670102</v>
      </c>
      <c r="R1081" s="17">
        <f>IFERROR(tblSales[[#This Row],[NetSalesTRY]]/tblSales[[#This Row],[TargetTRY]],0)</f>
        <v>0.92706741041604923</v>
      </c>
      <c r="S1081" s="6">
        <f>tblSales[[#This Row],[NetSalesTRY]]-tblSales[[#This Row],[TargetTRY]]</f>
        <v>-7925.9200000000128</v>
      </c>
      <c r="T1081" s="6">
        <f>MAX(tblSales[[#This Row],[TargetTRY]]-tblSales[[#This Row],[NetSalesTRY]],0)</f>
        <v>7925.9200000000128</v>
      </c>
    </row>
    <row r="1082" spans="1:20">
      <c r="A1082" t="s">
        <v>1470</v>
      </c>
      <c r="B1082" s="15">
        <v>45962</v>
      </c>
      <c r="C1082" t="s">
        <v>23</v>
      </c>
      <c r="D1082" t="s">
        <v>24</v>
      </c>
      <c r="E1082" t="s">
        <v>52</v>
      </c>
      <c r="F1082" t="s">
        <v>50</v>
      </c>
      <c r="G1082" t="s">
        <v>5</v>
      </c>
      <c r="H1082" s="8">
        <v>129</v>
      </c>
      <c r="I1082" s="9">
        <v>124535.36</v>
      </c>
      <c r="J1082" s="9">
        <v>5111.88</v>
      </c>
      <c r="K1082" s="9">
        <v>701.8</v>
      </c>
      <c r="L1082" s="9">
        <v>118721.67</v>
      </c>
      <c r="M1082" s="9">
        <v>133374.24</v>
      </c>
      <c r="N1082" s="6" t="str">
        <f>_xlfn.XLOOKUP(tblSales[[#This Row],[ProductID]],tblProducts[ProductID],tblProducts[ProductName],"Not Found")</f>
        <v>Cardiovan</v>
      </c>
      <c r="O1082" s="8">
        <f>YEAR(tblSales[[#This Row],[Month]])</f>
        <v>2025</v>
      </c>
      <c r="P1082" s="8">
        <f>MONTH(tblSales[[#This Row],[Month]])</f>
        <v>11</v>
      </c>
      <c r="Q1082" s="6">
        <f>IFERROR(tblSales[[#This Row],[NetSalesTRY]]/tblSales[[#This Row],[Units]],0)</f>
        <v>920.32302325581395</v>
      </c>
      <c r="R1082" s="17">
        <f>IFERROR(tblSales[[#This Row],[NetSalesTRY]]/tblSales[[#This Row],[TargetTRY]],0)</f>
        <v>0.89013943022280773</v>
      </c>
      <c r="S1082" s="6">
        <f>tblSales[[#This Row],[NetSalesTRY]]-tblSales[[#This Row],[TargetTRY]]</f>
        <v>-14652.569999999992</v>
      </c>
      <c r="T1082" s="6">
        <f>MAX(tblSales[[#This Row],[TargetTRY]]-tblSales[[#This Row],[NetSalesTRY]],0)</f>
        <v>14652.569999999992</v>
      </c>
    </row>
    <row r="1083" spans="1:20">
      <c r="A1083" t="s">
        <v>1471</v>
      </c>
      <c r="B1083" s="15">
        <v>45962</v>
      </c>
      <c r="C1083" t="s">
        <v>23</v>
      </c>
      <c r="D1083" t="s">
        <v>24</v>
      </c>
      <c r="E1083" t="s">
        <v>52</v>
      </c>
      <c r="F1083" t="s">
        <v>50</v>
      </c>
      <c r="G1083" t="s">
        <v>8</v>
      </c>
      <c r="H1083" s="8">
        <v>162</v>
      </c>
      <c r="I1083" s="9">
        <v>123482.3</v>
      </c>
      <c r="J1083" s="9">
        <v>4444.3599999999997</v>
      </c>
      <c r="K1083" s="9">
        <v>1199.5999999999999</v>
      </c>
      <c r="L1083" s="9">
        <v>117838.35</v>
      </c>
      <c r="M1083" s="9">
        <v>117736.51</v>
      </c>
      <c r="N1083" s="6" t="str">
        <f>_xlfn.XLOOKUP(tblSales[[#This Row],[ProductID]],tblProducts[ProductID],tblProducts[ProductName],"Not Found")</f>
        <v>GlucoRelief</v>
      </c>
      <c r="O1083" s="8">
        <f>YEAR(tblSales[[#This Row],[Month]])</f>
        <v>2025</v>
      </c>
      <c r="P1083" s="8">
        <f>MONTH(tblSales[[#This Row],[Month]])</f>
        <v>11</v>
      </c>
      <c r="Q1083" s="6">
        <f>IFERROR(tblSales[[#This Row],[NetSalesTRY]]/tblSales[[#This Row],[Units]],0)</f>
        <v>727.39722222222224</v>
      </c>
      <c r="R1083" s="17">
        <f>IFERROR(tblSales[[#This Row],[NetSalesTRY]]/tblSales[[#This Row],[TargetTRY]],0)</f>
        <v>1.0008649823236651</v>
      </c>
      <c r="S1083" s="6">
        <f>tblSales[[#This Row],[NetSalesTRY]]-tblSales[[#This Row],[TargetTRY]]</f>
        <v>101.84000000001106</v>
      </c>
      <c r="T1083" s="6">
        <f>MAX(tblSales[[#This Row],[TargetTRY]]-tblSales[[#This Row],[NetSalesTRY]],0)</f>
        <v>0</v>
      </c>
    </row>
    <row r="1084" spans="1:20">
      <c r="A1084" t="s">
        <v>1472</v>
      </c>
      <c r="B1084" s="15">
        <v>45962</v>
      </c>
      <c r="C1084" t="s">
        <v>23</v>
      </c>
      <c r="D1084" t="s">
        <v>24</v>
      </c>
      <c r="E1084" t="s">
        <v>52</v>
      </c>
      <c r="F1084" t="s">
        <v>50</v>
      </c>
      <c r="G1084" t="s">
        <v>11</v>
      </c>
      <c r="H1084" s="8">
        <v>180</v>
      </c>
      <c r="I1084" s="9">
        <v>112993.49</v>
      </c>
      <c r="J1084" s="9">
        <v>5925.7</v>
      </c>
      <c r="K1084" s="9">
        <v>466.82</v>
      </c>
      <c r="L1084" s="9">
        <v>106600.96000000001</v>
      </c>
      <c r="M1084" s="9">
        <v>112869.31</v>
      </c>
      <c r="N1084" s="6" t="str">
        <f>_xlfn.XLOOKUP(tblSales[[#This Row],[ProductID]],tblProducts[ProductID],tblProducts[ProductName],"Not Found")</f>
        <v>RespiraX</v>
      </c>
      <c r="O1084" s="8">
        <f>YEAR(tblSales[[#This Row],[Month]])</f>
        <v>2025</v>
      </c>
      <c r="P1084" s="8">
        <f>MONTH(tblSales[[#This Row],[Month]])</f>
        <v>11</v>
      </c>
      <c r="Q1084" s="6">
        <f>IFERROR(tblSales[[#This Row],[NetSalesTRY]]/tblSales[[#This Row],[Units]],0)</f>
        <v>592.22755555555557</v>
      </c>
      <c r="R1084" s="17">
        <f>IFERROR(tblSales[[#This Row],[NetSalesTRY]]/tblSales[[#This Row],[TargetTRY]],0)</f>
        <v>0.94446364560924501</v>
      </c>
      <c r="S1084" s="6">
        <f>tblSales[[#This Row],[NetSalesTRY]]-tblSales[[#This Row],[TargetTRY]]</f>
        <v>-6268.3499999999913</v>
      </c>
      <c r="T1084" s="6">
        <f>MAX(tblSales[[#This Row],[TargetTRY]]-tblSales[[#This Row],[NetSalesTRY]],0)</f>
        <v>6268.3499999999913</v>
      </c>
    </row>
    <row r="1085" spans="1:20">
      <c r="A1085" t="s">
        <v>1473</v>
      </c>
      <c r="B1085" s="15">
        <v>45962</v>
      </c>
      <c r="C1085" t="s">
        <v>23</v>
      </c>
      <c r="D1085" t="s">
        <v>24</v>
      </c>
      <c r="E1085" t="s">
        <v>52</v>
      </c>
      <c r="F1085" t="s">
        <v>50</v>
      </c>
      <c r="G1085" t="s">
        <v>14</v>
      </c>
      <c r="H1085" s="8">
        <v>106</v>
      </c>
      <c r="I1085" s="9">
        <v>115622.13</v>
      </c>
      <c r="J1085" s="9">
        <v>7310.77</v>
      </c>
      <c r="K1085" s="9">
        <v>1042.29</v>
      </c>
      <c r="L1085" s="9">
        <v>107269.06</v>
      </c>
      <c r="M1085" s="9">
        <v>106680.69</v>
      </c>
      <c r="N1085" s="6" t="str">
        <f>_xlfn.XLOOKUP(tblSales[[#This Row],[ProductID]],tblProducts[ProductID],tblProducts[ProductName],"Not Found")</f>
        <v>NeuroCalm</v>
      </c>
      <c r="O1085" s="8">
        <f>YEAR(tblSales[[#This Row],[Month]])</f>
        <v>2025</v>
      </c>
      <c r="P1085" s="8">
        <f>MONTH(tblSales[[#This Row],[Month]])</f>
        <v>11</v>
      </c>
      <c r="Q1085" s="6">
        <f>IFERROR(tblSales[[#This Row],[NetSalesTRY]]/tblSales[[#This Row],[Units]],0)</f>
        <v>1011.9722641509434</v>
      </c>
      <c r="R1085" s="17">
        <f>IFERROR(tblSales[[#This Row],[NetSalesTRY]]/tblSales[[#This Row],[TargetTRY]],0)</f>
        <v>1.005515243667809</v>
      </c>
      <c r="S1085" s="6">
        <f>tblSales[[#This Row],[NetSalesTRY]]-tblSales[[#This Row],[TargetTRY]]</f>
        <v>588.36999999999534</v>
      </c>
      <c r="T1085" s="6">
        <f>MAX(tblSales[[#This Row],[TargetTRY]]-tblSales[[#This Row],[NetSalesTRY]],0)</f>
        <v>0</v>
      </c>
    </row>
    <row r="1086" spans="1:20">
      <c r="A1086" t="s">
        <v>1474</v>
      </c>
      <c r="B1086" s="15">
        <v>45962</v>
      </c>
      <c r="C1086" t="s">
        <v>23</v>
      </c>
      <c r="D1086" t="s">
        <v>24</v>
      </c>
      <c r="E1086" t="s">
        <v>55</v>
      </c>
      <c r="F1086" t="s">
        <v>53</v>
      </c>
      <c r="G1086" t="s">
        <v>5</v>
      </c>
      <c r="H1086" s="8">
        <v>136</v>
      </c>
      <c r="I1086" s="9">
        <v>133833.31</v>
      </c>
      <c r="J1086" s="9">
        <v>9117.81</v>
      </c>
      <c r="K1086" s="9">
        <v>1431.07</v>
      </c>
      <c r="L1086" s="9">
        <v>123284.42</v>
      </c>
      <c r="M1086" s="9">
        <v>131837.29999999999</v>
      </c>
      <c r="N1086" s="6" t="str">
        <f>_xlfn.XLOOKUP(tblSales[[#This Row],[ProductID]],tblProducts[ProductID],tblProducts[ProductName],"Not Found")</f>
        <v>Cardiovan</v>
      </c>
      <c r="O1086" s="8">
        <f>YEAR(tblSales[[#This Row],[Month]])</f>
        <v>2025</v>
      </c>
      <c r="P1086" s="8">
        <f>MONTH(tblSales[[#This Row],[Month]])</f>
        <v>11</v>
      </c>
      <c r="Q1086" s="6">
        <f>IFERROR(tblSales[[#This Row],[NetSalesTRY]]/tblSales[[#This Row],[Units]],0)</f>
        <v>906.50308823529406</v>
      </c>
      <c r="R1086" s="17">
        <f>IFERROR(tblSales[[#This Row],[NetSalesTRY]]/tblSales[[#This Row],[TargetTRY]],0)</f>
        <v>0.93512549179936189</v>
      </c>
      <c r="S1086" s="6">
        <f>tblSales[[#This Row],[NetSalesTRY]]-tblSales[[#This Row],[TargetTRY]]</f>
        <v>-8552.8799999999901</v>
      </c>
      <c r="T1086" s="6">
        <f>MAX(tblSales[[#This Row],[TargetTRY]]-tblSales[[#This Row],[NetSalesTRY]],0)</f>
        <v>8552.8799999999901</v>
      </c>
    </row>
    <row r="1087" spans="1:20">
      <c r="A1087" t="s">
        <v>1475</v>
      </c>
      <c r="B1087" s="15">
        <v>45962</v>
      </c>
      <c r="C1087" t="s">
        <v>23</v>
      </c>
      <c r="D1087" t="s">
        <v>24</v>
      </c>
      <c r="E1087" t="s">
        <v>55</v>
      </c>
      <c r="F1087" t="s">
        <v>53</v>
      </c>
      <c r="G1087" t="s">
        <v>8</v>
      </c>
      <c r="H1087" s="8">
        <v>169</v>
      </c>
      <c r="I1087" s="9">
        <v>126996.43</v>
      </c>
      <c r="J1087" s="9">
        <v>6529.13</v>
      </c>
      <c r="K1087" s="9">
        <v>1211.3499999999999</v>
      </c>
      <c r="L1087" s="9">
        <v>119255.95</v>
      </c>
      <c r="M1087" s="9">
        <v>121239.8</v>
      </c>
      <c r="N1087" s="6" t="str">
        <f>_xlfn.XLOOKUP(tblSales[[#This Row],[ProductID]],tblProducts[ProductID],tblProducts[ProductName],"Not Found")</f>
        <v>GlucoRelief</v>
      </c>
      <c r="O1087" s="8">
        <f>YEAR(tblSales[[#This Row],[Month]])</f>
        <v>2025</v>
      </c>
      <c r="P1087" s="8">
        <f>MONTH(tblSales[[#This Row],[Month]])</f>
        <v>11</v>
      </c>
      <c r="Q1087" s="6">
        <f>IFERROR(tblSales[[#This Row],[NetSalesTRY]]/tblSales[[#This Row],[Units]],0)</f>
        <v>705.65650887573963</v>
      </c>
      <c r="R1087" s="17">
        <f>IFERROR(tblSales[[#This Row],[NetSalesTRY]]/tblSales[[#This Row],[TargetTRY]],0)</f>
        <v>0.9836369739969878</v>
      </c>
      <c r="S1087" s="6">
        <f>tblSales[[#This Row],[NetSalesTRY]]-tblSales[[#This Row],[TargetTRY]]</f>
        <v>-1983.8500000000058</v>
      </c>
      <c r="T1087" s="6">
        <f>MAX(tblSales[[#This Row],[TargetTRY]]-tblSales[[#This Row],[NetSalesTRY]],0)</f>
        <v>1983.8500000000058</v>
      </c>
    </row>
    <row r="1088" spans="1:20">
      <c r="A1088" t="s">
        <v>1476</v>
      </c>
      <c r="B1088" s="15">
        <v>45962</v>
      </c>
      <c r="C1088" t="s">
        <v>23</v>
      </c>
      <c r="D1088" t="s">
        <v>24</v>
      </c>
      <c r="E1088" t="s">
        <v>55</v>
      </c>
      <c r="F1088" t="s">
        <v>53</v>
      </c>
      <c r="G1088" t="s">
        <v>11</v>
      </c>
      <c r="H1088" s="8">
        <v>201</v>
      </c>
      <c r="I1088" s="9">
        <v>125084.04</v>
      </c>
      <c r="J1088" s="9">
        <v>5902.68</v>
      </c>
      <c r="K1088" s="9">
        <v>1082.4100000000001</v>
      </c>
      <c r="L1088" s="9">
        <v>118098.94</v>
      </c>
      <c r="M1088" s="9">
        <v>112096.77</v>
      </c>
      <c r="N1088" s="6" t="str">
        <f>_xlfn.XLOOKUP(tblSales[[#This Row],[ProductID]],tblProducts[ProductID],tblProducts[ProductName],"Not Found")</f>
        <v>RespiraX</v>
      </c>
      <c r="O1088" s="8">
        <f>YEAR(tblSales[[#This Row],[Month]])</f>
        <v>2025</v>
      </c>
      <c r="P1088" s="8">
        <f>MONTH(tblSales[[#This Row],[Month]])</f>
        <v>11</v>
      </c>
      <c r="Q1088" s="6">
        <f>IFERROR(tblSales[[#This Row],[NetSalesTRY]]/tblSales[[#This Row],[Units]],0)</f>
        <v>587.5569154228856</v>
      </c>
      <c r="R1088" s="17">
        <f>IFERROR(tblSales[[#This Row],[NetSalesTRY]]/tblSales[[#This Row],[TargetTRY]],0)</f>
        <v>1.0535445401326016</v>
      </c>
      <c r="S1088" s="6">
        <f>tblSales[[#This Row],[NetSalesTRY]]-tblSales[[#This Row],[TargetTRY]]</f>
        <v>6002.1699999999983</v>
      </c>
      <c r="T1088" s="6">
        <f>MAX(tblSales[[#This Row],[TargetTRY]]-tblSales[[#This Row],[NetSalesTRY]],0)</f>
        <v>0</v>
      </c>
    </row>
    <row r="1089" spans="1:20">
      <c r="A1089" t="s">
        <v>1477</v>
      </c>
      <c r="B1089" s="15">
        <v>45962</v>
      </c>
      <c r="C1089" t="s">
        <v>23</v>
      </c>
      <c r="D1089" t="s">
        <v>24</v>
      </c>
      <c r="E1089" t="s">
        <v>55</v>
      </c>
      <c r="F1089" t="s">
        <v>53</v>
      </c>
      <c r="G1089" t="s">
        <v>14</v>
      </c>
      <c r="H1089" s="8">
        <v>103</v>
      </c>
      <c r="I1089" s="9">
        <v>113042.26</v>
      </c>
      <c r="J1089" s="9">
        <v>8405.61</v>
      </c>
      <c r="K1089" s="9">
        <v>1017.64</v>
      </c>
      <c r="L1089" s="9">
        <v>103619.02</v>
      </c>
      <c r="M1089" s="9">
        <v>110898.62</v>
      </c>
      <c r="N1089" s="6" t="str">
        <f>_xlfn.XLOOKUP(tblSales[[#This Row],[ProductID]],tblProducts[ProductID],tblProducts[ProductName],"Not Found")</f>
        <v>NeuroCalm</v>
      </c>
      <c r="O1089" s="8">
        <f>YEAR(tblSales[[#This Row],[Month]])</f>
        <v>2025</v>
      </c>
      <c r="P1089" s="8">
        <f>MONTH(tblSales[[#This Row],[Month]])</f>
        <v>11</v>
      </c>
      <c r="Q1089" s="6">
        <f>IFERROR(tblSales[[#This Row],[NetSalesTRY]]/tblSales[[#This Row],[Units]],0)</f>
        <v>1006.0099029126214</v>
      </c>
      <c r="R1089" s="17">
        <f>IFERROR(tblSales[[#This Row],[NetSalesTRY]]/tblSales[[#This Row],[TargetTRY]],0)</f>
        <v>0.93435806505076446</v>
      </c>
      <c r="S1089" s="6">
        <f>tblSales[[#This Row],[NetSalesTRY]]-tblSales[[#This Row],[TargetTRY]]</f>
        <v>-7279.5999999999913</v>
      </c>
      <c r="T1089" s="6">
        <f>MAX(tblSales[[#This Row],[TargetTRY]]-tblSales[[#This Row],[NetSalesTRY]],0)</f>
        <v>7279.5999999999913</v>
      </c>
    </row>
    <row r="1090" spans="1:20">
      <c r="A1090" t="s">
        <v>1478</v>
      </c>
      <c r="B1090" s="15">
        <v>45962</v>
      </c>
      <c r="C1090" t="s">
        <v>23</v>
      </c>
      <c r="D1090" t="s">
        <v>24</v>
      </c>
      <c r="E1090" t="s">
        <v>58</v>
      </c>
      <c r="F1090" t="s">
        <v>56</v>
      </c>
      <c r="G1090" t="s">
        <v>5</v>
      </c>
      <c r="H1090" s="8">
        <v>141</v>
      </c>
      <c r="I1090" s="9">
        <v>137574.01999999999</v>
      </c>
      <c r="J1090" s="9">
        <v>7839.95</v>
      </c>
      <c r="K1090" s="9">
        <v>879.05</v>
      </c>
      <c r="L1090" s="9">
        <v>128855.02</v>
      </c>
      <c r="M1090" s="9">
        <v>133936.72</v>
      </c>
      <c r="N1090" s="6" t="str">
        <f>_xlfn.XLOOKUP(tblSales[[#This Row],[ProductID]],tblProducts[ProductID],tblProducts[ProductName],"Not Found")</f>
        <v>Cardiovan</v>
      </c>
      <c r="O1090" s="8">
        <f>YEAR(tblSales[[#This Row],[Month]])</f>
        <v>2025</v>
      </c>
      <c r="P1090" s="8">
        <f>MONTH(tblSales[[#This Row],[Month]])</f>
        <v>11</v>
      </c>
      <c r="Q1090" s="6">
        <f>IFERROR(tblSales[[#This Row],[NetSalesTRY]]/tblSales[[#This Row],[Units]],0)</f>
        <v>913.86539007092199</v>
      </c>
      <c r="R1090" s="17">
        <f>IFERROR(tblSales[[#This Row],[NetSalesTRY]]/tblSales[[#This Row],[TargetTRY]],0)</f>
        <v>0.96205894843475337</v>
      </c>
      <c r="S1090" s="6">
        <f>tblSales[[#This Row],[NetSalesTRY]]-tblSales[[#This Row],[TargetTRY]]</f>
        <v>-5081.6999999999971</v>
      </c>
      <c r="T1090" s="6">
        <f>MAX(tblSales[[#This Row],[TargetTRY]]-tblSales[[#This Row],[NetSalesTRY]],0)</f>
        <v>5081.6999999999971</v>
      </c>
    </row>
    <row r="1091" spans="1:20">
      <c r="A1091" t="s">
        <v>1479</v>
      </c>
      <c r="B1091" s="15">
        <v>45962</v>
      </c>
      <c r="C1091" t="s">
        <v>23</v>
      </c>
      <c r="D1091" t="s">
        <v>24</v>
      </c>
      <c r="E1091" t="s">
        <v>58</v>
      </c>
      <c r="F1091" t="s">
        <v>56</v>
      </c>
      <c r="G1091" t="s">
        <v>8</v>
      </c>
      <c r="H1091" s="8">
        <v>168</v>
      </c>
      <c r="I1091" s="9">
        <v>127723.91</v>
      </c>
      <c r="J1091" s="9">
        <v>6197.52</v>
      </c>
      <c r="K1091" s="9">
        <v>1379.8</v>
      </c>
      <c r="L1091" s="9">
        <v>120146.59</v>
      </c>
      <c r="M1091" s="9">
        <v>123899.21</v>
      </c>
      <c r="N1091" s="6" t="str">
        <f>_xlfn.XLOOKUP(tblSales[[#This Row],[ProductID]],tblProducts[ProductID],tblProducts[ProductName],"Not Found")</f>
        <v>GlucoRelief</v>
      </c>
      <c r="O1091" s="8">
        <f>YEAR(tblSales[[#This Row],[Month]])</f>
        <v>2025</v>
      </c>
      <c r="P1091" s="8">
        <f>MONTH(tblSales[[#This Row],[Month]])</f>
        <v>11</v>
      </c>
      <c r="Q1091" s="6">
        <f>IFERROR(tblSales[[#This Row],[NetSalesTRY]]/tblSales[[#This Row],[Units]],0)</f>
        <v>715.15827380952373</v>
      </c>
      <c r="R1091" s="17">
        <f>IFERROR(tblSales[[#This Row],[NetSalesTRY]]/tblSales[[#This Row],[TargetTRY]],0)</f>
        <v>0.96971231697118965</v>
      </c>
      <c r="S1091" s="6">
        <f>tblSales[[#This Row],[NetSalesTRY]]-tblSales[[#This Row],[TargetTRY]]</f>
        <v>-3752.6200000000099</v>
      </c>
      <c r="T1091" s="6">
        <f>MAX(tblSales[[#This Row],[TargetTRY]]-tblSales[[#This Row],[NetSalesTRY]],0)</f>
        <v>3752.6200000000099</v>
      </c>
    </row>
    <row r="1092" spans="1:20">
      <c r="A1092" t="s">
        <v>1480</v>
      </c>
      <c r="B1092" s="15">
        <v>45962</v>
      </c>
      <c r="C1092" t="s">
        <v>23</v>
      </c>
      <c r="D1092" t="s">
        <v>24</v>
      </c>
      <c r="E1092" t="s">
        <v>58</v>
      </c>
      <c r="F1092" t="s">
        <v>56</v>
      </c>
      <c r="G1092" t="s">
        <v>11</v>
      </c>
      <c r="H1092" s="8">
        <v>191</v>
      </c>
      <c r="I1092" s="9">
        <v>118290.76</v>
      </c>
      <c r="J1092" s="9">
        <v>7307.61</v>
      </c>
      <c r="K1092" s="9">
        <v>1373.14</v>
      </c>
      <c r="L1092" s="9">
        <v>109610.01</v>
      </c>
      <c r="M1092" s="9">
        <v>114066.02</v>
      </c>
      <c r="N1092" s="6" t="str">
        <f>_xlfn.XLOOKUP(tblSales[[#This Row],[ProductID]],tblProducts[ProductID],tblProducts[ProductName],"Not Found")</f>
        <v>RespiraX</v>
      </c>
      <c r="O1092" s="8">
        <f>YEAR(tblSales[[#This Row],[Month]])</f>
        <v>2025</v>
      </c>
      <c r="P1092" s="8">
        <f>MONTH(tblSales[[#This Row],[Month]])</f>
        <v>11</v>
      </c>
      <c r="Q1092" s="6">
        <f>IFERROR(tblSales[[#This Row],[NetSalesTRY]]/tblSales[[#This Row],[Units]],0)</f>
        <v>573.87439790575911</v>
      </c>
      <c r="R1092" s="17">
        <f>IFERROR(tblSales[[#This Row],[NetSalesTRY]]/tblSales[[#This Row],[TargetTRY]],0)</f>
        <v>0.96093481652116897</v>
      </c>
      <c r="S1092" s="6">
        <f>tblSales[[#This Row],[NetSalesTRY]]-tblSales[[#This Row],[TargetTRY]]</f>
        <v>-4456.0100000000093</v>
      </c>
      <c r="T1092" s="6">
        <f>MAX(tblSales[[#This Row],[TargetTRY]]-tblSales[[#This Row],[NetSalesTRY]],0)</f>
        <v>4456.0100000000093</v>
      </c>
    </row>
    <row r="1093" spans="1:20">
      <c r="A1093" t="s">
        <v>1481</v>
      </c>
      <c r="B1093" s="15">
        <v>45962</v>
      </c>
      <c r="C1093" t="s">
        <v>23</v>
      </c>
      <c r="D1093" t="s">
        <v>24</v>
      </c>
      <c r="E1093" t="s">
        <v>58</v>
      </c>
      <c r="F1093" t="s">
        <v>56</v>
      </c>
      <c r="G1093" t="s">
        <v>14</v>
      </c>
      <c r="H1093" s="8">
        <v>110</v>
      </c>
      <c r="I1093" s="9">
        <v>120933.48</v>
      </c>
      <c r="J1093" s="9">
        <v>6173.24</v>
      </c>
      <c r="K1093" s="9">
        <v>1068.21</v>
      </c>
      <c r="L1093" s="9">
        <v>113692.02</v>
      </c>
      <c r="M1093" s="9">
        <v>112079.07</v>
      </c>
      <c r="N1093" s="6" t="str">
        <f>_xlfn.XLOOKUP(tblSales[[#This Row],[ProductID]],tblProducts[ProductID],tblProducts[ProductName],"Not Found")</f>
        <v>NeuroCalm</v>
      </c>
      <c r="O1093" s="8">
        <f>YEAR(tblSales[[#This Row],[Month]])</f>
        <v>2025</v>
      </c>
      <c r="P1093" s="8">
        <f>MONTH(tblSales[[#This Row],[Month]])</f>
        <v>11</v>
      </c>
      <c r="Q1093" s="6">
        <f>IFERROR(tblSales[[#This Row],[NetSalesTRY]]/tblSales[[#This Row],[Units]],0)</f>
        <v>1033.5638181818183</v>
      </c>
      <c r="R1093" s="17">
        <f>IFERROR(tblSales[[#This Row],[NetSalesTRY]]/tblSales[[#This Row],[TargetTRY]],0)</f>
        <v>1.0143911793700644</v>
      </c>
      <c r="S1093" s="6">
        <f>tblSales[[#This Row],[NetSalesTRY]]-tblSales[[#This Row],[TargetTRY]]</f>
        <v>1612.9499999999971</v>
      </c>
      <c r="T1093" s="6">
        <f>MAX(tblSales[[#This Row],[TargetTRY]]-tblSales[[#This Row],[NetSalesTRY]],0)</f>
        <v>0</v>
      </c>
    </row>
    <row r="1094" spans="1:20">
      <c r="A1094" t="s">
        <v>1482</v>
      </c>
      <c r="B1094" s="15">
        <v>45962</v>
      </c>
      <c r="C1094" t="s">
        <v>25</v>
      </c>
      <c r="D1094" t="s">
        <v>26</v>
      </c>
      <c r="E1094" t="s">
        <v>61</v>
      </c>
      <c r="F1094" t="s">
        <v>59</v>
      </c>
      <c r="G1094" t="s">
        <v>5</v>
      </c>
      <c r="H1094" s="8">
        <v>114</v>
      </c>
      <c r="I1094" s="9">
        <v>112521.16</v>
      </c>
      <c r="J1094" s="9">
        <v>5725.79</v>
      </c>
      <c r="K1094" s="9">
        <v>1099.8699999999999</v>
      </c>
      <c r="L1094" s="9">
        <v>105695.5</v>
      </c>
      <c r="M1094" s="9">
        <v>106485.51</v>
      </c>
      <c r="N1094" s="6" t="str">
        <f>_xlfn.XLOOKUP(tblSales[[#This Row],[ProductID]],tblProducts[ProductID],tblProducts[ProductName],"Not Found")</f>
        <v>Cardiovan</v>
      </c>
      <c r="O1094" s="8">
        <f>YEAR(tblSales[[#This Row],[Month]])</f>
        <v>2025</v>
      </c>
      <c r="P1094" s="8">
        <f>MONTH(tblSales[[#This Row],[Month]])</f>
        <v>11</v>
      </c>
      <c r="Q1094" s="6">
        <f>IFERROR(tblSales[[#This Row],[NetSalesTRY]]/tblSales[[#This Row],[Units]],0)</f>
        <v>927.15350877192986</v>
      </c>
      <c r="R1094" s="17">
        <f>IFERROR(tblSales[[#This Row],[NetSalesTRY]]/tblSales[[#This Row],[TargetTRY]],0)</f>
        <v>0.99258105633339222</v>
      </c>
      <c r="S1094" s="6">
        <f>tblSales[[#This Row],[NetSalesTRY]]-tblSales[[#This Row],[TargetTRY]]</f>
        <v>-790.00999999999476</v>
      </c>
      <c r="T1094" s="6">
        <f>MAX(tblSales[[#This Row],[TargetTRY]]-tblSales[[#This Row],[NetSalesTRY]],0)</f>
        <v>790.00999999999476</v>
      </c>
    </row>
    <row r="1095" spans="1:20">
      <c r="A1095" t="s">
        <v>1483</v>
      </c>
      <c r="B1095" s="15">
        <v>45962</v>
      </c>
      <c r="C1095" t="s">
        <v>25</v>
      </c>
      <c r="D1095" t="s">
        <v>26</v>
      </c>
      <c r="E1095" t="s">
        <v>61</v>
      </c>
      <c r="F1095" t="s">
        <v>59</v>
      </c>
      <c r="G1095" t="s">
        <v>8</v>
      </c>
      <c r="H1095" s="8">
        <v>138</v>
      </c>
      <c r="I1095" s="9">
        <v>106424.48</v>
      </c>
      <c r="J1095" s="9">
        <v>5697.66</v>
      </c>
      <c r="K1095" s="9">
        <v>627.71</v>
      </c>
      <c r="L1095" s="9">
        <v>100099.1</v>
      </c>
      <c r="M1095" s="9">
        <v>96621.11</v>
      </c>
      <c r="N1095" s="6" t="str">
        <f>_xlfn.XLOOKUP(tblSales[[#This Row],[ProductID]],tblProducts[ProductID],tblProducts[ProductName],"Not Found")</f>
        <v>GlucoRelief</v>
      </c>
      <c r="O1095" s="8">
        <f>YEAR(tblSales[[#This Row],[Month]])</f>
        <v>2025</v>
      </c>
      <c r="P1095" s="8">
        <f>MONTH(tblSales[[#This Row],[Month]])</f>
        <v>11</v>
      </c>
      <c r="Q1095" s="6">
        <f>IFERROR(tblSales[[#This Row],[NetSalesTRY]]/tblSales[[#This Row],[Units]],0)</f>
        <v>725.3557971014493</v>
      </c>
      <c r="R1095" s="17">
        <f>IFERROR(tblSales[[#This Row],[NetSalesTRY]]/tblSales[[#This Row],[TargetTRY]],0)</f>
        <v>1.0359961710230818</v>
      </c>
      <c r="S1095" s="6">
        <f>tblSales[[#This Row],[NetSalesTRY]]-tblSales[[#This Row],[TargetTRY]]</f>
        <v>3477.9900000000052</v>
      </c>
      <c r="T1095" s="6">
        <f>MAX(tblSales[[#This Row],[TargetTRY]]-tblSales[[#This Row],[NetSalesTRY]],0)</f>
        <v>0</v>
      </c>
    </row>
    <row r="1096" spans="1:20">
      <c r="A1096" t="s">
        <v>1484</v>
      </c>
      <c r="B1096" s="15">
        <v>45962</v>
      </c>
      <c r="C1096" t="s">
        <v>25</v>
      </c>
      <c r="D1096" t="s">
        <v>26</v>
      </c>
      <c r="E1096" t="s">
        <v>61</v>
      </c>
      <c r="F1096" t="s">
        <v>59</v>
      </c>
      <c r="G1096" t="s">
        <v>11</v>
      </c>
      <c r="H1096" s="8">
        <v>145</v>
      </c>
      <c r="I1096" s="9">
        <v>90637.58</v>
      </c>
      <c r="J1096" s="9">
        <v>4276.67</v>
      </c>
      <c r="K1096" s="9">
        <v>1085.1099999999999</v>
      </c>
      <c r="L1096" s="9">
        <v>85275.79</v>
      </c>
      <c r="M1096" s="9">
        <v>90976.6</v>
      </c>
      <c r="N1096" s="6" t="str">
        <f>_xlfn.XLOOKUP(tblSales[[#This Row],[ProductID]],tblProducts[ProductID],tblProducts[ProductName],"Not Found")</f>
        <v>RespiraX</v>
      </c>
      <c r="O1096" s="8">
        <f>YEAR(tblSales[[#This Row],[Month]])</f>
        <v>2025</v>
      </c>
      <c r="P1096" s="8">
        <f>MONTH(tblSales[[#This Row],[Month]])</f>
        <v>11</v>
      </c>
      <c r="Q1096" s="6">
        <f>IFERROR(tblSales[[#This Row],[NetSalesTRY]]/tblSales[[#This Row],[Units]],0)</f>
        <v>588.10889655172411</v>
      </c>
      <c r="R1096" s="17">
        <f>IFERROR(tblSales[[#This Row],[NetSalesTRY]]/tblSales[[#This Row],[TargetTRY]],0)</f>
        <v>0.9373376230810998</v>
      </c>
      <c r="S1096" s="6">
        <f>tblSales[[#This Row],[NetSalesTRY]]-tblSales[[#This Row],[TargetTRY]]</f>
        <v>-5700.8100000000122</v>
      </c>
      <c r="T1096" s="6">
        <f>MAX(tblSales[[#This Row],[TargetTRY]]-tblSales[[#This Row],[NetSalesTRY]],0)</f>
        <v>5700.8100000000122</v>
      </c>
    </row>
    <row r="1097" spans="1:20">
      <c r="A1097" t="s">
        <v>1485</v>
      </c>
      <c r="B1097" s="15">
        <v>45962</v>
      </c>
      <c r="C1097" t="s">
        <v>25</v>
      </c>
      <c r="D1097" t="s">
        <v>26</v>
      </c>
      <c r="E1097" t="s">
        <v>61</v>
      </c>
      <c r="F1097" t="s">
        <v>59</v>
      </c>
      <c r="G1097" t="s">
        <v>14</v>
      </c>
      <c r="H1097" s="8">
        <v>84</v>
      </c>
      <c r="I1097" s="9">
        <v>91282.94</v>
      </c>
      <c r="J1097" s="9">
        <v>4429.5</v>
      </c>
      <c r="K1097" s="9">
        <v>988.66</v>
      </c>
      <c r="L1097" s="9">
        <v>85864.78</v>
      </c>
      <c r="M1097" s="9">
        <v>86832.69</v>
      </c>
      <c r="N1097" s="6" t="str">
        <f>_xlfn.XLOOKUP(tblSales[[#This Row],[ProductID]],tblProducts[ProductID],tblProducts[ProductName],"Not Found")</f>
        <v>NeuroCalm</v>
      </c>
      <c r="O1097" s="8">
        <f>YEAR(tblSales[[#This Row],[Month]])</f>
        <v>2025</v>
      </c>
      <c r="P1097" s="8">
        <f>MONTH(tblSales[[#This Row],[Month]])</f>
        <v>11</v>
      </c>
      <c r="Q1097" s="6">
        <f>IFERROR(tblSales[[#This Row],[NetSalesTRY]]/tblSales[[#This Row],[Units]],0)</f>
        <v>1022.1997619047619</v>
      </c>
      <c r="R1097" s="17">
        <f>IFERROR(tblSales[[#This Row],[NetSalesTRY]]/tblSales[[#This Row],[TargetTRY]],0)</f>
        <v>0.98885316117697142</v>
      </c>
      <c r="S1097" s="6">
        <f>tblSales[[#This Row],[NetSalesTRY]]-tblSales[[#This Row],[TargetTRY]]</f>
        <v>-967.91000000000349</v>
      </c>
      <c r="T1097" s="6">
        <f>MAX(tblSales[[#This Row],[TargetTRY]]-tblSales[[#This Row],[NetSalesTRY]],0)</f>
        <v>967.91000000000349</v>
      </c>
    </row>
    <row r="1098" spans="1:20">
      <c r="A1098" t="s">
        <v>1486</v>
      </c>
      <c r="B1098" s="15">
        <v>45962</v>
      </c>
      <c r="C1098" t="s">
        <v>25</v>
      </c>
      <c r="D1098" t="s">
        <v>26</v>
      </c>
      <c r="E1098" t="s">
        <v>64</v>
      </c>
      <c r="F1098" t="s">
        <v>62</v>
      </c>
      <c r="G1098" t="s">
        <v>5</v>
      </c>
      <c r="H1098" s="8">
        <v>116</v>
      </c>
      <c r="I1098" s="9">
        <v>114306.05</v>
      </c>
      <c r="J1098" s="9">
        <v>4844.7</v>
      </c>
      <c r="K1098" s="9">
        <v>1274.7</v>
      </c>
      <c r="L1098" s="9">
        <v>108186.65</v>
      </c>
      <c r="M1098" s="9">
        <v>108134.64</v>
      </c>
      <c r="N1098" s="6" t="str">
        <f>_xlfn.XLOOKUP(tblSales[[#This Row],[ProductID]],tblProducts[ProductID],tblProducts[ProductName],"Not Found")</f>
        <v>Cardiovan</v>
      </c>
      <c r="O1098" s="8">
        <f>YEAR(tblSales[[#This Row],[Month]])</f>
        <v>2025</v>
      </c>
      <c r="P1098" s="8">
        <f>MONTH(tblSales[[#This Row],[Month]])</f>
        <v>11</v>
      </c>
      <c r="Q1098" s="6">
        <f>IFERROR(tblSales[[#This Row],[NetSalesTRY]]/tblSales[[#This Row],[Units]],0)</f>
        <v>932.64353448275858</v>
      </c>
      <c r="R1098" s="17">
        <f>IFERROR(tblSales[[#This Row],[NetSalesTRY]]/tblSales[[#This Row],[TargetTRY]],0)</f>
        <v>1.0004809744592482</v>
      </c>
      <c r="S1098" s="6">
        <f>tblSales[[#This Row],[NetSalesTRY]]-tblSales[[#This Row],[TargetTRY]]</f>
        <v>52.009999999994761</v>
      </c>
      <c r="T1098" s="6">
        <f>MAX(tblSales[[#This Row],[TargetTRY]]-tblSales[[#This Row],[NetSalesTRY]],0)</f>
        <v>0</v>
      </c>
    </row>
    <row r="1099" spans="1:20">
      <c r="A1099" t="s">
        <v>1487</v>
      </c>
      <c r="B1099" s="15">
        <v>45962</v>
      </c>
      <c r="C1099" t="s">
        <v>25</v>
      </c>
      <c r="D1099" t="s">
        <v>26</v>
      </c>
      <c r="E1099" t="s">
        <v>64</v>
      </c>
      <c r="F1099" t="s">
        <v>62</v>
      </c>
      <c r="G1099" t="s">
        <v>8</v>
      </c>
      <c r="H1099" s="8">
        <v>140</v>
      </c>
      <c r="I1099" s="9">
        <v>107290.87</v>
      </c>
      <c r="J1099" s="9">
        <v>6171.58</v>
      </c>
      <c r="K1099" s="9">
        <v>1035.94</v>
      </c>
      <c r="L1099" s="9">
        <v>100083.35</v>
      </c>
      <c r="M1099" s="9">
        <v>95383.47</v>
      </c>
      <c r="N1099" s="6" t="str">
        <f>_xlfn.XLOOKUP(tblSales[[#This Row],[ProductID]],tblProducts[ProductID],tblProducts[ProductName],"Not Found")</f>
        <v>GlucoRelief</v>
      </c>
      <c r="O1099" s="8">
        <f>YEAR(tblSales[[#This Row],[Month]])</f>
        <v>2025</v>
      </c>
      <c r="P1099" s="8">
        <f>MONTH(tblSales[[#This Row],[Month]])</f>
        <v>11</v>
      </c>
      <c r="Q1099" s="6">
        <f>IFERROR(tblSales[[#This Row],[NetSalesTRY]]/tblSales[[#This Row],[Units]],0)</f>
        <v>714.88107142857143</v>
      </c>
      <c r="R1099" s="17">
        <f>IFERROR(tblSales[[#This Row],[NetSalesTRY]]/tblSales[[#This Row],[TargetTRY]],0)</f>
        <v>1.049273527163564</v>
      </c>
      <c r="S1099" s="6">
        <f>tblSales[[#This Row],[NetSalesTRY]]-tblSales[[#This Row],[TargetTRY]]</f>
        <v>4699.8800000000047</v>
      </c>
      <c r="T1099" s="6">
        <f>MAX(tblSales[[#This Row],[TargetTRY]]-tblSales[[#This Row],[NetSalesTRY]],0)</f>
        <v>0</v>
      </c>
    </row>
    <row r="1100" spans="1:20">
      <c r="A1100" t="s">
        <v>1488</v>
      </c>
      <c r="B1100" s="15">
        <v>45962</v>
      </c>
      <c r="C1100" t="s">
        <v>25</v>
      </c>
      <c r="D1100" t="s">
        <v>26</v>
      </c>
      <c r="E1100" t="s">
        <v>64</v>
      </c>
      <c r="F1100" t="s">
        <v>62</v>
      </c>
      <c r="G1100" t="s">
        <v>11</v>
      </c>
      <c r="H1100" s="8">
        <v>154</v>
      </c>
      <c r="I1100" s="9">
        <v>96669.05</v>
      </c>
      <c r="J1100" s="9">
        <v>6523.4</v>
      </c>
      <c r="K1100" s="9">
        <v>954.76</v>
      </c>
      <c r="L1100" s="9">
        <v>89190.89</v>
      </c>
      <c r="M1100" s="9">
        <v>90534.67</v>
      </c>
      <c r="N1100" s="6" t="str">
        <f>_xlfn.XLOOKUP(tblSales[[#This Row],[ProductID]],tblProducts[ProductID],tblProducts[ProductName],"Not Found")</f>
        <v>RespiraX</v>
      </c>
      <c r="O1100" s="8">
        <f>YEAR(tblSales[[#This Row],[Month]])</f>
        <v>2025</v>
      </c>
      <c r="P1100" s="8">
        <f>MONTH(tblSales[[#This Row],[Month]])</f>
        <v>11</v>
      </c>
      <c r="Q1100" s="6">
        <f>IFERROR(tblSales[[#This Row],[NetSalesTRY]]/tblSales[[#This Row],[Units]],0)</f>
        <v>579.16162337662342</v>
      </c>
      <c r="R1100" s="17">
        <f>IFERROR(tblSales[[#This Row],[NetSalesTRY]]/tblSales[[#This Row],[TargetTRY]],0)</f>
        <v>0.98515728836256877</v>
      </c>
      <c r="S1100" s="6">
        <f>tblSales[[#This Row],[NetSalesTRY]]-tblSales[[#This Row],[TargetTRY]]</f>
        <v>-1343.7799999999988</v>
      </c>
      <c r="T1100" s="6">
        <f>MAX(tblSales[[#This Row],[TargetTRY]]-tblSales[[#This Row],[NetSalesTRY]],0)</f>
        <v>1343.7799999999988</v>
      </c>
    </row>
    <row r="1101" spans="1:20">
      <c r="A1101" t="s">
        <v>1489</v>
      </c>
      <c r="B1101" s="15">
        <v>45962</v>
      </c>
      <c r="C1101" t="s">
        <v>25</v>
      </c>
      <c r="D1101" t="s">
        <v>26</v>
      </c>
      <c r="E1101" t="s">
        <v>64</v>
      </c>
      <c r="F1101" t="s">
        <v>62</v>
      </c>
      <c r="G1101" t="s">
        <v>14</v>
      </c>
      <c r="H1101" s="8">
        <v>85</v>
      </c>
      <c r="I1101" s="9">
        <v>93002.35</v>
      </c>
      <c r="J1101" s="9">
        <v>5428.55</v>
      </c>
      <c r="K1101" s="9">
        <v>752.15</v>
      </c>
      <c r="L1101" s="9">
        <v>86821.65</v>
      </c>
      <c r="M1101" s="9">
        <v>88276.54</v>
      </c>
      <c r="N1101" s="6" t="str">
        <f>_xlfn.XLOOKUP(tblSales[[#This Row],[ProductID]],tblProducts[ProductID],tblProducts[ProductName],"Not Found")</f>
        <v>NeuroCalm</v>
      </c>
      <c r="O1101" s="8">
        <f>YEAR(tblSales[[#This Row],[Month]])</f>
        <v>2025</v>
      </c>
      <c r="P1101" s="8">
        <f>MONTH(tblSales[[#This Row],[Month]])</f>
        <v>11</v>
      </c>
      <c r="Q1101" s="6">
        <f>IFERROR(tblSales[[#This Row],[NetSalesTRY]]/tblSales[[#This Row],[Units]],0)</f>
        <v>1021.4311764705882</v>
      </c>
      <c r="R1101" s="17">
        <f>IFERROR(tblSales[[#This Row],[NetSalesTRY]]/tblSales[[#This Row],[TargetTRY]],0)</f>
        <v>0.98351895078805762</v>
      </c>
      <c r="S1101" s="6">
        <f>tblSales[[#This Row],[NetSalesTRY]]-tblSales[[#This Row],[TargetTRY]]</f>
        <v>-1454.8899999999994</v>
      </c>
      <c r="T1101" s="6">
        <f>MAX(tblSales[[#This Row],[TargetTRY]]-tblSales[[#This Row],[NetSalesTRY]],0)</f>
        <v>1454.8899999999994</v>
      </c>
    </row>
    <row r="1102" spans="1:20">
      <c r="A1102" t="s">
        <v>1490</v>
      </c>
      <c r="B1102" s="15">
        <v>45962</v>
      </c>
      <c r="C1102" t="s">
        <v>25</v>
      </c>
      <c r="D1102" t="s">
        <v>26</v>
      </c>
      <c r="E1102" t="s">
        <v>67</v>
      </c>
      <c r="F1102" t="s">
        <v>65</v>
      </c>
      <c r="G1102" t="s">
        <v>5</v>
      </c>
      <c r="H1102" s="8">
        <v>121</v>
      </c>
      <c r="I1102" s="9">
        <v>117968.19</v>
      </c>
      <c r="J1102" s="9">
        <v>7091.41</v>
      </c>
      <c r="K1102" s="9">
        <v>519.11</v>
      </c>
      <c r="L1102" s="9">
        <v>110357.67</v>
      </c>
      <c r="M1102" s="9">
        <v>119831.82</v>
      </c>
      <c r="N1102" s="6" t="str">
        <f>_xlfn.XLOOKUP(tblSales[[#This Row],[ProductID]],tblProducts[ProductID],tblProducts[ProductName],"Not Found")</f>
        <v>Cardiovan</v>
      </c>
      <c r="O1102" s="8">
        <f>YEAR(tblSales[[#This Row],[Month]])</f>
        <v>2025</v>
      </c>
      <c r="P1102" s="8">
        <f>MONTH(tblSales[[#This Row],[Month]])</f>
        <v>11</v>
      </c>
      <c r="Q1102" s="6">
        <f>IFERROR(tblSales[[#This Row],[NetSalesTRY]]/tblSales[[#This Row],[Units]],0)</f>
        <v>912.04685950413227</v>
      </c>
      <c r="R1102" s="17">
        <f>IFERROR(tblSales[[#This Row],[NetSalesTRY]]/tblSales[[#This Row],[TargetTRY]],0)</f>
        <v>0.9209379445292577</v>
      </c>
      <c r="S1102" s="6">
        <f>tblSales[[#This Row],[NetSalesTRY]]-tblSales[[#This Row],[TargetTRY]]</f>
        <v>-9474.1500000000087</v>
      </c>
      <c r="T1102" s="6">
        <f>MAX(tblSales[[#This Row],[TargetTRY]]-tblSales[[#This Row],[NetSalesTRY]],0)</f>
        <v>9474.1500000000087</v>
      </c>
    </row>
    <row r="1103" spans="1:20">
      <c r="A1103" t="s">
        <v>1491</v>
      </c>
      <c r="B1103" s="15">
        <v>45962</v>
      </c>
      <c r="C1103" t="s">
        <v>25</v>
      </c>
      <c r="D1103" t="s">
        <v>26</v>
      </c>
      <c r="E1103" t="s">
        <v>67</v>
      </c>
      <c r="F1103" t="s">
        <v>65</v>
      </c>
      <c r="G1103" t="s">
        <v>8</v>
      </c>
      <c r="H1103" s="8">
        <v>156</v>
      </c>
      <c r="I1103" s="9">
        <v>119444.91</v>
      </c>
      <c r="J1103" s="9">
        <v>5998.74</v>
      </c>
      <c r="K1103" s="9">
        <v>780.47</v>
      </c>
      <c r="L1103" s="9">
        <v>112665.7</v>
      </c>
      <c r="M1103" s="9">
        <v>108381.11</v>
      </c>
      <c r="N1103" s="6" t="str">
        <f>_xlfn.XLOOKUP(tblSales[[#This Row],[ProductID]],tblProducts[ProductID],tblProducts[ProductName],"Not Found")</f>
        <v>GlucoRelief</v>
      </c>
      <c r="O1103" s="8">
        <f>YEAR(tblSales[[#This Row],[Month]])</f>
        <v>2025</v>
      </c>
      <c r="P1103" s="8">
        <f>MONTH(tblSales[[#This Row],[Month]])</f>
        <v>11</v>
      </c>
      <c r="Q1103" s="6">
        <f>IFERROR(tblSales[[#This Row],[NetSalesTRY]]/tblSales[[#This Row],[Units]],0)</f>
        <v>722.21602564102557</v>
      </c>
      <c r="R1103" s="17">
        <f>IFERROR(tblSales[[#This Row],[NetSalesTRY]]/tblSales[[#This Row],[TargetTRY]],0)</f>
        <v>1.0395326270417418</v>
      </c>
      <c r="S1103" s="6">
        <f>tblSales[[#This Row],[NetSalesTRY]]-tblSales[[#This Row],[TargetTRY]]</f>
        <v>4284.5899999999965</v>
      </c>
      <c r="T1103" s="6">
        <f>MAX(tblSales[[#This Row],[TargetTRY]]-tblSales[[#This Row],[NetSalesTRY]],0)</f>
        <v>0</v>
      </c>
    </row>
    <row r="1104" spans="1:20">
      <c r="A1104" t="s">
        <v>1492</v>
      </c>
      <c r="B1104" s="15">
        <v>45962</v>
      </c>
      <c r="C1104" t="s">
        <v>25</v>
      </c>
      <c r="D1104" t="s">
        <v>26</v>
      </c>
      <c r="E1104" t="s">
        <v>67</v>
      </c>
      <c r="F1104" t="s">
        <v>65</v>
      </c>
      <c r="G1104" t="s">
        <v>11</v>
      </c>
      <c r="H1104" s="8">
        <v>174</v>
      </c>
      <c r="I1104" s="9">
        <v>106310.23</v>
      </c>
      <c r="J1104" s="9">
        <v>6258.08</v>
      </c>
      <c r="K1104" s="9">
        <v>672.52</v>
      </c>
      <c r="L1104" s="9">
        <v>99379.63</v>
      </c>
      <c r="M1104" s="9">
        <v>102119.78</v>
      </c>
      <c r="N1104" s="6" t="str">
        <f>_xlfn.XLOOKUP(tblSales[[#This Row],[ProductID]],tblProducts[ProductID],tblProducts[ProductName],"Not Found")</f>
        <v>RespiraX</v>
      </c>
      <c r="O1104" s="8">
        <f>YEAR(tblSales[[#This Row],[Month]])</f>
        <v>2025</v>
      </c>
      <c r="P1104" s="8">
        <f>MONTH(tblSales[[#This Row],[Month]])</f>
        <v>11</v>
      </c>
      <c r="Q1104" s="6">
        <f>IFERROR(tblSales[[#This Row],[NetSalesTRY]]/tblSales[[#This Row],[Units]],0)</f>
        <v>571.14729885057477</v>
      </c>
      <c r="R1104" s="17">
        <f>IFERROR(tblSales[[#This Row],[NetSalesTRY]]/tblSales[[#This Row],[TargetTRY]],0)</f>
        <v>0.97316729432828786</v>
      </c>
      <c r="S1104" s="6">
        <f>tblSales[[#This Row],[NetSalesTRY]]-tblSales[[#This Row],[TargetTRY]]</f>
        <v>-2740.1499999999942</v>
      </c>
      <c r="T1104" s="6">
        <f>MAX(tblSales[[#This Row],[TargetTRY]]-tblSales[[#This Row],[NetSalesTRY]],0)</f>
        <v>2740.1499999999942</v>
      </c>
    </row>
    <row r="1105" spans="1:20">
      <c r="A1105" t="s">
        <v>1493</v>
      </c>
      <c r="B1105" s="15">
        <v>45962</v>
      </c>
      <c r="C1105" t="s">
        <v>25</v>
      </c>
      <c r="D1105" t="s">
        <v>26</v>
      </c>
      <c r="E1105" t="s">
        <v>67</v>
      </c>
      <c r="F1105" t="s">
        <v>65</v>
      </c>
      <c r="G1105" t="s">
        <v>14</v>
      </c>
      <c r="H1105" s="8">
        <v>90</v>
      </c>
      <c r="I1105" s="9">
        <v>99914.39</v>
      </c>
      <c r="J1105" s="9">
        <v>4852.6400000000003</v>
      </c>
      <c r="K1105" s="9">
        <v>1105.06</v>
      </c>
      <c r="L1105" s="9">
        <v>93956.7</v>
      </c>
      <c r="M1105" s="9">
        <v>99513.19</v>
      </c>
      <c r="N1105" s="6" t="str">
        <f>_xlfn.XLOOKUP(tblSales[[#This Row],[ProductID]],tblProducts[ProductID],tblProducts[ProductName],"Not Found")</f>
        <v>NeuroCalm</v>
      </c>
      <c r="O1105" s="8">
        <f>YEAR(tblSales[[#This Row],[Month]])</f>
        <v>2025</v>
      </c>
      <c r="P1105" s="8">
        <f>MONTH(tblSales[[#This Row],[Month]])</f>
        <v>11</v>
      </c>
      <c r="Q1105" s="6">
        <f>IFERROR(tblSales[[#This Row],[NetSalesTRY]]/tblSales[[#This Row],[Units]],0)</f>
        <v>1043.9633333333334</v>
      </c>
      <c r="R1105" s="17">
        <f>IFERROR(tblSales[[#This Row],[NetSalesTRY]]/tblSales[[#This Row],[TargetTRY]],0)</f>
        <v>0.94416328126954818</v>
      </c>
      <c r="S1105" s="6">
        <f>tblSales[[#This Row],[NetSalesTRY]]-tblSales[[#This Row],[TargetTRY]]</f>
        <v>-5556.4900000000052</v>
      </c>
      <c r="T1105" s="6">
        <f>MAX(tblSales[[#This Row],[TargetTRY]]-tblSales[[#This Row],[NetSalesTRY]],0)</f>
        <v>5556.4900000000052</v>
      </c>
    </row>
    <row r="1106" spans="1:20">
      <c r="A1106" t="s">
        <v>1494</v>
      </c>
      <c r="B1106" s="15">
        <v>45992</v>
      </c>
      <c r="C1106" t="s">
        <v>19</v>
      </c>
      <c r="D1106" t="s">
        <v>20</v>
      </c>
      <c r="E1106" t="s">
        <v>34</v>
      </c>
      <c r="F1106" t="s">
        <v>32</v>
      </c>
      <c r="G1106" t="s">
        <v>5</v>
      </c>
      <c r="H1106" s="8">
        <v>166</v>
      </c>
      <c r="I1106" s="9">
        <v>163127.85</v>
      </c>
      <c r="J1106" s="9">
        <v>10610.12</v>
      </c>
      <c r="K1106" s="9">
        <v>831.17</v>
      </c>
      <c r="L1106" s="9">
        <v>151686.56</v>
      </c>
      <c r="M1106" s="9">
        <v>168708.78</v>
      </c>
      <c r="N1106" s="6" t="str">
        <f>_xlfn.XLOOKUP(tblSales[[#This Row],[ProductID]],tblProducts[ProductID],tblProducts[ProductName],"Not Found")</f>
        <v>Cardiovan</v>
      </c>
      <c r="O1106" s="8">
        <f>YEAR(tblSales[[#This Row],[Month]])</f>
        <v>2025</v>
      </c>
      <c r="P1106" s="8">
        <f>MONTH(tblSales[[#This Row],[Month]])</f>
        <v>12</v>
      </c>
      <c r="Q1106" s="6">
        <f>IFERROR(tblSales[[#This Row],[NetSalesTRY]]/tblSales[[#This Row],[Units]],0)</f>
        <v>913.77445783132532</v>
      </c>
      <c r="R1106" s="17">
        <f>IFERROR(tblSales[[#This Row],[NetSalesTRY]]/tblSales[[#This Row],[TargetTRY]],0)</f>
        <v>0.89910293939651509</v>
      </c>
      <c r="S1106" s="6">
        <f>tblSales[[#This Row],[NetSalesTRY]]-tblSales[[#This Row],[TargetTRY]]</f>
        <v>-17022.22</v>
      </c>
      <c r="T1106" s="6">
        <f>MAX(tblSales[[#This Row],[TargetTRY]]-tblSales[[#This Row],[NetSalesTRY]],0)</f>
        <v>17022.22</v>
      </c>
    </row>
    <row r="1107" spans="1:20">
      <c r="A1107" t="s">
        <v>1495</v>
      </c>
      <c r="B1107" s="15">
        <v>45992</v>
      </c>
      <c r="C1107" t="s">
        <v>19</v>
      </c>
      <c r="D1107" t="s">
        <v>20</v>
      </c>
      <c r="E1107" t="s">
        <v>34</v>
      </c>
      <c r="F1107" t="s">
        <v>32</v>
      </c>
      <c r="G1107" t="s">
        <v>8</v>
      </c>
      <c r="H1107" s="8">
        <v>208</v>
      </c>
      <c r="I1107" s="9">
        <v>156348.43</v>
      </c>
      <c r="J1107" s="9">
        <v>8636.33</v>
      </c>
      <c r="K1107" s="9">
        <v>871.99</v>
      </c>
      <c r="L1107" s="9">
        <v>146840.10999999999</v>
      </c>
      <c r="M1107" s="9">
        <v>150884.63</v>
      </c>
      <c r="N1107" s="6" t="str">
        <f>_xlfn.XLOOKUP(tblSales[[#This Row],[ProductID]],tblProducts[ProductID],tblProducts[ProductName],"Not Found")</f>
        <v>GlucoRelief</v>
      </c>
      <c r="O1107" s="8">
        <f>YEAR(tblSales[[#This Row],[Month]])</f>
        <v>2025</v>
      </c>
      <c r="P1107" s="8">
        <f>MONTH(tblSales[[#This Row],[Month]])</f>
        <v>12</v>
      </c>
      <c r="Q1107" s="6">
        <f>IFERROR(tblSales[[#This Row],[NetSalesTRY]]/tblSales[[#This Row],[Units]],0)</f>
        <v>705.96206730769222</v>
      </c>
      <c r="R1107" s="17">
        <f>IFERROR(tblSales[[#This Row],[NetSalesTRY]]/tblSales[[#This Row],[TargetTRY]],0)</f>
        <v>0.97319461896152037</v>
      </c>
      <c r="S1107" s="6">
        <f>tblSales[[#This Row],[NetSalesTRY]]-tblSales[[#This Row],[TargetTRY]]</f>
        <v>-4044.5200000000186</v>
      </c>
      <c r="T1107" s="6">
        <f>MAX(tblSales[[#This Row],[TargetTRY]]-tblSales[[#This Row],[NetSalesTRY]],0)</f>
        <v>4044.5200000000186</v>
      </c>
    </row>
    <row r="1108" spans="1:20">
      <c r="A1108" t="s">
        <v>1496</v>
      </c>
      <c r="B1108" s="15">
        <v>45992</v>
      </c>
      <c r="C1108" t="s">
        <v>19</v>
      </c>
      <c r="D1108" t="s">
        <v>20</v>
      </c>
      <c r="E1108" t="s">
        <v>34</v>
      </c>
      <c r="F1108" t="s">
        <v>32</v>
      </c>
      <c r="G1108" t="s">
        <v>11</v>
      </c>
      <c r="H1108" s="8">
        <v>238</v>
      </c>
      <c r="I1108" s="9">
        <v>147569.16</v>
      </c>
      <c r="J1108" s="9">
        <v>6594.97</v>
      </c>
      <c r="K1108" s="9">
        <v>603.79999999999995</v>
      </c>
      <c r="L1108" s="9">
        <v>140370.39000000001</v>
      </c>
      <c r="M1108" s="9">
        <v>141765.15</v>
      </c>
      <c r="N1108" s="6" t="str">
        <f>_xlfn.XLOOKUP(tblSales[[#This Row],[ProductID]],tblProducts[ProductID],tblProducts[ProductName],"Not Found")</f>
        <v>RespiraX</v>
      </c>
      <c r="O1108" s="8">
        <f>YEAR(tblSales[[#This Row],[Month]])</f>
        <v>2025</v>
      </c>
      <c r="P1108" s="8">
        <f>MONTH(tblSales[[#This Row],[Month]])</f>
        <v>12</v>
      </c>
      <c r="Q1108" s="6">
        <f>IFERROR(tblSales[[#This Row],[NetSalesTRY]]/tblSales[[#This Row],[Units]],0)</f>
        <v>589.79155462184883</v>
      </c>
      <c r="R1108" s="17">
        <f>IFERROR(tblSales[[#This Row],[NetSalesTRY]]/tblSales[[#This Row],[TargetTRY]],0)</f>
        <v>0.99016147480533845</v>
      </c>
      <c r="S1108" s="6">
        <f>tblSales[[#This Row],[NetSalesTRY]]-tblSales[[#This Row],[TargetTRY]]</f>
        <v>-1394.7599999999802</v>
      </c>
      <c r="T1108" s="6">
        <f>MAX(tblSales[[#This Row],[TargetTRY]]-tblSales[[#This Row],[NetSalesTRY]],0)</f>
        <v>1394.7599999999802</v>
      </c>
    </row>
    <row r="1109" spans="1:20">
      <c r="A1109" t="s">
        <v>1497</v>
      </c>
      <c r="B1109" s="15">
        <v>45992</v>
      </c>
      <c r="C1109" t="s">
        <v>19</v>
      </c>
      <c r="D1109" t="s">
        <v>20</v>
      </c>
      <c r="E1109" t="s">
        <v>34</v>
      </c>
      <c r="F1109" t="s">
        <v>32</v>
      </c>
      <c r="G1109" t="s">
        <v>14</v>
      </c>
      <c r="H1109" s="8">
        <v>138</v>
      </c>
      <c r="I1109" s="9">
        <v>151788.60999999999</v>
      </c>
      <c r="J1109" s="9">
        <v>8827.7900000000009</v>
      </c>
      <c r="K1109" s="9">
        <v>1174.44</v>
      </c>
      <c r="L1109" s="9">
        <v>141786.38</v>
      </c>
      <c r="M1109" s="9">
        <v>138969.28</v>
      </c>
      <c r="N1109" s="6" t="str">
        <f>_xlfn.XLOOKUP(tblSales[[#This Row],[ProductID]],tblProducts[ProductID],tblProducts[ProductName],"Not Found")</f>
        <v>NeuroCalm</v>
      </c>
      <c r="O1109" s="8">
        <f>YEAR(tblSales[[#This Row],[Month]])</f>
        <v>2025</v>
      </c>
      <c r="P1109" s="8">
        <f>MONTH(tblSales[[#This Row],[Month]])</f>
        <v>12</v>
      </c>
      <c r="Q1109" s="6">
        <f>IFERROR(tblSales[[#This Row],[NetSalesTRY]]/tblSales[[#This Row],[Units]],0)</f>
        <v>1027.437536231884</v>
      </c>
      <c r="R1109" s="17">
        <f>IFERROR(tblSales[[#This Row],[NetSalesTRY]]/tblSales[[#This Row],[TargetTRY]],0)</f>
        <v>1.0202713865970954</v>
      </c>
      <c r="S1109" s="6">
        <f>tblSales[[#This Row],[NetSalesTRY]]-tblSales[[#This Row],[TargetTRY]]</f>
        <v>2817.1000000000058</v>
      </c>
      <c r="T1109" s="6">
        <f>MAX(tblSales[[#This Row],[TargetTRY]]-tblSales[[#This Row],[NetSalesTRY]],0)</f>
        <v>0</v>
      </c>
    </row>
    <row r="1110" spans="1:20">
      <c r="A1110" t="s">
        <v>1498</v>
      </c>
      <c r="B1110" s="15">
        <v>45992</v>
      </c>
      <c r="C1110" t="s">
        <v>19</v>
      </c>
      <c r="D1110" t="s">
        <v>20</v>
      </c>
      <c r="E1110" t="s">
        <v>37</v>
      </c>
      <c r="F1110" t="s">
        <v>35</v>
      </c>
      <c r="G1110" t="s">
        <v>5</v>
      </c>
      <c r="H1110" s="8">
        <v>181</v>
      </c>
      <c r="I1110" s="9">
        <v>175682.93</v>
      </c>
      <c r="J1110" s="9">
        <v>10756.41</v>
      </c>
      <c r="K1110" s="9">
        <v>2372.46</v>
      </c>
      <c r="L1110" s="9">
        <v>162554.07</v>
      </c>
      <c r="M1110" s="9">
        <v>166349.25</v>
      </c>
      <c r="N1110" s="6" t="str">
        <f>_xlfn.XLOOKUP(tblSales[[#This Row],[ProductID]],tblProducts[ProductID],tblProducts[ProductName],"Not Found")</f>
        <v>Cardiovan</v>
      </c>
      <c r="O1110" s="8">
        <f>YEAR(tblSales[[#This Row],[Month]])</f>
        <v>2025</v>
      </c>
      <c r="P1110" s="8">
        <f>MONTH(tblSales[[#This Row],[Month]])</f>
        <v>12</v>
      </c>
      <c r="Q1110" s="6">
        <f>IFERROR(tblSales[[#This Row],[NetSalesTRY]]/tblSales[[#This Row],[Units]],0)</f>
        <v>898.08878453038676</v>
      </c>
      <c r="R1110" s="17">
        <f>IFERROR(tblSales[[#This Row],[NetSalesTRY]]/tblSales[[#This Row],[TargetTRY]],0)</f>
        <v>0.9771854697270953</v>
      </c>
      <c r="S1110" s="6">
        <f>tblSales[[#This Row],[NetSalesTRY]]-tblSales[[#This Row],[TargetTRY]]</f>
        <v>-3795.179999999993</v>
      </c>
      <c r="T1110" s="6">
        <f>MAX(tblSales[[#This Row],[TargetTRY]]-tblSales[[#This Row],[NetSalesTRY]],0)</f>
        <v>3795.179999999993</v>
      </c>
    </row>
    <row r="1111" spans="1:20">
      <c r="A1111" t="s">
        <v>1499</v>
      </c>
      <c r="B1111" s="15">
        <v>45992</v>
      </c>
      <c r="C1111" t="s">
        <v>19</v>
      </c>
      <c r="D1111" t="s">
        <v>20</v>
      </c>
      <c r="E1111" t="s">
        <v>37</v>
      </c>
      <c r="F1111" t="s">
        <v>35</v>
      </c>
      <c r="G1111" t="s">
        <v>8</v>
      </c>
      <c r="H1111" s="8">
        <v>211</v>
      </c>
      <c r="I1111" s="9">
        <v>160039.4</v>
      </c>
      <c r="J1111" s="9">
        <v>10785.58</v>
      </c>
      <c r="K1111" s="9">
        <v>1814.24</v>
      </c>
      <c r="L1111" s="9">
        <v>147439.59</v>
      </c>
      <c r="M1111" s="9">
        <v>153244.76999999999</v>
      </c>
      <c r="N1111" s="6" t="str">
        <f>_xlfn.XLOOKUP(tblSales[[#This Row],[ProductID]],tblProducts[ProductID],tblProducts[ProductName],"Not Found")</f>
        <v>GlucoRelief</v>
      </c>
      <c r="O1111" s="8">
        <f>YEAR(tblSales[[#This Row],[Month]])</f>
        <v>2025</v>
      </c>
      <c r="P1111" s="8">
        <f>MONTH(tblSales[[#This Row],[Month]])</f>
        <v>12</v>
      </c>
      <c r="Q1111" s="6">
        <f>IFERROR(tblSales[[#This Row],[NetSalesTRY]]/tblSales[[#This Row],[Units]],0)</f>
        <v>698.76582938388628</v>
      </c>
      <c r="R1111" s="17">
        <f>IFERROR(tblSales[[#This Row],[NetSalesTRY]]/tblSales[[#This Row],[TargetTRY]],0)</f>
        <v>0.96211825043034105</v>
      </c>
      <c r="S1111" s="6">
        <f>tblSales[[#This Row],[NetSalesTRY]]-tblSales[[#This Row],[TargetTRY]]</f>
        <v>-5805.179999999993</v>
      </c>
      <c r="T1111" s="6">
        <f>MAX(tblSales[[#This Row],[TargetTRY]]-tblSales[[#This Row],[NetSalesTRY]],0)</f>
        <v>5805.179999999993</v>
      </c>
    </row>
    <row r="1112" spans="1:20">
      <c r="A1112" t="s">
        <v>1500</v>
      </c>
      <c r="B1112" s="15">
        <v>45992</v>
      </c>
      <c r="C1112" t="s">
        <v>19</v>
      </c>
      <c r="D1112" t="s">
        <v>20</v>
      </c>
      <c r="E1112" t="s">
        <v>37</v>
      </c>
      <c r="F1112" t="s">
        <v>35</v>
      </c>
      <c r="G1112" t="s">
        <v>11</v>
      </c>
      <c r="H1112" s="8">
        <v>234</v>
      </c>
      <c r="I1112" s="9">
        <v>145761.76999999999</v>
      </c>
      <c r="J1112" s="9">
        <v>7563.4</v>
      </c>
      <c r="K1112" s="9">
        <v>1688.3</v>
      </c>
      <c r="L1112" s="9">
        <v>136510.07</v>
      </c>
      <c r="M1112" s="9">
        <v>143463.57</v>
      </c>
      <c r="N1112" s="6" t="str">
        <f>_xlfn.XLOOKUP(tblSales[[#This Row],[ProductID]],tblProducts[ProductID],tblProducts[ProductName],"Not Found")</f>
        <v>RespiraX</v>
      </c>
      <c r="O1112" s="8">
        <f>YEAR(tblSales[[#This Row],[Month]])</f>
        <v>2025</v>
      </c>
      <c r="P1112" s="8">
        <f>MONTH(tblSales[[#This Row],[Month]])</f>
        <v>12</v>
      </c>
      <c r="Q1112" s="6">
        <f>IFERROR(tblSales[[#This Row],[NetSalesTRY]]/tblSales[[#This Row],[Units]],0)</f>
        <v>583.37636752136757</v>
      </c>
      <c r="R1112" s="17">
        <f>IFERROR(tblSales[[#This Row],[NetSalesTRY]]/tblSales[[#This Row],[TargetTRY]],0)</f>
        <v>0.9515312493617718</v>
      </c>
      <c r="S1112" s="6">
        <f>tblSales[[#This Row],[NetSalesTRY]]-tblSales[[#This Row],[TargetTRY]]</f>
        <v>-6953.5</v>
      </c>
      <c r="T1112" s="6">
        <f>MAX(tblSales[[#This Row],[TargetTRY]]-tblSales[[#This Row],[NetSalesTRY]],0)</f>
        <v>6953.5</v>
      </c>
    </row>
    <row r="1113" spans="1:20">
      <c r="A1113" t="s">
        <v>1501</v>
      </c>
      <c r="B1113" s="15">
        <v>45992</v>
      </c>
      <c r="C1113" t="s">
        <v>19</v>
      </c>
      <c r="D1113" t="s">
        <v>20</v>
      </c>
      <c r="E1113" t="s">
        <v>37</v>
      </c>
      <c r="F1113" t="s">
        <v>35</v>
      </c>
      <c r="G1113" t="s">
        <v>14</v>
      </c>
      <c r="H1113" s="8">
        <v>135</v>
      </c>
      <c r="I1113" s="9">
        <v>146284.29999999999</v>
      </c>
      <c r="J1113" s="9">
        <v>6858.09</v>
      </c>
      <c r="K1113" s="9">
        <v>1824.62</v>
      </c>
      <c r="L1113" s="9">
        <v>137601.59</v>
      </c>
      <c r="M1113" s="9">
        <v>139669.44</v>
      </c>
      <c r="N1113" s="6" t="str">
        <f>_xlfn.XLOOKUP(tblSales[[#This Row],[ProductID]],tblProducts[ProductID],tblProducts[ProductName],"Not Found")</f>
        <v>NeuroCalm</v>
      </c>
      <c r="O1113" s="8">
        <f>YEAR(tblSales[[#This Row],[Month]])</f>
        <v>2025</v>
      </c>
      <c r="P1113" s="8">
        <f>MONTH(tblSales[[#This Row],[Month]])</f>
        <v>12</v>
      </c>
      <c r="Q1113" s="6">
        <f>IFERROR(tblSales[[#This Row],[NetSalesTRY]]/tblSales[[#This Row],[Units]],0)</f>
        <v>1019.271037037037</v>
      </c>
      <c r="R1113" s="17">
        <f>IFERROR(tblSales[[#This Row],[NetSalesTRY]]/tblSales[[#This Row],[TargetTRY]],0)</f>
        <v>0.98519468539431387</v>
      </c>
      <c r="S1113" s="6">
        <f>tblSales[[#This Row],[NetSalesTRY]]-tblSales[[#This Row],[TargetTRY]]</f>
        <v>-2067.8500000000058</v>
      </c>
      <c r="T1113" s="6">
        <f>MAX(tblSales[[#This Row],[TargetTRY]]-tblSales[[#This Row],[NetSalesTRY]],0)</f>
        <v>2067.8500000000058</v>
      </c>
    </row>
    <row r="1114" spans="1:20">
      <c r="A1114" t="s">
        <v>1502</v>
      </c>
      <c r="B1114" s="15">
        <v>45992</v>
      </c>
      <c r="C1114" t="s">
        <v>19</v>
      </c>
      <c r="D1114" t="s">
        <v>20</v>
      </c>
      <c r="E1114" t="s">
        <v>40</v>
      </c>
      <c r="F1114" t="s">
        <v>38</v>
      </c>
      <c r="G1114" t="s">
        <v>5</v>
      </c>
      <c r="H1114" s="8">
        <v>182</v>
      </c>
      <c r="I1114" s="9">
        <v>178026.16</v>
      </c>
      <c r="J1114" s="9">
        <v>10938.36</v>
      </c>
      <c r="K1114" s="9">
        <v>1027.31</v>
      </c>
      <c r="L1114" s="9">
        <v>166060.49</v>
      </c>
      <c r="M1114" s="9">
        <v>181646.19</v>
      </c>
      <c r="N1114" s="6" t="str">
        <f>_xlfn.XLOOKUP(tblSales[[#This Row],[ProductID]],tblProducts[ProductID],tblProducts[ProductName],"Not Found")</f>
        <v>Cardiovan</v>
      </c>
      <c r="O1114" s="8">
        <f>YEAR(tblSales[[#This Row],[Month]])</f>
        <v>2025</v>
      </c>
      <c r="P1114" s="8">
        <f>MONTH(tblSales[[#This Row],[Month]])</f>
        <v>12</v>
      </c>
      <c r="Q1114" s="6">
        <f>IFERROR(tblSales[[#This Row],[NetSalesTRY]]/tblSales[[#This Row],[Units]],0)</f>
        <v>912.42027472527468</v>
      </c>
      <c r="R1114" s="17">
        <f>IFERROR(tblSales[[#This Row],[NetSalesTRY]]/tblSales[[#This Row],[TargetTRY]],0)</f>
        <v>0.91419748468162199</v>
      </c>
      <c r="S1114" s="6">
        <f>tblSales[[#This Row],[NetSalesTRY]]-tblSales[[#This Row],[TargetTRY]]</f>
        <v>-15585.700000000012</v>
      </c>
      <c r="T1114" s="6">
        <f>MAX(tblSales[[#This Row],[TargetTRY]]-tblSales[[#This Row],[NetSalesTRY]],0)</f>
        <v>15585.700000000012</v>
      </c>
    </row>
    <row r="1115" spans="1:20">
      <c r="A1115" t="s">
        <v>1503</v>
      </c>
      <c r="B1115" s="15">
        <v>45992</v>
      </c>
      <c r="C1115" t="s">
        <v>19</v>
      </c>
      <c r="D1115" t="s">
        <v>20</v>
      </c>
      <c r="E1115" t="s">
        <v>40</v>
      </c>
      <c r="F1115" t="s">
        <v>38</v>
      </c>
      <c r="G1115" t="s">
        <v>8</v>
      </c>
      <c r="H1115" s="8">
        <v>230</v>
      </c>
      <c r="I1115" s="9">
        <v>176444.21</v>
      </c>
      <c r="J1115" s="9">
        <v>7020.57</v>
      </c>
      <c r="K1115" s="9">
        <v>783.94</v>
      </c>
      <c r="L1115" s="9">
        <v>168639.7</v>
      </c>
      <c r="M1115" s="9">
        <v>165104.22</v>
      </c>
      <c r="N1115" s="6" t="str">
        <f>_xlfn.XLOOKUP(tblSales[[#This Row],[ProductID]],tblProducts[ProductID],tblProducts[ProductName],"Not Found")</f>
        <v>GlucoRelief</v>
      </c>
      <c r="O1115" s="8">
        <f>YEAR(tblSales[[#This Row],[Month]])</f>
        <v>2025</v>
      </c>
      <c r="P1115" s="8">
        <f>MONTH(tblSales[[#This Row],[Month]])</f>
        <v>12</v>
      </c>
      <c r="Q1115" s="6">
        <f>IFERROR(tblSales[[#This Row],[NetSalesTRY]]/tblSales[[#This Row],[Units]],0)</f>
        <v>733.21608695652174</v>
      </c>
      <c r="R1115" s="17">
        <f>IFERROR(tblSales[[#This Row],[NetSalesTRY]]/tblSales[[#This Row],[TargetTRY]],0)</f>
        <v>1.0214136258903619</v>
      </c>
      <c r="S1115" s="6">
        <f>tblSales[[#This Row],[NetSalesTRY]]-tblSales[[#This Row],[TargetTRY]]</f>
        <v>3535.4800000000105</v>
      </c>
      <c r="T1115" s="6">
        <f>MAX(tblSales[[#This Row],[TargetTRY]]-tblSales[[#This Row],[NetSalesTRY]],0)</f>
        <v>0</v>
      </c>
    </row>
    <row r="1116" spans="1:20">
      <c r="A1116" t="s">
        <v>1504</v>
      </c>
      <c r="B1116" s="15">
        <v>45992</v>
      </c>
      <c r="C1116" t="s">
        <v>19</v>
      </c>
      <c r="D1116" t="s">
        <v>20</v>
      </c>
      <c r="E1116" t="s">
        <v>40</v>
      </c>
      <c r="F1116" t="s">
        <v>38</v>
      </c>
      <c r="G1116" t="s">
        <v>11</v>
      </c>
      <c r="H1116" s="8">
        <v>281</v>
      </c>
      <c r="I1116" s="9">
        <v>175808.23</v>
      </c>
      <c r="J1116" s="9">
        <v>9185.2099999999991</v>
      </c>
      <c r="K1116" s="9">
        <v>738.39</v>
      </c>
      <c r="L1116" s="9">
        <v>165884.63</v>
      </c>
      <c r="M1116" s="9">
        <v>158956.54999999999</v>
      </c>
      <c r="N1116" s="6" t="str">
        <f>_xlfn.XLOOKUP(tblSales[[#This Row],[ProductID]],tblProducts[ProductID],tblProducts[ProductName],"Not Found")</f>
        <v>RespiraX</v>
      </c>
      <c r="O1116" s="8">
        <f>YEAR(tblSales[[#This Row],[Month]])</f>
        <v>2025</v>
      </c>
      <c r="P1116" s="8">
        <f>MONTH(tblSales[[#This Row],[Month]])</f>
        <v>12</v>
      </c>
      <c r="Q1116" s="6">
        <f>IFERROR(tblSales[[#This Row],[NetSalesTRY]]/tblSales[[#This Row],[Units]],0)</f>
        <v>590.33676156583635</v>
      </c>
      <c r="R1116" s="17">
        <f>IFERROR(tblSales[[#This Row],[NetSalesTRY]]/tblSales[[#This Row],[TargetTRY]],0)</f>
        <v>1.0435847406099341</v>
      </c>
      <c r="S1116" s="6">
        <f>tblSales[[#This Row],[NetSalesTRY]]-tblSales[[#This Row],[TargetTRY]]</f>
        <v>6928.0800000000163</v>
      </c>
      <c r="T1116" s="6">
        <f>MAX(tblSales[[#This Row],[TargetTRY]]-tblSales[[#This Row],[NetSalesTRY]],0)</f>
        <v>0</v>
      </c>
    </row>
    <row r="1117" spans="1:20">
      <c r="A1117" t="s">
        <v>1505</v>
      </c>
      <c r="B1117" s="15">
        <v>45992</v>
      </c>
      <c r="C1117" t="s">
        <v>19</v>
      </c>
      <c r="D1117" t="s">
        <v>20</v>
      </c>
      <c r="E1117" t="s">
        <v>40</v>
      </c>
      <c r="F1117" t="s">
        <v>38</v>
      </c>
      <c r="G1117" t="s">
        <v>14</v>
      </c>
      <c r="H1117" s="8">
        <v>139</v>
      </c>
      <c r="I1117" s="9">
        <v>154083.85999999999</v>
      </c>
      <c r="J1117" s="9">
        <v>9372.66</v>
      </c>
      <c r="K1117" s="9">
        <v>1972.95</v>
      </c>
      <c r="L1117" s="9">
        <v>142738.23999999999</v>
      </c>
      <c r="M1117" s="9">
        <v>150447.96</v>
      </c>
      <c r="N1117" s="6" t="str">
        <f>_xlfn.XLOOKUP(tblSales[[#This Row],[ProductID]],tblProducts[ProductID],tblProducts[ProductName],"Not Found")</f>
        <v>NeuroCalm</v>
      </c>
      <c r="O1117" s="8">
        <f>YEAR(tblSales[[#This Row],[Month]])</f>
        <v>2025</v>
      </c>
      <c r="P1117" s="8">
        <f>MONTH(tblSales[[#This Row],[Month]])</f>
        <v>12</v>
      </c>
      <c r="Q1117" s="6">
        <f>IFERROR(tblSales[[#This Row],[NetSalesTRY]]/tblSales[[#This Row],[Units]],0)</f>
        <v>1026.8938129496403</v>
      </c>
      <c r="R1117" s="17">
        <f>IFERROR(tblSales[[#This Row],[NetSalesTRY]]/tblSales[[#This Row],[TargetTRY]],0)</f>
        <v>0.94875490501831994</v>
      </c>
      <c r="S1117" s="6">
        <f>tblSales[[#This Row],[NetSalesTRY]]-tblSales[[#This Row],[TargetTRY]]</f>
        <v>-7709.7200000000012</v>
      </c>
      <c r="T1117" s="6">
        <f>MAX(tblSales[[#This Row],[TargetTRY]]-tblSales[[#This Row],[NetSalesTRY]],0)</f>
        <v>7709.7200000000012</v>
      </c>
    </row>
    <row r="1118" spans="1:20">
      <c r="A1118" t="s">
        <v>1506</v>
      </c>
      <c r="B1118" s="15">
        <v>45992</v>
      </c>
      <c r="C1118" t="s">
        <v>21</v>
      </c>
      <c r="D1118" t="s">
        <v>22</v>
      </c>
      <c r="E1118" t="s">
        <v>43</v>
      </c>
      <c r="F1118" t="s">
        <v>41</v>
      </c>
      <c r="G1118" t="s">
        <v>5</v>
      </c>
      <c r="H1118" s="8">
        <v>113</v>
      </c>
      <c r="I1118" s="9">
        <v>110620.32</v>
      </c>
      <c r="J1118" s="9">
        <v>7717.96</v>
      </c>
      <c r="K1118" s="9">
        <v>1420.23</v>
      </c>
      <c r="L1118" s="9">
        <v>101482.14</v>
      </c>
      <c r="M1118" s="9">
        <v>136668.84</v>
      </c>
      <c r="N1118" s="6" t="str">
        <f>_xlfn.XLOOKUP(tblSales[[#This Row],[ProductID]],tblProducts[ProductID],tblProducts[ProductName],"Not Found")</f>
        <v>Cardiovan</v>
      </c>
      <c r="O1118" s="8">
        <f>YEAR(tblSales[[#This Row],[Month]])</f>
        <v>2025</v>
      </c>
      <c r="P1118" s="8">
        <f>MONTH(tblSales[[#This Row],[Month]])</f>
        <v>12</v>
      </c>
      <c r="Q1118" s="6">
        <f>IFERROR(tblSales[[#This Row],[NetSalesTRY]]/tblSales[[#This Row],[Units]],0)</f>
        <v>898.07203539823013</v>
      </c>
      <c r="R1118" s="17">
        <f>IFERROR(tblSales[[#This Row],[NetSalesTRY]]/tblSales[[#This Row],[TargetTRY]],0)</f>
        <v>0.7425404356984372</v>
      </c>
      <c r="S1118" s="6">
        <f>tblSales[[#This Row],[NetSalesTRY]]-tblSales[[#This Row],[TargetTRY]]</f>
        <v>-35186.699999999997</v>
      </c>
      <c r="T1118" s="6">
        <f>MAX(tblSales[[#This Row],[TargetTRY]]-tblSales[[#This Row],[NetSalesTRY]],0)</f>
        <v>35186.699999999997</v>
      </c>
    </row>
    <row r="1119" spans="1:20">
      <c r="A1119" t="s">
        <v>1507</v>
      </c>
      <c r="B1119" s="15">
        <v>45992</v>
      </c>
      <c r="C1119" t="s">
        <v>21</v>
      </c>
      <c r="D1119" t="s">
        <v>22</v>
      </c>
      <c r="E1119" t="s">
        <v>43</v>
      </c>
      <c r="F1119" t="s">
        <v>41</v>
      </c>
      <c r="G1119" t="s">
        <v>8</v>
      </c>
      <c r="H1119" s="8">
        <v>173</v>
      </c>
      <c r="I1119" s="9">
        <v>132691.01999999999</v>
      </c>
      <c r="J1119" s="9">
        <v>6175.97</v>
      </c>
      <c r="K1119" s="9">
        <v>1289.22</v>
      </c>
      <c r="L1119" s="9">
        <v>125225.84</v>
      </c>
      <c r="M1119" s="9">
        <v>122612.49</v>
      </c>
      <c r="N1119" s="6" t="str">
        <f>_xlfn.XLOOKUP(tblSales[[#This Row],[ProductID]],tblProducts[ProductID],tblProducts[ProductName],"Not Found")</f>
        <v>GlucoRelief</v>
      </c>
      <c r="O1119" s="8">
        <f>YEAR(tblSales[[#This Row],[Month]])</f>
        <v>2025</v>
      </c>
      <c r="P1119" s="8">
        <f>MONTH(tblSales[[#This Row],[Month]])</f>
        <v>12</v>
      </c>
      <c r="Q1119" s="6">
        <f>IFERROR(tblSales[[#This Row],[NetSalesTRY]]/tblSales[[#This Row],[Units]],0)</f>
        <v>723.84878612716761</v>
      </c>
      <c r="R1119" s="17">
        <f>IFERROR(tblSales[[#This Row],[NetSalesTRY]]/tblSales[[#This Row],[TargetTRY]],0)</f>
        <v>1.0213138971404951</v>
      </c>
      <c r="S1119" s="6">
        <f>tblSales[[#This Row],[NetSalesTRY]]-tblSales[[#This Row],[TargetTRY]]</f>
        <v>2613.3499999999913</v>
      </c>
      <c r="T1119" s="6">
        <f>MAX(tblSales[[#This Row],[TargetTRY]]-tblSales[[#This Row],[NetSalesTRY]],0)</f>
        <v>0</v>
      </c>
    </row>
    <row r="1120" spans="1:20">
      <c r="A1120" t="s">
        <v>1508</v>
      </c>
      <c r="B1120" s="15">
        <v>45992</v>
      </c>
      <c r="C1120" t="s">
        <v>21</v>
      </c>
      <c r="D1120" t="s">
        <v>22</v>
      </c>
      <c r="E1120" t="s">
        <v>43</v>
      </c>
      <c r="F1120" t="s">
        <v>41</v>
      </c>
      <c r="G1120" t="s">
        <v>11</v>
      </c>
      <c r="H1120" s="8">
        <v>195</v>
      </c>
      <c r="I1120" s="9">
        <v>120591.62</v>
      </c>
      <c r="J1120" s="9">
        <v>4596.87</v>
      </c>
      <c r="K1120" s="9">
        <v>677.72</v>
      </c>
      <c r="L1120" s="9">
        <v>115317.02</v>
      </c>
      <c r="M1120" s="9">
        <v>115184.36</v>
      </c>
      <c r="N1120" s="6" t="str">
        <f>_xlfn.XLOOKUP(tblSales[[#This Row],[ProductID]],tblProducts[ProductID],tblProducts[ProductName],"Not Found")</f>
        <v>RespiraX</v>
      </c>
      <c r="O1120" s="8">
        <f>YEAR(tblSales[[#This Row],[Month]])</f>
        <v>2025</v>
      </c>
      <c r="P1120" s="8">
        <f>MONTH(tblSales[[#This Row],[Month]])</f>
        <v>12</v>
      </c>
      <c r="Q1120" s="6">
        <f>IFERROR(tblSales[[#This Row],[NetSalesTRY]]/tblSales[[#This Row],[Units]],0)</f>
        <v>591.36933333333332</v>
      </c>
      <c r="R1120" s="17">
        <f>IFERROR(tblSales[[#This Row],[NetSalesTRY]]/tblSales[[#This Row],[TargetTRY]],0)</f>
        <v>1.0011517188618315</v>
      </c>
      <c r="S1120" s="6">
        <f>tblSales[[#This Row],[NetSalesTRY]]-tblSales[[#This Row],[TargetTRY]]</f>
        <v>132.66000000000349</v>
      </c>
      <c r="T1120" s="6">
        <f>MAX(tblSales[[#This Row],[TargetTRY]]-tblSales[[#This Row],[NetSalesTRY]],0)</f>
        <v>0</v>
      </c>
    </row>
    <row r="1121" spans="1:20">
      <c r="A1121" t="s">
        <v>1509</v>
      </c>
      <c r="B1121" s="15">
        <v>45992</v>
      </c>
      <c r="C1121" t="s">
        <v>21</v>
      </c>
      <c r="D1121" t="s">
        <v>22</v>
      </c>
      <c r="E1121" t="s">
        <v>43</v>
      </c>
      <c r="F1121" t="s">
        <v>41</v>
      </c>
      <c r="G1121" t="s">
        <v>14</v>
      </c>
      <c r="H1121" s="8">
        <v>105</v>
      </c>
      <c r="I1121" s="9">
        <v>117226.48</v>
      </c>
      <c r="J1121" s="9">
        <v>7936.39</v>
      </c>
      <c r="K1121" s="9">
        <v>500.37</v>
      </c>
      <c r="L1121" s="9">
        <v>108789.71</v>
      </c>
      <c r="M1121" s="9">
        <v>112227.29</v>
      </c>
      <c r="N1121" s="6" t="str">
        <f>_xlfn.XLOOKUP(tblSales[[#This Row],[ProductID]],tblProducts[ProductID],tblProducts[ProductName],"Not Found")</f>
        <v>NeuroCalm</v>
      </c>
      <c r="O1121" s="8">
        <f>YEAR(tblSales[[#This Row],[Month]])</f>
        <v>2025</v>
      </c>
      <c r="P1121" s="8">
        <f>MONTH(tblSales[[#This Row],[Month]])</f>
        <v>12</v>
      </c>
      <c r="Q1121" s="6">
        <f>IFERROR(tblSales[[#This Row],[NetSalesTRY]]/tblSales[[#This Row],[Units]],0)</f>
        <v>1036.0924761904762</v>
      </c>
      <c r="R1121" s="17">
        <f>IFERROR(tblSales[[#This Row],[NetSalesTRY]]/tblSales[[#This Row],[TargetTRY]],0)</f>
        <v>0.96936948223555974</v>
      </c>
      <c r="S1121" s="6">
        <f>tblSales[[#This Row],[NetSalesTRY]]-tblSales[[#This Row],[TargetTRY]]</f>
        <v>-3437.5799999999872</v>
      </c>
      <c r="T1121" s="6">
        <f>MAX(tblSales[[#This Row],[TargetTRY]]-tblSales[[#This Row],[NetSalesTRY]],0)</f>
        <v>3437.5799999999872</v>
      </c>
    </row>
    <row r="1122" spans="1:20">
      <c r="A1122" t="s">
        <v>1510</v>
      </c>
      <c r="B1122" s="15">
        <v>45992</v>
      </c>
      <c r="C1122" t="s">
        <v>21</v>
      </c>
      <c r="D1122" t="s">
        <v>22</v>
      </c>
      <c r="E1122" t="s">
        <v>46</v>
      </c>
      <c r="F1122" t="s">
        <v>44</v>
      </c>
      <c r="G1122" t="s">
        <v>5</v>
      </c>
      <c r="H1122" s="8">
        <v>101</v>
      </c>
      <c r="I1122" s="9">
        <v>100056.1</v>
      </c>
      <c r="J1122" s="9">
        <v>5075.67</v>
      </c>
      <c r="K1122" s="9">
        <v>1204.1500000000001</v>
      </c>
      <c r="L1122" s="9">
        <v>93776.27</v>
      </c>
      <c r="M1122" s="9">
        <v>117861.83</v>
      </c>
      <c r="N1122" s="6" t="str">
        <f>_xlfn.XLOOKUP(tblSales[[#This Row],[ProductID]],tblProducts[ProductID],tblProducts[ProductName],"Not Found")</f>
        <v>Cardiovan</v>
      </c>
      <c r="O1122" s="8">
        <f>YEAR(tblSales[[#This Row],[Month]])</f>
        <v>2025</v>
      </c>
      <c r="P1122" s="8">
        <f>MONTH(tblSales[[#This Row],[Month]])</f>
        <v>12</v>
      </c>
      <c r="Q1122" s="6">
        <f>IFERROR(tblSales[[#This Row],[NetSalesTRY]]/tblSales[[#This Row],[Units]],0)</f>
        <v>928.4779207920792</v>
      </c>
      <c r="R1122" s="17">
        <f>IFERROR(tblSales[[#This Row],[NetSalesTRY]]/tblSales[[#This Row],[TargetTRY]],0)</f>
        <v>0.79564579983188788</v>
      </c>
      <c r="S1122" s="6">
        <f>tblSales[[#This Row],[NetSalesTRY]]-tblSales[[#This Row],[TargetTRY]]</f>
        <v>-24085.559999999998</v>
      </c>
      <c r="T1122" s="6">
        <f>MAX(tblSales[[#This Row],[TargetTRY]]-tblSales[[#This Row],[NetSalesTRY]],0)</f>
        <v>24085.559999999998</v>
      </c>
    </row>
    <row r="1123" spans="1:20">
      <c r="A1123" t="s">
        <v>1511</v>
      </c>
      <c r="B1123" s="15">
        <v>45992</v>
      </c>
      <c r="C1123" t="s">
        <v>21</v>
      </c>
      <c r="D1123" t="s">
        <v>22</v>
      </c>
      <c r="E1123" t="s">
        <v>46</v>
      </c>
      <c r="F1123" t="s">
        <v>44</v>
      </c>
      <c r="G1123" t="s">
        <v>8</v>
      </c>
      <c r="H1123" s="8">
        <v>138</v>
      </c>
      <c r="I1123" s="9">
        <v>104066.35</v>
      </c>
      <c r="J1123" s="9">
        <v>4646.8999999999996</v>
      </c>
      <c r="K1123" s="9">
        <v>448.15</v>
      </c>
      <c r="L1123" s="9">
        <v>98971.3</v>
      </c>
      <c r="M1123" s="9">
        <v>108637.34</v>
      </c>
      <c r="N1123" s="6" t="str">
        <f>_xlfn.XLOOKUP(tblSales[[#This Row],[ProductID]],tblProducts[ProductID],tblProducts[ProductName],"Not Found")</f>
        <v>GlucoRelief</v>
      </c>
      <c r="O1123" s="8">
        <f>YEAR(tblSales[[#This Row],[Month]])</f>
        <v>2025</v>
      </c>
      <c r="P1123" s="8">
        <f>MONTH(tblSales[[#This Row],[Month]])</f>
        <v>12</v>
      </c>
      <c r="Q1123" s="6">
        <f>IFERROR(tblSales[[#This Row],[NetSalesTRY]]/tblSales[[#This Row],[Units]],0)</f>
        <v>717.18333333333339</v>
      </c>
      <c r="R1123" s="17">
        <f>IFERROR(tblSales[[#This Row],[NetSalesTRY]]/tblSales[[#This Row],[TargetTRY]],0)</f>
        <v>0.91102469924245211</v>
      </c>
      <c r="S1123" s="6">
        <f>tblSales[[#This Row],[NetSalesTRY]]-tblSales[[#This Row],[TargetTRY]]</f>
        <v>-9666.0399999999936</v>
      </c>
      <c r="T1123" s="6">
        <f>MAX(tblSales[[#This Row],[TargetTRY]]-tblSales[[#This Row],[NetSalesTRY]],0)</f>
        <v>9666.0399999999936</v>
      </c>
    </row>
    <row r="1124" spans="1:20">
      <c r="A1124" t="s">
        <v>1512</v>
      </c>
      <c r="B1124" s="15">
        <v>45992</v>
      </c>
      <c r="C1124" t="s">
        <v>21</v>
      </c>
      <c r="D1124" t="s">
        <v>22</v>
      </c>
      <c r="E1124" t="s">
        <v>46</v>
      </c>
      <c r="F1124" t="s">
        <v>44</v>
      </c>
      <c r="G1124" t="s">
        <v>11</v>
      </c>
      <c r="H1124" s="8">
        <v>172</v>
      </c>
      <c r="I1124" s="9">
        <v>107755.79</v>
      </c>
      <c r="J1124" s="9">
        <v>7361.7</v>
      </c>
      <c r="K1124" s="9">
        <v>760.09</v>
      </c>
      <c r="L1124" s="9">
        <v>99634</v>
      </c>
      <c r="M1124" s="9">
        <v>101585.49</v>
      </c>
      <c r="N1124" s="6" t="str">
        <f>_xlfn.XLOOKUP(tblSales[[#This Row],[ProductID]],tblProducts[ProductID],tblProducts[ProductName],"Not Found")</f>
        <v>RespiraX</v>
      </c>
      <c r="O1124" s="8">
        <f>YEAR(tblSales[[#This Row],[Month]])</f>
        <v>2025</v>
      </c>
      <c r="P1124" s="8">
        <f>MONTH(tblSales[[#This Row],[Month]])</f>
        <v>12</v>
      </c>
      <c r="Q1124" s="6">
        <f>IFERROR(tblSales[[#This Row],[NetSalesTRY]]/tblSales[[#This Row],[Units]],0)</f>
        <v>579.26744186046517</v>
      </c>
      <c r="R1124" s="17">
        <f>IFERROR(tblSales[[#This Row],[NetSalesTRY]]/tblSales[[#This Row],[TargetTRY]],0)</f>
        <v>0.98078967773842496</v>
      </c>
      <c r="S1124" s="6">
        <f>tblSales[[#This Row],[NetSalesTRY]]-tblSales[[#This Row],[TargetTRY]]</f>
        <v>-1951.4900000000052</v>
      </c>
      <c r="T1124" s="6">
        <f>MAX(tblSales[[#This Row],[TargetTRY]]-tblSales[[#This Row],[NetSalesTRY]],0)</f>
        <v>1951.4900000000052</v>
      </c>
    </row>
    <row r="1125" spans="1:20">
      <c r="A1125" t="s">
        <v>1513</v>
      </c>
      <c r="B1125" s="15">
        <v>45992</v>
      </c>
      <c r="C1125" t="s">
        <v>21</v>
      </c>
      <c r="D1125" t="s">
        <v>22</v>
      </c>
      <c r="E1125" t="s">
        <v>46</v>
      </c>
      <c r="F1125" t="s">
        <v>44</v>
      </c>
      <c r="G1125" t="s">
        <v>14</v>
      </c>
      <c r="H1125" s="8">
        <v>90</v>
      </c>
      <c r="I1125" s="9">
        <v>99333.68</v>
      </c>
      <c r="J1125" s="9">
        <v>5687.9</v>
      </c>
      <c r="K1125" s="9">
        <v>591.33000000000004</v>
      </c>
      <c r="L1125" s="9">
        <v>93054.45</v>
      </c>
      <c r="M1125" s="9">
        <v>97190.59</v>
      </c>
      <c r="N1125" s="6" t="str">
        <f>_xlfn.XLOOKUP(tblSales[[#This Row],[ProductID]],tblProducts[ProductID],tblProducts[ProductName],"Not Found")</f>
        <v>NeuroCalm</v>
      </c>
      <c r="O1125" s="8">
        <f>YEAR(tblSales[[#This Row],[Month]])</f>
        <v>2025</v>
      </c>
      <c r="P1125" s="8">
        <f>MONTH(tblSales[[#This Row],[Month]])</f>
        <v>12</v>
      </c>
      <c r="Q1125" s="6">
        <f>IFERROR(tblSales[[#This Row],[NetSalesTRY]]/tblSales[[#This Row],[Units]],0)</f>
        <v>1033.9383333333333</v>
      </c>
      <c r="R1125" s="17">
        <f>IFERROR(tblSales[[#This Row],[NetSalesTRY]]/tblSales[[#This Row],[TargetTRY]],0)</f>
        <v>0.95744299936856025</v>
      </c>
      <c r="S1125" s="6">
        <f>tblSales[[#This Row],[NetSalesTRY]]-tblSales[[#This Row],[TargetTRY]]</f>
        <v>-4136.1399999999994</v>
      </c>
      <c r="T1125" s="6">
        <f>MAX(tblSales[[#This Row],[TargetTRY]]-tblSales[[#This Row],[NetSalesTRY]],0)</f>
        <v>4136.1399999999994</v>
      </c>
    </row>
    <row r="1126" spans="1:20">
      <c r="A1126" t="s">
        <v>1514</v>
      </c>
      <c r="B1126" s="15">
        <v>45992</v>
      </c>
      <c r="C1126" t="s">
        <v>21</v>
      </c>
      <c r="D1126" t="s">
        <v>22</v>
      </c>
      <c r="E1126" t="s">
        <v>49</v>
      </c>
      <c r="F1126" t="s">
        <v>47</v>
      </c>
      <c r="G1126" t="s">
        <v>5</v>
      </c>
      <c r="H1126" s="8">
        <v>122</v>
      </c>
      <c r="I1126" s="9">
        <v>121133.25</v>
      </c>
      <c r="J1126" s="9">
        <v>4634.58</v>
      </c>
      <c r="K1126" s="9">
        <v>1218.27</v>
      </c>
      <c r="L1126" s="9">
        <v>115280.4</v>
      </c>
      <c r="M1126" s="9">
        <v>135014.16</v>
      </c>
      <c r="N1126" s="6" t="str">
        <f>_xlfn.XLOOKUP(tblSales[[#This Row],[ProductID]],tblProducts[ProductID],tblProducts[ProductName],"Not Found")</f>
        <v>Cardiovan</v>
      </c>
      <c r="O1126" s="8">
        <f>YEAR(tblSales[[#This Row],[Month]])</f>
        <v>2025</v>
      </c>
      <c r="P1126" s="8">
        <f>MONTH(tblSales[[#This Row],[Month]])</f>
        <v>12</v>
      </c>
      <c r="Q1126" s="6">
        <f>IFERROR(tblSales[[#This Row],[NetSalesTRY]]/tblSales[[#This Row],[Units]],0)</f>
        <v>944.92131147540977</v>
      </c>
      <c r="R1126" s="17">
        <f>IFERROR(tblSales[[#This Row],[NetSalesTRY]]/tblSales[[#This Row],[TargetTRY]],0)</f>
        <v>0.85383933063020934</v>
      </c>
      <c r="S1126" s="6">
        <f>tblSales[[#This Row],[NetSalesTRY]]-tblSales[[#This Row],[TargetTRY]]</f>
        <v>-19733.760000000009</v>
      </c>
      <c r="T1126" s="6">
        <f>MAX(tblSales[[#This Row],[TargetTRY]]-tblSales[[#This Row],[NetSalesTRY]],0)</f>
        <v>19733.760000000009</v>
      </c>
    </row>
    <row r="1127" spans="1:20">
      <c r="A1127" t="s">
        <v>1515</v>
      </c>
      <c r="B1127" s="15">
        <v>45992</v>
      </c>
      <c r="C1127" t="s">
        <v>21</v>
      </c>
      <c r="D1127" t="s">
        <v>22</v>
      </c>
      <c r="E1127" t="s">
        <v>49</v>
      </c>
      <c r="F1127" t="s">
        <v>47</v>
      </c>
      <c r="G1127" t="s">
        <v>8</v>
      </c>
      <c r="H1127" s="8">
        <v>162</v>
      </c>
      <c r="I1127" s="9">
        <v>122916.76</v>
      </c>
      <c r="J1127" s="9">
        <v>5110.97</v>
      </c>
      <c r="K1127" s="9">
        <v>529.52</v>
      </c>
      <c r="L1127" s="9">
        <v>117276.27</v>
      </c>
      <c r="M1127" s="9">
        <v>120769.83</v>
      </c>
      <c r="N1127" s="6" t="str">
        <f>_xlfn.XLOOKUP(tblSales[[#This Row],[ProductID]],tblProducts[ProductID],tblProducts[ProductName],"Not Found")</f>
        <v>GlucoRelief</v>
      </c>
      <c r="O1127" s="8">
        <f>YEAR(tblSales[[#This Row],[Month]])</f>
        <v>2025</v>
      </c>
      <c r="P1127" s="8">
        <f>MONTH(tblSales[[#This Row],[Month]])</f>
        <v>12</v>
      </c>
      <c r="Q1127" s="6">
        <f>IFERROR(tblSales[[#This Row],[NetSalesTRY]]/tblSales[[#This Row],[Units]],0)</f>
        <v>723.92759259259265</v>
      </c>
      <c r="R1127" s="17">
        <f>IFERROR(tblSales[[#This Row],[NetSalesTRY]]/tblSales[[#This Row],[TargetTRY]],0)</f>
        <v>0.97107257665262925</v>
      </c>
      <c r="S1127" s="6">
        <f>tblSales[[#This Row],[NetSalesTRY]]-tblSales[[#This Row],[TargetTRY]]</f>
        <v>-3493.5599999999977</v>
      </c>
      <c r="T1127" s="6">
        <f>MAX(tblSales[[#This Row],[TargetTRY]]-tblSales[[#This Row],[NetSalesTRY]],0)</f>
        <v>3493.5599999999977</v>
      </c>
    </row>
    <row r="1128" spans="1:20">
      <c r="A1128" t="s">
        <v>1516</v>
      </c>
      <c r="B1128" s="15">
        <v>45992</v>
      </c>
      <c r="C1128" t="s">
        <v>21</v>
      </c>
      <c r="D1128" t="s">
        <v>22</v>
      </c>
      <c r="E1128" t="s">
        <v>49</v>
      </c>
      <c r="F1128" t="s">
        <v>47</v>
      </c>
      <c r="G1128" t="s">
        <v>11</v>
      </c>
      <c r="H1128" s="8">
        <v>195</v>
      </c>
      <c r="I1128" s="9">
        <v>121950.21</v>
      </c>
      <c r="J1128" s="9">
        <v>6563.66</v>
      </c>
      <c r="K1128" s="9">
        <v>1024.48</v>
      </c>
      <c r="L1128" s="9">
        <v>114362.07</v>
      </c>
      <c r="M1128" s="9">
        <v>112780.55</v>
      </c>
      <c r="N1128" s="6" t="str">
        <f>_xlfn.XLOOKUP(tblSales[[#This Row],[ProductID]],tblProducts[ProductID],tblProducts[ProductName],"Not Found")</f>
        <v>RespiraX</v>
      </c>
      <c r="O1128" s="8">
        <f>YEAR(tblSales[[#This Row],[Month]])</f>
        <v>2025</v>
      </c>
      <c r="P1128" s="8">
        <f>MONTH(tblSales[[#This Row],[Month]])</f>
        <v>12</v>
      </c>
      <c r="Q1128" s="6">
        <f>IFERROR(tblSales[[#This Row],[NetSalesTRY]]/tblSales[[#This Row],[Units]],0)</f>
        <v>586.4721538461539</v>
      </c>
      <c r="R1128" s="17">
        <f>IFERROR(tblSales[[#This Row],[NetSalesTRY]]/tblSales[[#This Row],[TargetTRY]],0)</f>
        <v>1.0140229853463207</v>
      </c>
      <c r="S1128" s="6">
        <f>tblSales[[#This Row],[NetSalesTRY]]-tblSales[[#This Row],[TargetTRY]]</f>
        <v>1581.5200000000041</v>
      </c>
      <c r="T1128" s="6">
        <f>MAX(tblSales[[#This Row],[TargetTRY]]-tblSales[[#This Row],[NetSalesTRY]],0)</f>
        <v>0</v>
      </c>
    </row>
    <row r="1129" spans="1:20">
      <c r="A1129" t="s">
        <v>1517</v>
      </c>
      <c r="B1129" s="15">
        <v>45992</v>
      </c>
      <c r="C1129" t="s">
        <v>21</v>
      </c>
      <c r="D1129" t="s">
        <v>22</v>
      </c>
      <c r="E1129" t="s">
        <v>49</v>
      </c>
      <c r="F1129" t="s">
        <v>47</v>
      </c>
      <c r="G1129" t="s">
        <v>14</v>
      </c>
      <c r="H1129" s="8">
        <v>99</v>
      </c>
      <c r="I1129" s="9">
        <v>109107.78</v>
      </c>
      <c r="J1129" s="9">
        <v>4016.71</v>
      </c>
      <c r="K1129" s="9">
        <v>728.26</v>
      </c>
      <c r="L1129" s="9">
        <v>104362.81</v>
      </c>
      <c r="M1129" s="9">
        <v>110183.03999999999</v>
      </c>
      <c r="N1129" s="6" t="str">
        <f>_xlfn.XLOOKUP(tblSales[[#This Row],[ProductID]],tblProducts[ProductID],tblProducts[ProductName],"Not Found")</f>
        <v>NeuroCalm</v>
      </c>
      <c r="O1129" s="8">
        <f>YEAR(tblSales[[#This Row],[Month]])</f>
        <v>2025</v>
      </c>
      <c r="P1129" s="8">
        <f>MONTH(tblSales[[#This Row],[Month]])</f>
        <v>12</v>
      </c>
      <c r="Q1129" s="6">
        <f>IFERROR(tblSales[[#This Row],[NetSalesTRY]]/tblSales[[#This Row],[Units]],0)</f>
        <v>1054.169797979798</v>
      </c>
      <c r="R1129" s="17">
        <f>IFERROR(tblSales[[#This Row],[NetSalesTRY]]/tblSales[[#This Row],[TargetTRY]],0)</f>
        <v>0.94717671612618426</v>
      </c>
      <c r="S1129" s="6">
        <f>tblSales[[#This Row],[NetSalesTRY]]-tblSales[[#This Row],[TargetTRY]]</f>
        <v>-5820.2299999999959</v>
      </c>
      <c r="T1129" s="6">
        <f>MAX(tblSales[[#This Row],[TargetTRY]]-tblSales[[#This Row],[NetSalesTRY]],0)</f>
        <v>5820.2299999999959</v>
      </c>
    </row>
    <row r="1130" spans="1:20">
      <c r="A1130" t="s">
        <v>1518</v>
      </c>
      <c r="B1130" s="15">
        <v>45992</v>
      </c>
      <c r="C1130" t="s">
        <v>23</v>
      </c>
      <c r="D1130" t="s">
        <v>24</v>
      </c>
      <c r="E1130" t="s">
        <v>52</v>
      </c>
      <c r="F1130" t="s">
        <v>50</v>
      </c>
      <c r="G1130" t="s">
        <v>5</v>
      </c>
      <c r="H1130" s="8">
        <v>133</v>
      </c>
      <c r="I1130" s="9">
        <v>129610.77</v>
      </c>
      <c r="J1130" s="9">
        <v>5525.9</v>
      </c>
      <c r="K1130" s="9">
        <v>1187.3900000000001</v>
      </c>
      <c r="L1130" s="9">
        <v>122897.48</v>
      </c>
      <c r="M1130" s="9">
        <v>132907.51999999999</v>
      </c>
      <c r="N1130" s="6" t="str">
        <f>_xlfn.XLOOKUP(tblSales[[#This Row],[ProductID]],tblProducts[ProductID],tblProducts[ProductName],"Not Found")</f>
        <v>Cardiovan</v>
      </c>
      <c r="O1130" s="8">
        <f>YEAR(tblSales[[#This Row],[Month]])</f>
        <v>2025</v>
      </c>
      <c r="P1130" s="8">
        <f>MONTH(tblSales[[#This Row],[Month]])</f>
        <v>12</v>
      </c>
      <c r="Q1130" s="6">
        <f>IFERROR(tblSales[[#This Row],[NetSalesTRY]]/tblSales[[#This Row],[Units]],0)</f>
        <v>924.04120300751879</v>
      </c>
      <c r="R1130" s="17">
        <f>IFERROR(tblSales[[#This Row],[NetSalesTRY]]/tblSales[[#This Row],[TargetTRY]],0)</f>
        <v>0.92468417136968628</v>
      </c>
      <c r="S1130" s="6">
        <f>tblSales[[#This Row],[NetSalesTRY]]-tblSales[[#This Row],[TargetTRY]]</f>
        <v>-10010.039999999994</v>
      </c>
      <c r="T1130" s="6">
        <f>MAX(tblSales[[#This Row],[TargetTRY]]-tblSales[[#This Row],[NetSalesTRY]],0)</f>
        <v>10010.039999999994</v>
      </c>
    </row>
    <row r="1131" spans="1:20">
      <c r="A1131" t="s">
        <v>1519</v>
      </c>
      <c r="B1131" s="15">
        <v>45992</v>
      </c>
      <c r="C1131" t="s">
        <v>23</v>
      </c>
      <c r="D1131" t="s">
        <v>24</v>
      </c>
      <c r="E1131" t="s">
        <v>52</v>
      </c>
      <c r="F1131" t="s">
        <v>50</v>
      </c>
      <c r="G1131" t="s">
        <v>8</v>
      </c>
      <c r="H1131" s="8">
        <v>181</v>
      </c>
      <c r="I1131" s="9">
        <v>137124.89000000001</v>
      </c>
      <c r="J1131" s="9">
        <v>9083.42</v>
      </c>
      <c r="K1131" s="9">
        <v>1465.75</v>
      </c>
      <c r="L1131" s="9">
        <v>126575.73</v>
      </c>
      <c r="M1131" s="9">
        <v>121927.26</v>
      </c>
      <c r="N1131" s="6" t="str">
        <f>_xlfn.XLOOKUP(tblSales[[#This Row],[ProductID]],tblProducts[ProductID],tblProducts[ProductName],"Not Found")</f>
        <v>GlucoRelief</v>
      </c>
      <c r="O1131" s="8">
        <f>YEAR(tblSales[[#This Row],[Month]])</f>
        <v>2025</v>
      </c>
      <c r="P1131" s="8">
        <f>MONTH(tblSales[[#This Row],[Month]])</f>
        <v>12</v>
      </c>
      <c r="Q1131" s="6">
        <f>IFERROR(tblSales[[#This Row],[NetSalesTRY]]/tblSales[[#This Row],[Units]],0)</f>
        <v>699.31342541436459</v>
      </c>
      <c r="R1131" s="17">
        <f>IFERROR(tblSales[[#This Row],[NetSalesTRY]]/tblSales[[#This Row],[TargetTRY]],0)</f>
        <v>1.038124944331563</v>
      </c>
      <c r="S1131" s="6">
        <f>tblSales[[#This Row],[NetSalesTRY]]-tblSales[[#This Row],[TargetTRY]]</f>
        <v>4648.4700000000012</v>
      </c>
      <c r="T1131" s="6">
        <f>MAX(tblSales[[#This Row],[TargetTRY]]-tblSales[[#This Row],[NetSalesTRY]],0)</f>
        <v>0</v>
      </c>
    </row>
    <row r="1132" spans="1:20">
      <c r="A1132" t="s">
        <v>1520</v>
      </c>
      <c r="B1132" s="15">
        <v>45992</v>
      </c>
      <c r="C1132" t="s">
        <v>23</v>
      </c>
      <c r="D1132" t="s">
        <v>24</v>
      </c>
      <c r="E1132" t="s">
        <v>52</v>
      </c>
      <c r="F1132" t="s">
        <v>50</v>
      </c>
      <c r="G1132" t="s">
        <v>11</v>
      </c>
      <c r="H1132" s="8">
        <v>192</v>
      </c>
      <c r="I1132" s="9">
        <v>117436.07</v>
      </c>
      <c r="J1132" s="9">
        <v>7119.17</v>
      </c>
      <c r="K1132" s="9">
        <v>1436.08</v>
      </c>
      <c r="L1132" s="9">
        <v>108880.82</v>
      </c>
      <c r="M1132" s="9">
        <v>113305.71</v>
      </c>
      <c r="N1132" s="6" t="str">
        <f>_xlfn.XLOOKUP(tblSales[[#This Row],[ProductID]],tblProducts[ProductID],tblProducts[ProductName],"Not Found")</f>
        <v>RespiraX</v>
      </c>
      <c r="O1132" s="8">
        <f>YEAR(tblSales[[#This Row],[Month]])</f>
        <v>2025</v>
      </c>
      <c r="P1132" s="8">
        <f>MONTH(tblSales[[#This Row],[Month]])</f>
        <v>12</v>
      </c>
      <c r="Q1132" s="6">
        <f>IFERROR(tblSales[[#This Row],[NetSalesTRY]]/tblSales[[#This Row],[Units]],0)</f>
        <v>567.08760416666667</v>
      </c>
      <c r="R1132" s="17">
        <f>IFERROR(tblSales[[#This Row],[NetSalesTRY]]/tblSales[[#This Row],[TargetTRY]],0)</f>
        <v>0.96094733442824731</v>
      </c>
      <c r="S1132" s="6">
        <f>tblSales[[#This Row],[NetSalesTRY]]-tblSales[[#This Row],[TargetTRY]]</f>
        <v>-4424.8899999999994</v>
      </c>
      <c r="T1132" s="6">
        <f>MAX(tblSales[[#This Row],[TargetTRY]]-tblSales[[#This Row],[NetSalesTRY]],0)</f>
        <v>4424.8899999999994</v>
      </c>
    </row>
    <row r="1133" spans="1:20">
      <c r="A1133" t="s">
        <v>1521</v>
      </c>
      <c r="B1133" s="15">
        <v>45992</v>
      </c>
      <c r="C1133" t="s">
        <v>23</v>
      </c>
      <c r="D1133" t="s">
        <v>24</v>
      </c>
      <c r="E1133" t="s">
        <v>52</v>
      </c>
      <c r="F1133" t="s">
        <v>50</v>
      </c>
      <c r="G1133" t="s">
        <v>14</v>
      </c>
      <c r="H1133" s="8">
        <v>111</v>
      </c>
      <c r="I1133" s="9">
        <v>120493.03</v>
      </c>
      <c r="J1133" s="9">
        <v>5882.87</v>
      </c>
      <c r="K1133" s="9">
        <v>551.83000000000004</v>
      </c>
      <c r="L1133" s="9">
        <v>114058.34</v>
      </c>
      <c r="M1133" s="9">
        <v>110303.71</v>
      </c>
      <c r="N1133" s="6" t="str">
        <f>_xlfn.XLOOKUP(tblSales[[#This Row],[ProductID]],tblProducts[ProductID],tblProducts[ProductName],"Not Found")</f>
        <v>NeuroCalm</v>
      </c>
      <c r="O1133" s="8">
        <f>YEAR(tblSales[[#This Row],[Month]])</f>
        <v>2025</v>
      </c>
      <c r="P1133" s="8">
        <f>MONTH(tblSales[[#This Row],[Month]])</f>
        <v>12</v>
      </c>
      <c r="Q1133" s="6">
        <f>IFERROR(tblSales[[#This Row],[NetSalesTRY]]/tblSales[[#This Row],[Units]],0)</f>
        <v>1027.5526126126126</v>
      </c>
      <c r="R1133" s="17">
        <f>IFERROR(tblSales[[#This Row],[NetSalesTRY]]/tblSales[[#This Row],[TargetTRY]],0)</f>
        <v>1.034039018270555</v>
      </c>
      <c r="S1133" s="6">
        <f>tblSales[[#This Row],[NetSalesTRY]]-tblSales[[#This Row],[TargetTRY]]</f>
        <v>3754.6299999999901</v>
      </c>
      <c r="T1133" s="6">
        <f>MAX(tblSales[[#This Row],[TargetTRY]]-tblSales[[#This Row],[NetSalesTRY]],0)</f>
        <v>0</v>
      </c>
    </row>
    <row r="1134" spans="1:20">
      <c r="A1134" t="s">
        <v>1522</v>
      </c>
      <c r="B1134" s="15">
        <v>45992</v>
      </c>
      <c r="C1134" t="s">
        <v>23</v>
      </c>
      <c r="D1134" t="s">
        <v>24</v>
      </c>
      <c r="E1134" t="s">
        <v>55</v>
      </c>
      <c r="F1134" t="s">
        <v>53</v>
      </c>
      <c r="G1134" t="s">
        <v>5</v>
      </c>
      <c r="H1134" s="8">
        <v>146</v>
      </c>
      <c r="I1134" s="9">
        <v>144837.28</v>
      </c>
      <c r="J1134" s="9">
        <v>7298.48</v>
      </c>
      <c r="K1134" s="9">
        <v>763.75</v>
      </c>
      <c r="L1134" s="9">
        <v>136775.04999999999</v>
      </c>
      <c r="M1134" s="9">
        <v>133685.1</v>
      </c>
      <c r="N1134" s="6" t="str">
        <f>_xlfn.XLOOKUP(tblSales[[#This Row],[ProductID]],tblProducts[ProductID],tblProducts[ProductName],"Not Found")</f>
        <v>Cardiovan</v>
      </c>
      <c r="O1134" s="8">
        <f>YEAR(tblSales[[#This Row],[Month]])</f>
        <v>2025</v>
      </c>
      <c r="P1134" s="8">
        <f>MONTH(tblSales[[#This Row],[Month]])</f>
        <v>12</v>
      </c>
      <c r="Q1134" s="6">
        <f>IFERROR(tblSales[[#This Row],[NetSalesTRY]]/tblSales[[#This Row],[Units]],0)</f>
        <v>936.81541095890407</v>
      </c>
      <c r="R1134" s="17">
        <f>IFERROR(tblSales[[#This Row],[NetSalesTRY]]/tblSales[[#This Row],[TargetTRY]],0)</f>
        <v>1.0231136454249574</v>
      </c>
      <c r="S1134" s="6">
        <f>tblSales[[#This Row],[NetSalesTRY]]-tblSales[[#This Row],[TargetTRY]]</f>
        <v>3089.9499999999825</v>
      </c>
      <c r="T1134" s="6">
        <f>MAX(tblSales[[#This Row],[TargetTRY]]-tblSales[[#This Row],[NetSalesTRY]],0)</f>
        <v>0</v>
      </c>
    </row>
    <row r="1135" spans="1:20">
      <c r="A1135" t="s">
        <v>1523</v>
      </c>
      <c r="B1135" s="15">
        <v>45992</v>
      </c>
      <c r="C1135" t="s">
        <v>23</v>
      </c>
      <c r="D1135" t="s">
        <v>24</v>
      </c>
      <c r="E1135" t="s">
        <v>55</v>
      </c>
      <c r="F1135" t="s">
        <v>53</v>
      </c>
      <c r="G1135" t="s">
        <v>8</v>
      </c>
      <c r="H1135" s="8">
        <v>179</v>
      </c>
      <c r="I1135" s="9">
        <v>134767.96</v>
      </c>
      <c r="J1135" s="9">
        <v>6500.93</v>
      </c>
      <c r="K1135" s="9">
        <v>800.92</v>
      </c>
      <c r="L1135" s="9">
        <v>127466.11</v>
      </c>
      <c r="M1135" s="9">
        <v>122118.39999999999</v>
      </c>
      <c r="N1135" s="6" t="str">
        <f>_xlfn.XLOOKUP(tblSales[[#This Row],[ProductID]],tblProducts[ProductID],tblProducts[ProductName],"Not Found")</f>
        <v>GlucoRelief</v>
      </c>
      <c r="O1135" s="8">
        <f>YEAR(tblSales[[#This Row],[Month]])</f>
        <v>2025</v>
      </c>
      <c r="P1135" s="8">
        <f>MONTH(tblSales[[#This Row],[Month]])</f>
        <v>12</v>
      </c>
      <c r="Q1135" s="6">
        <f>IFERROR(tblSales[[#This Row],[NetSalesTRY]]/tblSales[[#This Row],[Units]],0)</f>
        <v>712.10117318435755</v>
      </c>
      <c r="R1135" s="17">
        <f>IFERROR(tblSales[[#This Row],[NetSalesTRY]]/tblSales[[#This Row],[TargetTRY]],0)</f>
        <v>1.0437911895340917</v>
      </c>
      <c r="S1135" s="6">
        <f>tblSales[[#This Row],[NetSalesTRY]]-tblSales[[#This Row],[TargetTRY]]</f>
        <v>5347.7100000000064</v>
      </c>
      <c r="T1135" s="6">
        <f>MAX(tblSales[[#This Row],[TargetTRY]]-tblSales[[#This Row],[NetSalesTRY]],0)</f>
        <v>0</v>
      </c>
    </row>
    <row r="1136" spans="1:20">
      <c r="A1136" t="s">
        <v>1524</v>
      </c>
      <c r="B1136" s="15">
        <v>45992</v>
      </c>
      <c r="C1136" t="s">
        <v>23</v>
      </c>
      <c r="D1136" t="s">
        <v>24</v>
      </c>
      <c r="E1136" t="s">
        <v>55</v>
      </c>
      <c r="F1136" t="s">
        <v>53</v>
      </c>
      <c r="G1136" t="s">
        <v>11</v>
      </c>
      <c r="H1136" s="8">
        <v>200</v>
      </c>
      <c r="I1136" s="9">
        <v>124464.1</v>
      </c>
      <c r="J1136" s="9">
        <v>7495.73</v>
      </c>
      <c r="K1136" s="9">
        <v>1623.15</v>
      </c>
      <c r="L1136" s="9">
        <v>115345.22</v>
      </c>
      <c r="M1136" s="9">
        <v>116736.29</v>
      </c>
      <c r="N1136" s="6" t="str">
        <f>_xlfn.XLOOKUP(tblSales[[#This Row],[ProductID]],tblProducts[ProductID],tblProducts[ProductName],"Not Found")</f>
        <v>RespiraX</v>
      </c>
      <c r="O1136" s="8">
        <f>YEAR(tblSales[[#This Row],[Month]])</f>
        <v>2025</v>
      </c>
      <c r="P1136" s="8">
        <f>MONTH(tblSales[[#This Row],[Month]])</f>
        <v>12</v>
      </c>
      <c r="Q1136" s="6">
        <f>IFERROR(tblSales[[#This Row],[NetSalesTRY]]/tblSales[[#This Row],[Units]],0)</f>
        <v>576.72609999999997</v>
      </c>
      <c r="R1136" s="17">
        <f>IFERROR(tblSales[[#This Row],[NetSalesTRY]]/tblSales[[#This Row],[TargetTRY]],0)</f>
        <v>0.98808365419185418</v>
      </c>
      <c r="S1136" s="6">
        <f>tblSales[[#This Row],[NetSalesTRY]]-tblSales[[#This Row],[TargetTRY]]</f>
        <v>-1391.0699999999924</v>
      </c>
      <c r="T1136" s="6">
        <f>MAX(tblSales[[#This Row],[TargetTRY]]-tblSales[[#This Row],[NetSalesTRY]],0)</f>
        <v>1391.0699999999924</v>
      </c>
    </row>
    <row r="1137" spans="1:20">
      <c r="A1137" t="s">
        <v>1525</v>
      </c>
      <c r="B1137" s="15">
        <v>45992</v>
      </c>
      <c r="C1137" t="s">
        <v>23</v>
      </c>
      <c r="D1137" t="s">
        <v>24</v>
      </c>
      <c r="E1137" t="s">
        <v>55</v>
      </c>
      <c r="F1137" t="s">
        <v>53</v>
      </c>
      <c r="G1137" t="s">
        <v>14</v>
      </c>
      <c r="H1137" s="8">
        <v>108</v>
      </c>
      <c r="I1137" s="9">
        <v>118411.95</v>
      </c>
      <c r="J1137" s="9">
        <v>7347.84</v>
      </c>
      <c r="K1137" s="9">
        <v>882.14</v>
      </c>
      <c r="L1137" s="9">
        <v>110181.97</v>
      </c>
      <c r="M1137" s="9">
        <v>111197.53</v>
      </c>
      <c r="N1137" s="6" t="str">
        <f>_xlfn.XLOOKUP(tblSales[[#This Row],[ProductID]],tblProducts[ProductID],tblProducts[ProductName],"Not Found")</f>
        <v>NeuroCalm</v>
      </c>
      <c r="O1137" s="8">
        <f>YEAR(tblSales[[#This Row],[Month]])</f>
        <v>2025</v>
      </c>
      <c r="P1137" s="8">
        <f>MONTH(tblSales[[#This Row],[Month]])</f>
        <v>12</v>
      </c>
      <c r="Q1137" s="6">
        <f>IFERROR(tblSales[[#This Row],[NetSalesTRY]]/tblSales[[#This Row],[Units]],0)</f>
        <v>1020.2034259259259</v>
      </c>
      <c r="R1137" s="17">
        <f>IFERROR(tblSales[[#This Row],[NetSalesTRY]]/tblSales[[#This Row],[TargetTRY]],0)</f>
        <v>0.99086706332415841</v>
      </c>
      <c r="S1137" s="6">
        <f>tblSales[[#This Row],[NetSalesTRY]]-tblSales[[#This Row],[TargetTRY]]</f>
        <v>-1015.5599999999977</v>
      </c>
      <c r="T1137" s="6">
        <f>MAX(tblSales[[#This Row],[TargetTRY]]-tblSales[[#This Row],[NetSalesTRY]],0)</f>
        <v>1015.5599999999977</v>
      </c>
    </row>
    <row r="1138" spans="1:20">
      <c r="A1138" t="s">
        <v>1526</v>
      </c>
      <c r="B1138" s="15">
        <v>45992</v>
      </c>
      <c r="C1138" t="s">
        <v>23</v>
      </c>
      <c r="D1138" t="s">
        <v>24</v>
      </c>
      <c r="E1138" t="s">
        <v>58</v>
      </c>
      <c r="F1138" t="s">
        <v>56</v>
      </c>
      <c r="G1138" t="s">
        <v>5</v>
      </c>
      <c r="H1138" s="8">
        <v>152</v>
      </c>
      <c r="I1138" s="9">
        <v>147647.81</v>
      </c>
      <c r="J1138" s="9">
        <v>8939.6200000000008</v>
      </c>
      <c r="K1138" s="9">
        <v>1348.1</v>
      </c>
      <c r="L1138" s="9">
        <v>137360.09</v>
      </c>
      <c r="M1138" s="9">
        <v>137000.76</v>
      </c>
      <c r="N1138" s="6" t="str">
        <f>_xlfn.XLOOKUP(tblSales[[#This Row],[ProductID]],tblProducts[ProductID],tblProducts[ProductName],"Not Found")</f>
        <v>Cardiovan</v>
      </c>
      <c r="O1138" s="8">
        <f>YEAR(tblSales[[#This Row],[Month]])</f>
        <v>2025</v>
      </c>
      <c r="P1138" s="8">
        <f>MONTH(tblSales[[#This Row],[Month]])</f>
        <v>12</v>
      </c>
      <c r="Q1138" s="6">
        <f>IFERROR(tblSales[[#This Row],[NetSalesTRY]]/tblSales[[#This Row],[Units]],0)</f>
        <v>903.68480263157892</v>
      </c>
      <c r="R1138" s="17">
        <f>IFERROR(tblSales[[#This Row],[NetSalesTRY]]/tblSales[[#This Row],[TargetTRY]],0)</f>
        <v>1.0026228321653106</v>
      </c>
      <c r="S1138" s="6">
        <f>tblSales[[#This Row],[NetSalesTRY]]-tblSales[[#This Row],[TargetTRY]]</f>
        <v>359.32999999998719</v>
      </c>
      <c r="T1138" s="6">
        <f>MAX(tblSales[[#This Row],[TargetTRY]]-tblSales[[#This Row],[NetSalesTRY]],0)</f>
        <v>0</v>
      </c>
    </row>
    <row r="1139" spans="1:20">
      <c r="A1139" t="s">
        <v>1527</v>
      </c>
      <c r="B1139" s="15">
        <v>45992</v>
      </c>
      <c r="C1139" t="s">
        <v>23</v>
      </c>
      <c r="D1139" t="s">
        <v>24</v>
      </c>
      <c r="E1139" t="s">
        <v>58</v>
      </c>
      <c r="F1139" t="s">
        <v>56</v>
      </c>
      <c r="G1139" t="s">
        <v>8</v>
      </c>
      <c r="H1139" s="8">
        <v>183</v>
      </c>
      <c r="I1139" s="9">
        <v>137496.16</v>
      </c>
      <c r="J1139" s="9">
        <v>6696.98</v>
      </c>
      <c r="K1139" s="9">
        <v>1812.33</v>
      </c>
      <c r="L1139" s="9">
        <v>128986.85</v>
      </c>
      <c r="M1139" s="9">
        <v>123982.38</v>
      </c>
      <c r="N1139" s="6" t="str">
        <f>_xlfn.XLOOKUP(tblSales[[#This Row],[ProductID]],tblProducts[ProductID],tblProducts[ProductName],"Not Found")</f>
        <v>GlucoRelief</v>
      </c>
      <c r="O1139" s="8">
        <f>YEAR(tblSales[[#This Row],[Month]])</f>
        <v>2025</v>
      </c>
      <c r="P1139" s="8">
        <f>MONTH(tblSales[[#This Row],[Month]])</f>
        <v>12</v>
      </c>
      <c r="Q1139" s="6">
        <f>IFERROR(tblSales[[#This Row],[NetSalesTRY]]/tblSales[[#This Row],[Units]],0)</f>
        <v>704.846174863388</v>
      </c>
      <c r="R1139" s="17">
        <f>IFERROR(tblSales[[#This Row],[NetSalesTRY]]/tblSales[[#This Row],[TargetTRY]],0)</f>
        <v>1.0403643646782712</v>
      </c>
      <c r="S1139" s="6">
        <f>tblSales[[#This Row],[NetSalesTRY]]-tblSales[[#This Row],[TargetTRY]]</f>
        <v>5004.4700000000012</v>
      </c>
      <c r="T1139" s="6">
        <f>MAX(tblSales[[#This Row],[TargetTRY]]-tblSales[[#This Row],[NetSalesTRY]],0)</f>
        <v>0</v>
      </c>
    </row>
    <row r="1140" spans="1:20">
      <c r="A1140" t="s">
        <v>1528</v>
      </c>
      <c r="B1140" s="15">
        <v>45992</v>
      </c>
      <c r="C1140" t="s">
        <v>23</v>
      </c>
      <c r="D1140" t="s">
        <v>24</v>
      </c>
      <c r="E1140" t="s">
        <v>58</v>
      </c>
      <c r="F1140" t="s">
        <v>56</v>
      </c>
      <c r="G1140" t="s">
        <v>11</v>
      </c>
      <c r="H1140" s="8">
        <v>194</v>
      </c>
      <c r="I1140" s="9">
        <v>120612.64</v>
      </c>
      <c r="J1140" s="9">
        <v>6739.78</v>
      </c>
      <c r="K1140" s="9">
        <v>704.05</v>
      </c>
      <c r="L1140" s="9">
        <v>113168.82</v>
      </c>
      <c r="M1140" s="9">
        <v>116477.82</v>
      </c>
      <c r="N1140" s="6" t="str">
        <f>_xlfn.XLOOKUP(tblSales[[#This Row],[ProductID]],tblProducts[ProductID],tblProducts[ProductName],"Not Found")</f>
        <v>RespiraX</v>
      </c>
      <c r="O1140" s="8">
        <f>YEAR(tblSales[[#This Row],[Month]])</f>
        <v>2025</v>
      </c>
      <c r="P1140" s="8">
        <f>MONTH(tblSales[[#This Row],[Month]])</f>
        <v>12</v>
      </c>
      <c r="Q1140" s="6">
        <f>IFERROR(tblSales[[#This Row],[NetSalesTRY]]/tblSales[[#This Row],[Units]],0)</f>
        <v>583.34443298969074</v>
      </c>
      <c r="R1140" s="17">
        <f>IFERROR(tblSales[[#This Row],[NetSalesTRY]]/tblSales[[#This Row],[TargetTRY]],0)</f>
        <v>0.97159115787022798</v>
      </c>
      <c r="S1140" s="6">
        <f>tblSales[[#This Row],[NetSalesTRY]]-tblSales[[#This Row],[TargetTRY]]</f>
        <v>-3309</v>
      </c>
      <c r="T1140" s="6">
        <f>MAX(tblSales[[#This Row],[TargetTRY]]-tblSales[[#This Row],[NetSalesTRY]],0)</f>
        <v>3309</v>
      </c>
    </row>
    <row r="1141" spans="1:20">
      <c r="A1141" t="s">
        <v>1529</v>
      </c>
      <c r="B1141" s="15">
        <v>45992</v>
      </c>
      <c r="C1141" t="s">
        <v>23</v>
      </c>
      <c r="D1141" t="s">
        <v>24</v>
      </c>
      <c r="E1141" t="s">
        <v>58</v>
      </c>
      <c r="F1141" t="s">
        <v>56</v>
      </c>
      <c r="G1141" t="s">
        <v>14</v>
      </c>
      <c r="H1141" s="8">
        <v>105</v>
      </c>
      <c r="I1141" s="9">
        <v>116527.67</v>
      </c>
      <c r="J1141" s="9">
        <v>6212.77</v>
      </c>
      <c r="K1141" s="9">
        <v>1295.94</v>
      </c>
      <c r="L1141" s="9">
        <v>109018.96</v>
      </c>
      <c r="M1141" s="9">
        <v>112880.77</v>
      </c>
      <c r="N1141" s="6" t="str">
        <f>_xlfn.XLOOKUP(tblSales[[#This Row],[ProductID]],tblProducts[ProductID],tblProducts[ProductName],"Not Found")</f>
        <v>NeuroCalm</v>
      </c>
      <c r="O1141" s="8">
        <f>YEAR(tblSales[[#This Row],[Month]])</f>
        <v>2025</v>
      </c>
      <c r="P1141" s="8">
        <f>MONTH(tblSales[[#This Row],[Month]])</f>
        <v>12</v>
      </c>
      <c r="Q1141" s="6">
        <f>IFERROR(tblSales[[#This Row],[NetSalesTRY]]/tblSales[[#This Row],[Units]],0)</f>
        <v>1038.2758095238096</v>
      </c>
      <c r="R1141" s="17">
        <f>IFERROR(tblSales[[#This Row],[NetSalesTRY]]/tblSales[[#This Row],[TargetTRY]],0)</f>
        <v>0.96578859268943684</v>
      </c>
      <c r="S1141" s="6">
        <f>tblSales[[#This Row],[NetSalesTRY]]-tblSales[[#This Row],[TargetTRY]]</f>
        <v>-3861.8099999999977</v>
      </c>
      <c r="T1141" s="6">
        <f>MAX(tblSales[[#This Row],[TargetTRY]]-tblSales[[#This Row],[NetSalesTRY]],0)</f>
        <v>3861.8099999999977</v>
      </c>
    </row>
    <row r="1142" spans="1:20">
      <c r="A1142" t="s">
        <v>1530</v>
      </c>
      <c r="B1142" s="15">
        <v>45992</v>
      </c>
      <c r="C1142" t="s">
        <v>25</v>
      </c>
      <c r="D1142" t="s">
        <v>26</v>
      </c>
      <c r="E1142" t="s">
        <v>61</v>
      </c>
      <c r="F1142" t="s">
        <v>59</v>
      </c>
      <c r="G1142" t="s">
        <v>5</v>
      </c>
      <c r="H1142" s="8">
        <v>115</v>
      </c>
      <c r="I1142" s="9">
        <v>111186.53</v>
      </c>
      <c r="J1142" s="9">
        <v>4519.42</v>
      </c>
      <c r="K1142" s="9">
        <v>798.28</v>
      </c>
      <c r="L1142" s="9">
        <v>105868.84</v>
      </c>
      <c r="M1142" s="9">
        <v>109207.45</v>
      </c>
      <c r="N1142" s="6" t="str">
        <f>_xlfn.XLOOKUP(tblSales[[#This Row],[ProductID]],tblProducts[ProductID],tblProducts[ProductName],"Not Found")</f>
        <v>Cardiovan</v>
      </c>
      <c r="O1142" s="8">
        <f>YEAR(tblSales[[#This Row],[Month]])</f>
        <v>2025</v>
      </c>
      <c r="P1142" s="8">
        <f>MONTH(tblSales[[#This Row],[Month]])</f>
        <v>12</v>
      </c>
      <c r="Q1142" s="6">
        <f>IFERROR(tblSales[[#This Row],[NetSalesTRY]]/tblSales[[#This Row],[Units]],0)</f>
        <v>920.59860869565216</v>
      </c>
      <c r="R1142" s="17">
        <f>IFERROR(tblSales[[#This Row],[NetSalesTRY]]/tblSales[[#This Row],[TargetTRY]],0)</f>
        <v>0.96942873402867658</v>
      </c>
      <c r="S1142" s="6">
        <f>tblSales[[#This Row],[NetSalesTRY]]-tblSales[[#This Row],[TargetTRY]]</f>
        <v>-3338.6100000000006</v>
      </c>
      <c r="T1142" s="6">
        <f>MAX(tblSales[[#This Row],[TargetTRY]]-tblSales[[#This Row],[NetSalesTRY]],0)</f>
        <v>3338.6100000000006</v>
      </c>
    </row>
    <row r="1143" spans="1:20">
      <c r="A1143" t="s">
        <v>1531</v>
      </c>
      <c r="B1143" s="15">
        <v>45992</v>
      </c>
      <c r="C1143" t="s">
        <v>25</v>
      </c>
      <c r="D1143" t="s">
        <v>26</v>
      </c>
      <c r="E1143" t="s">
        <v>61</v>
      </c>
      <c r="F1143" t="s">
        <v>59</v>
      </c>
      <c r="G1143" t="s">
        <v>8</v>
      </c>
      <c r="H1143" s="8">
        <v>138</v>
      </c>
      <c r="I1143" s="9">
        <v>104382.22</v>
      </c>
      <c r="J1143" s="9">
        <v>5702.29</v>
      </c>
      <c r="K1143" s="9">
        <v>676.74</v>
      </c>
      <c r="L1143" s="9">
        <v>98003.19</v>
      </c>
      <c r="M1143" s="9">
        <v>99850.57</v>
      </c>
      <c r="N1143" s="6" t="str">
        <f>_xlfn.XLOOKUP(tblSales[[#This Row],[ProductID]],tblProducts[ProductID],tblProducts[ProductName],"Not Found")</f>
        <v>GlucoRelief</v>
      </c>
      <c r="O1143" s="8">
        <f>YEAR(tblSales[[#This Row],[Month]])</f>
        <v>2025</v>
      </c>
      <c r="P1143" s="8">
        <f>MONTH(tblSales[[#This Row],[Month]])</f>
        <v>12</v>
      </c>
      <c r="Q1143" s="6">
        <f>IFERROR(tblSales[[#This Row],[NetSalesTRY]]/tblSales[[#This Row],[Units]],0)</f>
        <v>710.16804347826087</v>
      </c>
      <c r="R1143" s="17">
        <f>IFERROR(tblSales[[#This Row],[NetSalesTRY]]/tblSales[[#This Row],[TargetTRY]],0)</f>
        <v>0.98149855328817848</v>
      </c>
      <c r="S1143" s="6">
        <f>tblSales[[#This Row],[NetSalesTRY]]-tblSales[[#This Row],[TargetTRY]]</f>
        <v>-1847.3800000000047</v>
      </c>
      <c r="T1143" s="6">
        <f>MAX(tblSales[[#This Row],[TargetTRY]]-tblSales[[#This Row],[NetSalesTRY]],0)</f>
        <v>1847.3800000000047</v>
      </c>
    </row>
    <row r="1144" spans="1:20">
      <c r="A1144" t="s">
        <v>1532</v>
      </c>
      <c r="B1144" s="15">
        <v>45992</v>
      </c>
      <c r="C1144" t="s">
        <v>25</v>
      </c>
      <c r="D1144" t="s">
        <v>26</v>
      </c>
      <c r="E1144" t="s">
        <v>61</v>
      </c>
      <c r="F1144" t="s">
        <v>59</v>
      </c>
      <c r="G1144" t="s">
        <v>11</v>
      </c>
      <c r="H1144" s="8">
        <v>161</v>
      </c>
      <c r="I1144" s="9">
        <v>99336.86</v>
      </c>
      <c r="J1144" s="9">
        <v>5245.95</v>
      </c>
      <c r="K1144" s="9">
        <v>561.5</v>
      </c>
      <c r="L1144" s="9">
        <v>93529.4</v>
      </c>
      <c r="M1144" s="9">
        <v>91484.05</v>
      </c>
      <c r="N1144" s="6" t="str">
        <f>_xlfn.XLOOKUP(tblSales[[#This Row],[ProductID]],tblProducts[ProductID],tblProducts[ProductName],"Not Found")</f>
        <v>RespiraX</v>
      </c>
      <c r="O1144" s="8">
        <f>YEAR(tblSales[[#This Row],[Month]])</f>
        <v>2025</v>
      </c>
      <c r="P1144" s="8">
        <f>MONTH(tblSales[[#This Row],[Month]])</f>
        <v>12</v>
      </c>
      <c r="Q1144" s="6">
        <f>IFERROR(tblSales[[#This Row],[NetSalesTRY]]/tblSales[[#This Row],[Units]],0)</f>
        <v>580.92795031055903</v>
      </c>
      <c r="R1144" s="17">
        <f>IFERROR(tblSales[[#This Row],[NetSalesTRY]]/tblSales[[#This Row],[TargetTRY]],0)</f>
        <v>1.0223574491946956</v>
      </c>
      <c r="S1144" s="6">
        <f>tblSales[[#This Row],[NetSalesTRY]]-tblSales[[#This Row],[TargetTRY]]</f>
        <v>2045.3499999999913</v>
      </c>
      <c r="T1144" s="6">
        <f>MAX(tblSales[[#This Row],[TargetTRY]]-tblSales[[#This Row],[NetSalesTRY]],0)</f>
        <v>0</v>
      </c>
    </row>
    <row r="1145" spans="1:20">
      <c r="A1145" t="s">
        <v>1533</v>
      </c>
      <c r="B1145" s="15">
        <v>45992</v>
      </c>
      <c r="C1145" t="s">
        <v>25</v>
      </c>
      <c r="D1145" t="s">
        <v>26</v>
      </c>
      <c r="E1145" t="s">
        <v>61</v>
      </c>
      <c r="F1145" t="s">
        <v>59</v>
      </c>
      <c r="G1145" t="s">
        <v>14</v>
      </c>
      <c r="H1145" s="8">
        <v>83</v>
      </c>
      <c r="I1145" s="9">
        <v>90752.3</v>
      </c>
      <c r="J1145" s="9">
        <v>6666.87</v>
      </c>
      <c r="K1145" s="9">
        <v>990.05</v>
      </c>
      <c r="L1145" s="9">
        <v>83095.38</v>
      </c>
      <c r="M1145" s="9">
        <v>88687.4</v>
      </c>
      <c r="N1145" s="6" t="str">
        <f>_xlfn.XLOOKUP(tblSales[[#This Row],[ProductID]],tblProducts[ProductID],tblProducts[ProductName],"Not Found")</f>
        <v>NeuroCalm</v>
      </c>
      <c r="O1145" s="8">
        <f>YEAR(tblSales[[#This Row],[Month]])</f>
        <v>2025</v>
      </c>
      <c r="P1145" s="8">
        <f>MONTH(tblSales[[#This Row],[Month]])</f>
        <v>12</v>
      </c>
      <c r="Q1145" s="6">
        <f>IFERROR(tblSales[[#This Row],[NetSalesTRY]]/tblSales[[#This Row],[Units]],0)</f>
        <v>1001.1491566265061</v>
      </c>
      <c r="R1145" s="17">
        <f>IFERROR(tblSales[[#This Row],[NetSalesTRY]]/tblSales[[#This Row],[TargetTRY]],0)</f>
        <v>0.93694684927058425</v>
      </c>
      <c r="S1145" s="6">
        <f>tblSales[[#This Row],[NetSalesTRY]]-tblSales[[#This Row],[TargetTRY]]</f>
        <v>-5592.0199999999895</v>
      </c>
      <c r="T1145" s="6">
        <f>MAX(tblSales[[#This Row],[TargetTRY]]-tblSales[[#This Row],[NetSalesTRY]],0)</f>
        <v>5592.0199999999895</v>
      </c>
    </row>
    <row r="1146" spans="1:20">
      <c r="A1146" t="s">
        <v>1534</v>
      </c>
      <c r="B1146" s="15">
        <v>45992</v>
      </c>
      <c r="C1146" t="s">
        <v>25</v>
      </c>
      <c r="D1146" t="s">
        <v>26</v>
      </c>
      <c r="E1146" t="s">
        <v>64</v>
      </c>
      <c r="F1146" t="s">
        <v>62</v>
      </c>
      <c r="G1146" t="s">
        <v>5</v>
      </c>
      <c r="H1146" s="8">
        <v>110</v>
      </c>
      <c r="I1146" s="9">
        <v>106388.95</v>
      </c>
      <c r="J1146" s="9">
        <v>3781.95</v>
      </c>
      <c r="K1146" s="9">
        <v>733.04</v>
      </c>
      <c r="L1146" s="9">
        <v>101873.96</v>
      </c>
      <c r="M1146" s="9">
        <v>108233.22</v>
      </c>
      <c r="N1146" s="6" t="str">
        <f>_xlfn.XLOOKUP(tblSales[[#This Row],[ProductID]],tblProducts[ProductID],tblProducts[ProductName],"Not Found")</f>
        <v>Cardiovan</v>
      </c>
      <c r="O1146" s="8">
        <f>YEAR(tblSales[[#This Row],[Month]])</f>
        <v>2025</v>
      </c>
      <c r="P1146" s="8">
        <f>MONTH(tblSales[[#This Row],[Month]])</f>
        <v>12</v>
      </c>
      <c r="Q1146" s="6">
        <f>IFERROR(tblSales[[#This Row],[NetSalesTRY]]/tblSales[[#This Row],[Units]],0)</f>
        <v>926.12690909090918</v>
      </c>
      <c r="R1146" s="17">
        <f>IFERROR(tblSales[[#This Row],[NetSalesTRY]]/tblSales[[#This Row],[TargetTRY]],0)</f>
        <v>0.94124484146364684</v>
      </c>
      <c r="S1146" s="6">
        <f>tblSales[[#This Row],[NetSalesTRY]]-tblSales[[#This Row],[TargetTRY]]</f>
        <v>-6359.2599999999948</v>
      </c>
      <c r="T1146" s="6">
        <f>MAX(tblSales[[#This Row],[TargetTRY]]-tblSales[[#This Row],[NetSalesTRY]],0)</f>
        <v>6359.2599999999948</v>
      </c>
    </row>
    <row r="1147" spans="1:20">
      <c r="A1147" t="s">
        <v>1535</v>
      </c>
      <c r="B1147" s="15">
        <v>45992</v>
      </c>
      <c r="C1147" t="s">
        <v>25</v>
      </c>
      <c r="D1147" t="s">
        <v>26</v>
      </c>
      <c r="E1147" t="s">
        <v>64</v>
      </c>
      <c r="F1147" t="s">
        <v>62</v>
      </c>
      <c r="G1147" t="s">
        <v>8</v>
      </c>
      <c r="H1147" s="8">
        <v>131</v>
      </c>
      <c r="I1147" s="9">
        <v>99049.7</v>
      </c>
      <c r="J1147" s="9">
        <v>6130.05</v>
      </c>
      <c r="K1147" s="9">
        <v>984.76</v>
      </c>
      <c r="L1147" s="9">
        <v>91934.89</v>
      </c>
      <c r="M1147" s="9">
        <v>97652.05</v>
      </c>
      <c r="N1147" s="6" t="str">
        <f>_xlfn.XLOOKUP(tblSales[[#This Row],[ProductID]],tblProducts[ProductID],tblProducts[ProductName],"Not Found")</f>
        <v>GlucoRelief</v>
      </c>
      <c r="O1147" s="8">
        <f>YEAR(tblSales[[#This Row],[Month]])</f>
        <v>2025</v>
      </c>
      <c r="P1147" s="8">
        <f>MONTH(tblSales[[#This Row],[Month]])</f>
        <v>12</v>
      </c>
      <c r="Q1147" s="6">
        <f>IFERROR(tblSales[[#This Row],[NetSalesTRY]]/tblSales[[#This Row],[Units]],0)</f>
        <v>701.79305343511453</v>
      </c>
      <c r="R1147" s="17">
        <f>IFERROR(tblSales[[#This Row],[NetSalesTRY]]/tblSales[[#This Row],[TargetTRY]],0)</f>
        <v>0.94145376364346678</v>
      </c>
      <c r="S1147" s="6">
        <f>tblSales[[#This Row],[NetSalesTRY]]-tblSales[[#This Row],[TargetTRY]]</f>
        <v>-5717.1600000000035</v>
      </c>
      <c r="T1147" s="6">
        <f>MAX(tblSales[[#This Row],[TargetTRY]]-tblSales[[#This Row],[NetSalesTRY]],0)</f>
        <v>5717.1600000000035</v>
      </c>
    </row>
    <row r="1148" spans="1:20">
      <c r="A1148" t="s">
        <v>1536</v>
      </c>
      <c r="B1148" s="15">
        <v>45992</v>
      </c>
      <c r="C1148" t="s">
        <v>25</v>
      </c>
      <c r="D1148" t="s">
        <v>26</v>
      </c>
      <c r="E1148" t="s">
        <v>64</v>
      </c>
      <c r="F1148" t="s">
        <v>62</v>
      </c>
      <c r="G1148" t="s">
        <v>11</v>
      </c>
      <c r="H1148" s="8">
        <v>145</v>
      </c>
      <c r="I1148" s="9">
        <v>89536.78</v>
      </c>
      <c r="J1148" s="9">
        <v>6304.4</v>
      </c>
      <c r="K1148" s="9">
        <v>1047.18</v>
      </c>
      <c r="L1148" s="9">
        <v>82185.2</v>
      </c>
      <c r="M1148" s="9">
        <v>91482.8</v>
      </c>
      <c r="N1148" s="6" t="str">
        <f>_xlfn.XLOOKUP(tblSales[[#This Row],[ProductID]],tblProducts[ProductID],tblProducts[ProductName],"Not Found")</f>
        <v>RespiraX</v>
      </c>
      <c r="O1148" s="8">
        <f>YEAR(tblSales[[#This Row],[Month]])</f>
        <v>2025</v>
      </c>
      <c r="P1148" s="8">
        <f>MONTH(tblSales[[#This Row],[Month]])</f>
        <v>12</v>
      </c>
      <c r="Q1148" s="6">
        <f>IFERROR(tblSales[[#This Row],[NetSalesTRY]]/tblSales[[#This Row],[Units]],0)</f>
        <v>566.79448275862069</v>
      </c>
      <c r="R1148" s="17">
        <f>IFERROR(tblSales[[#This Row],[NetSalesTRY]]/tblSales[[#This Row],[TargetTRY]],0)</f>
        <v>0.89836778061012557</v>
      </c>
      <c r="S1148" s="6">
        <f>tblSales[[#This Row],[NetSalesTRY]]-tblSales[[#This Row],[TargetTRY]]</f>
        <v>-9297.6000000000058</v>
      </c>
      <c r="T1148" s="6">
        <f>MAX(tblSales[[#This Row],[TargetTRY]]-tblSales[[#This Row],[NetSalesTRY]],0)</f>
        <v>9297.6000000000058</v>
      </c>
    </row>
    <row r="1149" spans="1:20">
      <c r="A1149" t="s">
        <v>1537</v>
      </c>
      <c r="B1149" s="15">
        <v>45992</v>
      </c>
      <c r="C1149" t="s">
        <v>25</v>
      </c>
      <c r="D1149" t="s">
        <v>26</v>
      </c>
      <c r="E1149" t="s">
        <v>64</v>
      </c>
      <c r="F1149" t="s">
        <v>62</v>
      </c>
      <c r="G1149" t="s">
        <v>14</v>
      </c>
      <c r="H1149" s="8">
        <v>90</v>
      </c>
      <c r="I1149" s="9">
        <v>98908.17</v>
      </c>
      <c r="J1149" s="9">
        <v>4600.83</v>
      </c>
      <c r="K1149" s="9">
        <v>1154.3</v>
      </c>
      <c r="L1149" s="9">
        <v>93153.04</v>
      </c>
      <c r="M1149" s="9">
        <v>88398.02</v>
      </c>
      <c r="N1149" s="6" t="str">
        <f>_xlfn.XLOOKUP(tblSales[[#This Row],[ProductID]],tblProducts[ProductID],tblProducts[ProductName],"Not Found")</f>
        <v>NeuroCalm</v>
      </c>
      <c r="O1149" s="8">
        <f>YEAR(tblSales[[#This Row],[Month]])</f>
        <v>2025</v>
      </c>
      <c r="P1149" s="8">
        <f>MONTH(tblSales[[#This Row],[Month]])</f>
        <v>12</v>
      </c>
      <c r="Q1149" s="6">
        <f>IFERROR(tblSales[[#This Row],[NetSalesTRY]]/tblSales[[#This Row],[Units]],0)</f>
        <v>1035.0337777777777</v>
      </c>
      <c r="R1149" s="17">
        <f>IFERROR(tblSales[[#This Row],[NetSalesTRY]]/tblSales[[#This Row],[TargetTRY]],0)</f>
        <v>1.0537910238260992</v>
      </c>
      <c r="S1149" s="6">
        <f>tblSales[[#This Row],[NetSalesTRY]]-tblSales[[#This Row],[TargetTRY]]</f>
        <v>4755.0199999999895</v>
      </c>
      <c r="T1149" s="6">
        <f>MAX(tblSales[[#This Row],[TargetTRY]]-tblSales[[#This Row],[NetSalesTRY]],0)</f>
        <v>0</v>
      </c>
    </row>
    <row r="1150" spans="1:20">
      <c r="A1150" t="s">
        <v>1538</v>
      </c>
      <c r="B1150" s="15">
        <v>45992</v>
      </c>
      <c r="C1150" t="s">
        <v>25</v>
      </c>
      <c r="D1150" t="s">
        <v>26</v>
      </c>
      <c r="E1150" t="s">
        <v>67</v>
      </c>
      <c r="F1150" t="s">
        <v>65</v>
      </c>
      <c r="G1150" t="s">
        <v>5</v>
      </c>
      <c r="H1150" s="8">
        <v>127</v>
      </c>
      <c r="I1150" s="9">
        <v>124777.27</v>
      </c>
      <c r="J1150" s="9">
        <v>6480.21</v>
      </c>
      <c r="K1150" s="9">
        <v>1682.9</v>
      </c>
      <c r="L1150" s="9">
        <v>116614.16</v>
      </c>
      <c r="M1150" s="9">
        <v>124207.27</v>
      </c>
      <c r="N1150" s="6" t="str">
        <f>_xlfn.XLOOKUP(tblSales[[#This Row],[ProductID]],tblProducts[ProductID],tblProducts[ProductName],"Not Found")</f>
        <v>Cardiovan</v>
      </c>
      <c r="O1150" s="8">
        <f>YEAR(tblSales[[#This Row],[Month]])</f>
        <v>2025</v>
      </c>
      <c r="P1150" s="8">
        <f>MONTH(tblSales[[#This Row],[Month]])</f>
        <v>12</v>
      </c>
      <c r="Q1150" s="6">
        <f>IFERROR(tblSales[[#This Row],[NetSalesTRY]]/tblSales[[#This Row],[Units]],0)</f>
        <v>918.22173228346458</v>
      </c>
      <c r="R1150" s="17">
        <f>IFERROR(tblSales[[#This Row],[NetSalesTRY]]/tblSales[[#This Row],[TargetTRY]],0)</f>
        <v>0.93886742700326642</v>
      </c>
      <c r="S1150" s="6">
        <f>tblSales[[#This Row],[NetSalesTRY]]-tblSales[[#This Row],[TargetTRY]]</f>
        <v>-7593.1100000000006</v>
      </c>
      <c r="T1150" s="6">
        <f>MAX(tblSales[[#This Row],[TargetTRY]]-tblSales[[#This Row],[NetSalesTRY]],0)</f>
        <v>7593.1100000000006</v>
      </c>
    </row>
    <row r="1151" spans="1:20">
      <c r="A1151" t="s">
        <v>1539</v>
      </c>
      <c r="B1151" s="15">
        <v>45992</v>
      </c>
      <c r="C1151" t="s">
        <v>25</v>
      </c>
      <c r="D1151" t="s">
        <v>26</v>
      </c>
      <c r="E1151" t="s">
        <v>67</v>
      </c>
      <c r="F1151" t="s">
        <v>65</v>
      </c>
      <c r="G1151" t="s">
        <v>8</v>
      </c>
      <c r="H1151" s="8">
        <v>157</v>
      </c>
      <c r="I1151" s="9">
        <v>119845.83</v>
      </c>
      <c r="J1151" s="9">
        <v>6116.95</v>
      </c>
      <c r="K1151" s="9">
        <v>1533.53</v>
      </c>
      <c r="L1151" s="9">
        <v>112195.35</v>
      </c>
      <c r="M1151" s="9">
        <v>111791.99</v>
      </c>
      <c r="N1151" s="6" t="str">
        <f>_xlfn.XLOOKUP(tblSales[[#This Row],[ProductID]],tblProducts[ProductID],tblProducts[ProductName],"Not Found")</f>
        <v>GlucoRelief</v>
      </c>
      <c r="O1151" s="8">
        <f>YEAR(tblSales[[#This Row],[Month]])</f>
        <v>2025</v>
      </c>
      <c r="P1151" s="8">
        <f>MONTH(tblSales[[#This Row],[Month]])</f>
        <v>12</v>
      </c>
      <c r="Q1151" s="6">
        <f>IFERROR(tblSales[[#This Row],[NetSalesTRY]]/tblSales[[#This Row],[Units]],0)</f>
        <v>714.62006369426751</v>
      </c>
      <c r="R1151" s="17">
        <f>IFERROR(tblSales[[#This Row],[NetSalesTRY]]/tblSales[[#This Row],[TargetTRY]],0)</f>
        <v>1.0036081297058939</v>
      </c>
      <c r="S1151" s="6">
        <f>tblSales[[#This Row],[NetSalesTRY]]-tblSales[[#This Row],[TargetTRY]]</f>
        <v>403.36000000000058</v>
      </c>
      <c r="T1151" s="6">
        <f>MAX(tblSales[[#This Row],[TargetTRY]]-tblSales[[#This Row],[NetSalesTRY]],0)</f>
        <v>0</v>
      </c>
    </row>
    <row r="1152" spans="1:20">
      <c r="A1152" t="s">
        <v>1540</v>
      </c>
      <c r="B1152" s="15">
        <v>45992</v>
      </c>
      <c r="C1152" t="s">
        <v>25</v>
      </c>
      <c r="D1152" t="s">
        <v>26</v>
      </c>
      <c r="E1152" t="s">
        <v>67</v>
      </c>
      <c r="F1152" t="s">
        <v>65</v>
      </c>
      <c r="G1152" t="s">
        <v>11</v>
      </c>
      <c r="H1152" s="8">
        <v>167</v>
      </c>
      <c r="I1152" s="9">
        <v>103433.51</v>
      </c>
      <c r="J1152" s="9">
        <v>7707.01</v>
      </c>
      <c r="K1152" s="9">
        <v>783.1</v>
      </c>
      <c r="L1152" s="9">
        <v>94943.4</v>
      </c>
      <c r="M1152" s="9">
        <v>105112.6</v>
      </c>
      <c r="N1152" s="6" t="str">
        <f>_xlfn.XLOOKUP(tblSales[[#This Row],[ProductID]],tblProducts[ProductID],tblProducts[ProductName],"Not Found")</f>
        <v>RespiraX</v>
      </c>
      <c r="O1152" s="8">
        <f>YEAR(tblSales[[#This Row],[Month]])</f>
        <v>2025</v>
      </c>
      <c r="P1152" s="8">
        <f>MONTH(tblSales[[#This Row],[Month]])</f>
        <v>12</v>
      </c>
      <c r="Q1152" s="6">
        <f>IFERROR(tblSales[[#This Row],[NetSalesTRY]]/tblSales[[#This Row],[Units]],0)</f>
        <v>568.52335329341315</v>
      </c>
      <c r="R1152" s="17">
        <f>IFERROR(tblSales[[#This Row],[NetSalesTRY]]/tblSales[[#This Row],[TargetTRY]],0)</f>
        <v>0.90325422451732706</v>
      </c>
      <c r="S1152" s="6">
        <f>tblSales[[#This Row],[NetSalesTRY]]-tblSales[[#This Row],[TargetTRY]]</f>
        <v>-10169.200000000012</v>
      </c>
      <c r="T1152" s="6">
        <f>MAX(tblSales[[#This Row],[TargetTRY]]-tblSales[[#This Row],[NetSalesTRY]],0)</f>
        <v>10169.200000000012</v>
      </c>
    </row>
    <row r="1153" spans="1:20">
      <c r="A1153" t="s">
        <v>1541</v>
      </c>
      <c r="B1153" s="15">
        <v>45992</v>
      </c>
      <c r="C1153" t="s">
        <v>25</v>
      </c>
      <c r="D1153" t="s">
        <v>26</v>
      </c>
      <c r="E1153" t="s">
        <v>67</v>
      </c>
      <c r="F1153" t="s">
        <v>65</v>
      </c>
      <c r="G1153" t="s">
        <v>14</v>
      </c>
      <c r="H1153" s="8">
        <v>94</v>
      </c>
      <c r="I1153" s="9">
        <v>104598.81</v>
      </c>
      <c r="J1153" s="9">
        <v>5572.36</v>
      </c>
      <c r="K1153" s="9">
        <v>1429.3</v>
      </c>
      <c r="L1153" s="9">
        <v>97597.14</v>
      </c>
      <c r="M1153" s="9">
        <v>101342.23</v>
      </c>
      <c r="N1153" s="6" t="str">
        <f>_xlfn.XLOOKUP(tblSales[[#This Row],[ProductID]],tblProducts[ProductID],tblProducts[ProductName],"Not Found")</f>
        <v>NeuroCalm</v>
      </c>
      <c r="O1153" s="8">
        <f>YEAR(tblSales[[#This Row],[Month]])</f>
        <v>2025</v>
      </c>
      <c r="P1153" s="8">
        <f>MONTH(tblSales[[#This Row],[Month]])</f>
        <v>12</v>
      </c>
      <c r="Q1153" s="6">
        <f>IFERROR(tblSales[[#This Row],[NetSalesTRY]]/tblSales[[#This Row],[Units]],0)</f>
        <v>1038.2674468085106</v>
      </c>
      <c r="R1153" s="17">
        <f>IFERROR(tblSales[[#This Row],[NetSalesTRY]]/tblSales[[#This Row],[TargetTRY]],0)</f>
        <v>0.96304511949263405</v>
      </c>
      <c r="S1153" s="6">
        <f>tblSales[[#This Row],[NetSalesTRY]]-tblSales[[#This Row],[TargetTRY]]</f>
        <v>-3745.0899999999965</v>
      </c>
      <c r="T1153" s="6">
        <f>MAX(tblSales[[#This Row],[TargetTRY]]-tblSales[[#This Row],[NetSalesTRY]],0)</f>
        <v>3745.0899999999965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5"/>
  <sheetViews>
    <sheetView workbookViewId="0">
      <selection activeCell="D35" sqref="D35"/>
    </sheetView>
  </sheetViews>
  <sheetFormatPr defaultRowHeight="13.8"/>
  <cols>
    <col min="1" max="1" width="11" customWidth="1"/>
    <col min="2" max="2" width="13" style="16" customWidth="1"/>
    <col min="3" max="3" width="11" customWidth="1"/>
    <col min="4" max="4" width="20" customWidth="1"/>
    <col min="5" max="5" width="11" customWidth="1"/>
    <col min="6" max="7" width="21" style="6" customWidth="1"/>
  </cols>
  <sheetData>
    <row r="1" spans="1:7">
      <c r="A1" s="1" t="s">
        <v>1542</v>
      </c>
      <c r="B1" s="14" t="s">
        <v>383</v>
      </c>
      <c r="C1" s="1" t="s">
        <v>17</v>
      </c>
      <c r="D1" s="1" t="s">
        <v>18</v>
      </c>
      <c r="E1" s="1" t="s">
        <v>1</v>
      </c>
      <c r="F1" s="5" t="s">
        <v>1543</v>
      </c>
      <c r="G1" s="5" t="s">
        <v>1544</v>
      </c>
    </row>
    <row r="2" spans="1:7">
      <c r="A2" t="s">
        <v>1545</v>
      </c>
      <c r="B2" s="15">
        <v>45292</v>
      </c>
      <c r="C2" t="s">
        <v>19</v>
      </c>
      <c r="D2" t="s">
        <v>20</v>
      </c>
      <c r="E2" t="s">
        <v>5</v>
      </c>
      <c r="F2" s="9">
        <v>2952788.93</v>
      </c>
      <c r="G2" s="9">
        <v>527624.93999999994</v>
      </c>
    </row>
    <row r="3" spans="1:7">
      <c r="A3" t="s">
        <v>1546</v>
      </c>
      <c r="B3" s="15">
        <v>45292</v>
      </c>
      <c r="C3" t="s">
        <v>19</v>
      </c>
      <c r="D3" t="s">
        <v>20</v>
      </c>
      <c r="E3" t="s">
        <v>8</v>
      </c>
      <c r="F3" s="9">
        <v>3142538.63</v>
      </c>
      <c r="G3" s="9">
        <v>616074.42000000004</v>
      </c>
    </row>
    <row r="4" spans="1:7">
      <c r="A4" t="s">
        <v>1547</v>
      </c>
      <c r="B4" s="15">
        <v>45292</v>
      </c>
      <c r="C4" t="s">
        <v>19</v>
      </c>
      <c r="D4" t="s">
        <v>20</v>
      </c>
      <c r="E4" t="s">
        <v>11</v>
      </c>
      <c r="F4" s="9">
        <v>3671840.7</v>
      </c>
      <c r="G4" s="9">
        <v>583533.48</v>
      </c>
    </row>
    <row r="5" spans="1:7">
      <c r="A5" t="s">
        <v>1548</v>
      </c>
      <c r="B5" s="15">
        <v>45292</v>
      </c>
      <c r="C5" t="s">
        <v>19</v>
      </c>
      <c r="D5" t="s">
        <v>20</v>
      </c>
      <c r="E5" t="s">
        <v>14</v>
      </c>
      <c r="F5" s="9">
        <v>4087730.83</v>
      </c>
      <c r="G5" s="9">
        <v>703317.55</v>
      </c>
    </row>
    <row r="6" spans="1:7">
      <c r="A6" t="s">
        <v>1549</v>
      </c>
      <c r="B6" s="15">
        <v>45292</v>
      </c>
      <c r="C6" t="s">
        <v>21</v>
      </c>
      <c r="D6" t="s">
        <v>22</v>
      </c>
      <c r="E6" t="s">
        <v>5</v>
      </c>
      <c r="F6" s="9">
        <v>2160258.35</v>
      </c>
      <c r="G6" s="9">
        <v>387730.88</v>
      </c>
    </row>
    <row r="7" spans="1:7">
      <c r="A7" t="s">
        <v>1550</v>
      </c>
      <c r="B7" s="15">
        <v>45292</v>
      </c>
      <c r="C7" t="s">
        <v>21</v>
      </c>
      <c r="D7" t="s">
        <v>22</v>
      </c>
      <c r="E7" t="s">
        <v>8</v>
      </c>
      <c r="F7" s="9">
        <v>2382692.92</v>
      </c>
      <c r="G7" s="9">
        <v>474365.65</v>
      </c>
    </row>
    <row r="8" spans="1:7">
      <c r="A8" t="s">
        <v>1551</v>
      </c>
      <c r="B8" s="15">
        <v>45292</v>
      </c>
      <c r="C8" t="s">
        <v>21</v>
      </c>
      <c r="D8" t="s">
        <v>22</v>
      </c>
      <c r="E8" t="s">
        <v>11</v>
      </c>
      <c r="F8" s="9">
        <v>2690120.31</v>
      </c>
      <c r="G8" s="9">
        <v>432565.81</v>
      </c>
    </row>
    <row r="9" spans="1:7">
      <c r="A9" t="s">
        <v>1552</v>
      </c>
      <c r="B9" s="15">
        <v>45292</v>
      </c>
      <c r="C9" t="s">
        <v>21</v>
      </c>
      <c r="D9" t="s">
        <v>22</v>
      </c>
      <c r="E9" t="s">
        <v>14</v>
      </c>
      <c r="F9" s="9">
        <v>3006244.15</v>
      </c>
      <c r="G9" s="9">
        <v>511411.64</v>
      </c>
    </row>
    <row r="10" spans="1:7">
      <c r="A10" t="s">
        <v>1553</v>
      </c>
      <c r="B10" s="15">
        <v>45292</v>
      </c>
      <c r="C10" t="s">
        <v>23</v>
      </c>
      <c r="D10" t="s">
        <v>24</v>
      </c>
      <c r="E10" t="s">
        <v>5</v>
      </c>
      <c r="F10" s="9">
        <v>2341010.9300000002</v>
      </c>
      <c r="G10" s="9">
        <v>421381.75</v>
      </c>
    </row>
    <row r="11" spans="1:7">
      <c r="A11" t="s">
        <v>1554</v>
      </c>
      <c r="B11" s="15">
        <v>45292</v>
      </c>
      <c r="C11" t="s">
        <v>23</v>
      </c>
      <c r="D11" t="s">
        <v>24</v>
      </c>
      <c r="E11" t="s">
        <v>8</v>
      </c>
      <c r="F11" s="9">
        <v>2591533.4700000002</v>
      </c>
      <c r="G11" s="9">
        <v>514404.88</v>
      </c>
    </row>
    <row r="12" spans="1:7">
      <c r="A12" t="s">
        <v>1555</v>
      </c>
      <c r="B12" s="15">
        <v>45292</v>
      </c>
      <c r="C12" t="s">
        <v>23</v>
      </c>
      <c r="D12" t="s">
        <v>24</v>
      </c>
      <c r="E12" t="s">
        <v>11</v>
      </c>
      <c r="F12" s="9">
        <v>2880817.13</v>
      </c>
      <c r="G12" s="9">
        <v>457672.81</v>
      </c>
    </row>
    <row r="13" spans="1:7">
      <c r="A13" t="s">
        <v>1556</v>
      </c>
      <c r="B13" s="15">
        <v>45292</v>
      </c>
      <c r="C13" t="s">
        <v>23</v>
      </c>
      <c r="D13" t="s">
        <v>24</v>
      </c>
      <c r="E13" t="s">
        <v>14</v>
      </c>
      <c r="F13" s="9">
        <v>2982076.18</v>
      </c>
      <c r="G13" s="9">
        <v>523312.11</v>
      </c>
    </row>
    <row r="14" spans="1:7">
      <c r="A14" t="s">
        <v>1557</v>
      </c>
      <c r="B14" s="15">
        <v>45292</v>
      </c>
      <c r="C14" t="s">
        <v>25</v>
      </c>
      <c r="D14" t="s">
        <v>26</v>
      </c>
      <c r="E14" t="s">
        <v>5</v>
      </c>
      <c r="F14" s="9">
        <v>1946570.96</v>
      </c>
      <c r="G14" s="9">
        <v>357359.16</v>
      </c>
    </row>
    <row r="15" spans="1:7">
      <c r="A15" t="s">
        <v>1558</v>
      </c>
      <c r="B15" s="15">
        <v>45292</v>
      </c>
      <c r="C15" t="s">
        <v>25</v>
      </c>
      <c r="D15" t="s">
        <v>26</v>
      </c>
      <c r="E15" t="s">
        <v>8</v>
      </c>
      <c r="F15" s="9">
        <v>2032562.48</v>
      </c>
      <c r="G15" s="9">
        <v>407304.38</v>
      </c>
    </row>
    <row r="16" spans="1:7">
      <c r="A16" t="s">
        <v>1559</v>
      </c>
      <c r="B16" s="15">
        <v>45292</v>
      </c>
      <c r="C16" t="s">
        <v>25</v>
      </c>
      <c r="D16" t="s">
        <v>26</v>
      </c>
      <c r="E16" t="s">
        <v>11</v>
      </c>
      <c r="F16" s="9">
        <v>2437695.7200000002</v>
      </c>
      <c r="G16" s="9">
        <v>400053.73</v>
      </c>
    </row>
    <row r="17" spans="1:7">
      <c r="A17" t="s">
        <v>1560</v>
      </c>
      <c r="B17" s="15">
        <v>45292</v>
      </c>
      <c r="C17" t="s">
        <v>25</v>
      </c>
      <c r="D17" t="s">
        <v>26</v>
      </c>
      <c r="E17" t="s">
        <v>14</v>
      </c>
      <c r="F17" s="9">
        <v>2572588.5</v>
      </c>
      <c r="G17" s="9">
        <v>429007.77</v>
      </c>
    </row>
    <row r="18" spans="1:7">
      <c r="A18" t="s">
        <v>1561</v>
      </c>
      <c r="B18" s="15">
        <v>45323</v>
      </c>
      <c r="C18" t="s">
        <v>19</v>
      </c>
      <c r="D18" t="s">
        <v>20</v>
      </c>
      <c r="E18" t="s">
        <v>5</v>
      </c>
      <c r="F18" s="9">
        <v>2860456.48</v>
      </c>
      <c r="G18" s="9">
        <v>512966.82</v>
      </c>
    </row>
    <row r="19" spans="1:7">
      <c r="A19" t="s">
        <v>1562</v>
      </c>
      <c r="B19" s="15">
        <v>45323</v>
      </c>
      <c r="C19" t="s">
        <v>19</v>
      </c>
      <c r="D19" t="s">
        <v>20</v>
      </c>
      <c r="E19" t="s">
        <v>8</v>
      </c>
      <c r="F19" s="9">
        <v>3378133.59</v>
      </c>
      <c r="G19" s="9">
        <v>670816.43000000005</v>
      </c>
    </row>
    <row r="20" spans="1:7">
      <c r="A20" t="s">
        <v>1563</v>
      </c>
      <c r="B20" s="15">
        <v>45323</v>
      </c>
      <c r="C20" t="s">
        <v>19</v>
      </c>
      <c r="D20" t="s">
        <v>20</v>
      </c>
      <c r="E20" t="s">
        <v>11</v>
      </c>
      <c r="F20" s="9">
        <v>3712318</v>
      </c>
      <c r="G20" s="9">
        <v>578721.81999999995</v>
      </c>
    </row>
    <row r="21" spans="1:7">
      <c r="A21" t="s">
        <v>1564</v>
      </c>
      <c r="B21" s="15">
        <v>45323</v>
      </c>
      <c r="C21" t="s">
        <v>19</v>
      </c>
      <c r="D21" t="s">
        <v>20</v>
      </c>
      <c r="E21" t="s">
        <v>14</v>
      </c>
      <c r="F21" s="9">
        <v>4136749.9</v>
      </c>
      <c r="G21" s="9">
        <v>681206.13</v>
      </c>
    </row>
    <row r="22" spans="1:7">
      <c r="A22" t="s">
        <v>1565</v>
      </c>
      <c r="B22" s="15">
        <v>45323</v>
      </c>
      <c r="C22" t="s">
        <v>21</v>
      </c>
      <c r="D22" t="s">
        <v>22</v>
      </c>
      <c r="E22" t="s">
        <v>5</v>
      </c>
      <c r="F22" s="9">
        <v>2176294.4900000002</v>
      </c>
      <c r="G22" s="9">
        <v>406910.54</v>
      </c>
    </row>
    <row r="23" spans="1:7">
      <c r="A23" t="s">
        <v>1566</v>
      </c>
      <c r="B23" s="15">
        <v>45323</v>
      </c>
      <c r="C23" t="s">
        <v>21</v>
      </c>
      <c r="D23" t="s">
        <v>22</v>
      </c>
      <c r="E23" t="s">
        <v>8</v>
      </c>
      <c r="F23" s="9">
        <v>2450450.9700000002</v>
      </c>
      <c r="G23" s="9">
        <v>507347.53</v>
      </c>
    </row>
    <row r="24" spans="1:7">
      <c r="A24" t="s">
        <v>1567</v>
      </c>
      <c r="B24" s="15">
        <v>45323</v>
      </c>
      <c r="C24" t="s">
        <v>21</v>
      </c>
      <c r="D24" t="s">
        <v>22</v>
      </c>
      <c r="E24" t="s">
        <v>11</v>
      </c>
      <c r="F24" s="9">
        <v>2765740.48</v>
      </c>
      <c r="G24" s="9">
        <v>450940</v>
      </c>
    </row>
    <row r="25" spans="1:7">
      <c r="A25" t="s">
        <v>1568</v>
      </c>
      <c r="B25" s="15">
        <v>45323</v>
      </c>
      <c r="C25" t="s">
        <v>21</v>
      </c>
      <c r="D25" t="s">
        <v>22</v>
      </c>
      <c r="E25" t="s">
        <v>14</v>
      </c>
      <c r="F25" s="9">
        <v>3078727.31</v>
      </c>
      <c r="G25" s="9">
        <v>530498.37</v>
      </c>
    </row>
    <row r="26" spans="1:7">
      <c r="A26" t="s">
        <v>1569</v>
      </c>
      <c r="B26" s="15">
        <v>45323</v>
      </c>
      <c r="C26" t="s">
        <v>23</v>
      </c>
      <c r="D26" t="s">
        <v>24</v>
      </c>
      <c r="E26" t="s">
        <v>5</v>
      </c>
      <c r="F26" s="9">
        <v>2364500.7000000002</v>
      </c>
      <c r="G26" s="9">
        <v>442386.31</v>
      </c>
    </row>
    <row r="27" spans="1:7">
      <c r="A27" t="s">
        <v>1570</v>
      </c>
      <c r="B27" s="15">
        <v>45323</v>
      </c>
      <c r="C27" t="s">
        <v>23</v>
      </c>
      <c r="D27" t="s">
        <v>24</v>
      </c>
      <c r="E27" t="s">
        <v>8</v>
      </c>
      <c r="F27" s="9">
        <v>2618232.79</v>
      </c>
      <c r="G27" s="9">
        <v>528436.25</v>
      </c>
    </row>
    <row r="28" spans="1:7">
      <c r="A28" t="s">
        <v>1571</v>
      </c>
      <c r="B28" s="15">
        <v>45323</v>
      </c>
      <c r="C28" t="s">
        <v>23</v>
      </c>
      <c r="D28" t="s">
        <v>24</v>
      </c>
      <c r="E28" t="s">
        <v>11</v>
      </c>
      <c r="F28" s="9">
        <v>2992192.53</v>
      </c>
      <c r="G28" s="9">
        <v>463964.46</v>
      </c>
    </row>
    <row r="29" spans="1:7">
      <c r="A29" t="s">
        <v>1572</v>
      </c>
      <c r="B29" s="15">
        <v>45323</v>
      </c>
      <c r="C29" t="s">
        <v>23</v>
      </c>
      <c r="D29" t="s">
        <v>24</v>
      </c>
      <c r="E29" t="s">
        <v>14</v>
      </c>
      <c r="F29" s="9">
        <v>3096914.22</v>
      </c>
      <c r="G29" s="9">
        <v>524903.17000000004</v>
      </c>
    </row>
    <row r="30" spans="1:7">
      <c r="A30" t="s">
        <v>1573</v>
      </c>
      <c r="B30" s="15">
        <v>45323</v>
      </c>
      <c r="C30" t="s">
        <v>25</v>
      </c>
      <c r="D30" t="s">
        <v>26</v>
      </c>
      <c r="E30" t="s">
        <v>5</v>
      </c>
      <c r="F30" s="9">
        <v>1918041.79</v>
      </c>
      <c r="G30" s="9">
        <v>350468.95</v>
      </c>
    </row>
    <row r="31" spans="1:7">
      <c r="A31" t="s">
        <v>1574</v>
      </c>
      <c r="B31" s="15">
        <v>45323</v>
      </c>
      <c r="C31" t="s">
        <v>25</v>
      </c>
      <c r="D31" t="s">
        <v>26</v>
      </c>
      <c r="E31" t="s">
        <v>8</v>
      </c>
      <c r="F31" s="9">
        <v>2143966.4700000002</v>
      </c>
      <c r="G31" s="9">
        <v>444592.97</v>
      </c>
    </row>
    <row r="32" spans="1:7">
      <c r="A32" t="s">
        <v>1575</v>
      </c>
      <c r="B32" s="15">
        <v>45323</v>
      </c>
      <c r="C32" t="s">
        <v>25</v>
      </c>
      <c r="D32" t="s">
        <v>26</v>
      </c>
      <c r="E32" t="s">
        <v>11</v>
      </c>
      <c r="F32" s="9">
        <v>2550257.2000000002</v>
      </c>
      <c r="G32" s="9">
        <v>408993.31</v>
      </c>
    </row>
    <row r="33" spans="1:7">
      <c r="A33" t="s">
        <v>1576</v>
      </c>
      <c r="B33" s="15">
        <v>45323</v>
      </c>
      <c r="C33" t="s">
        <v>25</v>
      </c>
      <c r="D33" t="s">
        <v>26</v>
      </c>
      <c r="E33" t="s">
        <v>14</v>
      </c>
      <c r="F33" s="9">
        <v>2708562.24</v>
      </c>
      <c r="G33" s="9">
        <v>464349.16</v>
      </c>
    </row>
    <row r="34" spans="1:7">
      <c r="A34" t="s">
        <v>1577</v>
      </c>
      <c r="B34" s="15">
        <v>45352</v>
      </c>
      <c r="C34" t="s">
        <v>19</v>
      </c>
      <c r="D34" t="s">
        <v>20</v>
      </c>
      <c r="E34" t="s">
        <v>5</v>
      </c>
      <c r="F34" s="9">
        <v>3067913.11</v>
      </c>
      <c r="G34" s="9">
        <v>538464.84</v>
      </c>
    </row>
    <row r="35" spans="1:7">
      <c r="A35" t="s">
        <v>1578</v>
      </c>
      <c r="B35" s="15">
        <v>45352</v>
      </c>
      <c r="C35" t="s">
        <v>19</v>
      </c>
      <c r="D35" t="s">
        <v>20</v>
      </c>
      <c r="E35" t="s">
        <v>8</v>
      </c>
      <c r="F35" s="9">
        <v>3492814.44</v>
      </c>
      <c r="G35" s="9">
        <v>722851.23</v>
      </c>
    </row>
    <row r="36" spans="1:7">
      <c r="A36" t="s">
        <v>1579</v>
      </c>
      <c r="B36" s="15">
        <v>45352</v>
      </c>
      <c r="C36" t="s">
        <v>19</v>
      </c>
      <c r="D36" t="s">
        <v>20</v>
      </c>
      <c r="E36" t="s">
        <v>11</v>
      </c>
      <c r="F36" s="9">
        <v>4011771.98</v>
      </c>
      <c r="G36" s="9">
        <v>647303.19999999995</v>
      </c>
    </row>
    <row r="37" spans="1:7">
      <c r="A37" t="s">
        <v>1580</v>
      </c>
      <c r="B37" s="15">
        <v>45352</v>
      </c>
      <c r="C37" t="s">
        <v>19</v>
      </c>
      <c r="D37" t="s">
        <v>20</v>
      </c>
      <c r="E37" t="s">
        <v>14</v>
      </c>
      <c r="F37" s="9">
        <v>4498637.4800000004</v>
      </c>
      <c r="G37" s="9">
        <v>747773.23</v>
      </c>
    </row>
    <row r="38" spans="1:7">
      <c r="A38" t="s">
        <v>1581</v>
      </c>
      <c r="B38" s="15">
        <v>45352</v>
      </c>
      <c r="C38" t="s">
        <v>21</v>
      </c>
      <c r="D38" t="s">
        <v>22</v>
      </c>
      <c r="E38" t="s">
        <v>5</v>
      </c>
      <c r="F38" s="9">
        <v>2396833.71</v>
      </c>
      <c r="G38" s="9">
        <v>422607.48</v>
      </c>
    </row>
    <row r="39" spans="1:7">
      <c r="A39" t="s">
        <v>1582</v>
      </c>
      <c r="B39" s="15">
        <v>45352</v>
      </c>
      <c r="C39" t="s">
        <v>21</v>
      </c>
      <c r="D39" t="s">
        <v>22</v>
      </c>
      <c r="E39" t="s">
        <v>8</v>
      </c>
      <c r="F39" s="9">
        <v>2569072.6</v>
      </c>
      <c r="G39" s="9">
        <v>506982.51</v>
      </c>
    </row>
    <row r="40" spans="1:7">
      <c r="A40" t="s">
        <v>1583</v>
      </c>
      <c r="B40" s="15">
        <v>45352</v>
      </c>
      <c r="C40" t="s">
        <v>21</v>
      </c>
      <c r="D40" t="s">
        <v>22</v>
      </c>
      <c r="E40" t="s">
        <v>11</v>
      </c>
      <c r="F40" s="9">
        <v>2870019.18</v>
      </c>
      <c r="G40" s="9">
        <v>460902.82</v>
      </c>
    </row>
    <row r="41" spans="1:7">
      <c r="A41" t="s">
        <v>1584</v>
      </c>
      <c r="B41" s="15">
        <v>45352</v>
      </c>
      <c r="C41" t="s">
        <v>21</v>
      </c>
      <c r="D41" t="s">
        <v>22</v>
      </c>
      <c r="E41" t="s">
        <v>14</v>
      </c>
      <c r="F41" s="9">
        <v>3271028.21</v>
      </c>
      <c r="G41" s="9">
        <v>549276.03</v>
      </c>
    </row>
    <row r="42" spans="1:7">
      <c r="A42" t="s">
        <v>1585</v>
      </c>
      <c r="B42" s="15">
        <v>45352</v>
      </c>
      <c r="C42" t="s">
        <v>23</v>
      </c>
      <c r="D42" t="s">
        <v>24</v>
      </c>
      <c r="E42" t="s">
        <v>5</v>
      </c>
      <c r="F42" s="9">
        <v>2500373.54</v>
      </c>
      <c r="G42" s="9">
        <v>456902.73</v>
      </c>
    </row>
    <row r="43" spans="1:7">
      <c r="A43" t="s">
        <v>1586</v>
      </c>
      <c r="B43" s="15">
        <v>45352</v>
      </c>
      <c r="C43" t="s">
        <v>23</v>
      </c>
      <c r="D43" t="s">
        <v>24</v>
      </c>
      <c r="E43" t="s">
        <v>8</v>
      </c>
      <c r="F43" s="9">
        <v>2762336.41</v>
      </c>
      <c r="G43" s="9">
        <v>536876.1</v>
      </c>
    </row>
    <row r="44" spans="1:7">
      <c r="A44" t="s">
        <v>1587</v>
      </c>
      <c r="B44" s="15">
        <v>45352</v>
      </c>
      <c r="C44" t="s">
        <v>23</v>
      </c>
      <c r="D44" t="s">
        <v>24</v>
      </c>
      <c r="E44" t="s">
        <v>11</v>
      </c>
      <c r="F44" s="9">
        <v>3144282.18</v>
      </c>
      <c r="G44" s="9">
        <v>516690.97</v>
      </c>
    </row>
    <row r="45" spans="1:7">
      <c r="A45" t="s">
        <v>1588</v>
      </c>
      <c r="B45" s="15">
        <v>45352</v>
      </c>
      <c r="C45" t="s">
        <v>23</v>
      </c>
      <c r="D45" t="s">
        <v>24</v>
      </c>
      <c r="E45" t="s">
        <v>14</v>
      </c>
      <c r="F45" s="9">
        <v>3253318.13</v>
      </c>
      <c r="G45" s="9">
        <v>544180.93999999994</v>
      </c>
    </row>
    <row r="46" spans="1:7">
      <c r="A46" t="s">
        <v>1589</v>
      </c>
      <c r="B46" s="15">
        <v>45352</v>
      </c>
      <c r="C46" t="s">
        <v>25</v>
      </c>
      <c r="D46" t="s">
        <v>26</v>
      </c>
      <c r="E46" t="s">
        <v>5</v>
      </c>
      <c r="F46" s="9">
        <v>2034029.42</v>
      </c>
      <c r="G46" s="9">
        <v>357165.8</v>
      </c>
    </row>
    <row r="47" spans="1:7">
      <c r="A47" t="s">
        <v>1590</v>
      </c>
      <c r="B47" s="15">
        <v>45352</v>
      </c>
      <c r="C47" t="s">
        <v>25</v>
      </c>
      <c r="D47" t="s">
        <v>26</v>
      </c>
      <c r="E47" t="s">
        <v>8</v>
      </c>
      <c r="F47" s="9">
        <v>2163695.5499999998</v>
      </c>
      <c r="G47" s="9">
        <v>420231.28</v>
      </c>
    </row>
    <row r="48" spans="1:7">
      <c r="A48" t="s">
        <v>1591</v>
      </c>
      <c r="B48" s="15">
        <v>45352</v>
      </c>
      <c r="C48" t="s">
        <v>25</v>
      </c>
      <c r="D48" t="s">
        <v>26</v>
      </c>
      <c r="E48" t="s">
        <v>11</v>
      </c>
      <c r="F48" s="9">
        <v>2540215.98</v>
      </c>
      <c r="G48" s="9">
        <v>390603.5</v>
      </c>
    </row>
    <row r="49" spans="1:7">
      <c r="A49" t="s">
        <v>1592</v>
      </c>
      <c r="B49" s="15">
        <v>45352</v>
      </c>
      <c r="C49" t="s">
        <v>25</v>
      </c>
      <c r="D49" t="s">
        <v>26</v>
      </c>
      <c r="E49" t="s">
        <v>14</v>
      </c>
      <c r="F49" s="9">
        <v>2812065.02</v>
      </c>
      <c r="G49" s="9">
        <v>461341.31</v>
      </c>
    </row>
    <row r="50" spans="1:7">
      <c r="A50" t="s">
        <v>1593</v>
      </c>
      <c r="B50" s="15">
        <v>45383</v>
      </c>
      <c r="C50" t="s">
        <v>19</v>
      </c>
      <c r="D50" t="s">
        <v>20</v>
      </c>
      <c r="E50" t="s">
        <v>5</v>
      </c>
      <c r="F50" s="9">
        <v>3322029.53</v>
      </c>
      <c r="G50" s="9">
        <v>605580.39</v>
      </c>
    </row>
    <row r="51" spans="1:7">
      <c r="A51" t="s">
        <v>1594</v>
      </c>
      <c r="B51" s="15">
        <v>45383</v>
      </c>
      <c r="C51" t="s">
        <v>19</v>
      </c>
      <c r="D51" t="s">
        <v>20</v>
      </c>
      <c r="E51" t="s">
        <v>8</v>
      </c>
      <c r="F51" s="9">
        <v>3565040.47</v>
      </c>
      <c r="G51" s="9">
        <v>736700.18</v>
      </c>
    </row>
    <row r="52" spans="1:7">
      <c r="A52" t="s">
        <v>1595</v>
      </c>
      <c r="B52" s="15">
        <v>45383</v>
      </c>
      <c r="C52" t="s">
        <v>19</v>
      </c>
      <c r="D52" t="s">
        <v>20</v>
      </c>
      <c r="E52" t="s">
        <v>11</v>
      </c>
      <c r="F52" s="9">
        <v>4108870.78</v>
      </c>
      <c r="G52" s="9">
        <v>638283.31999999995</v>
      </c>
    </row>
    <row r="53" spans="1:7">
      <c r="A53" t="s">
        <v>1596</v>
      </c>
      <c r="B53" s="15">
        <v>45383</v>
      </c>
      <c r="C53" t="s">
        <v>19</v>
      </c>
      <c r="D53" t="s">
        <v>20</v>
      </c>
      <c r="E53" t="s">
        <v>14</v>
      </c>
      <c r="F53" s="9">
        <v>4482347.67</v>
      </c>
      <c r="G53" s="9">
        <v>790457.12</v>
      </c>
    </row>
    <row r="54" spans="1:7">
      <c r="A54" t="s">
        <v>1597</v>
      </c>
      <c r="B54" s="15">
        <v>45383</v>
      </c>
      <c r="C54" t="s">
        <v>21</v>
      </c>
      <c r="D54" t="s">
        <v>22</v>
      </c>
      <c r="E54" t="s">
        <v>5</v>
      </c>
      <c r="F54" s="9">
        <v>2443444.84</v>
      </c>
      <c r="G54" s="9">
        <v>442097.21</v>
      </c>
    </row>
    <row r="55" spans="1:7">
      <c r="A55" t="s">
        <v>1598</v>
      </c>
      <c r="B55" s="15">
        <v>45383</v>
      </c>
      <c r="C55" t="s">
        <v>21</v>
      </c>
      <c r="D55" t="s">
        <v>22</v>
      </c>
      <c r="E55" t="s">
        <v>8</v>
      </c>
      <c r="F55" s="9">
        <v>2593313.2999999998</v>
      </c>
      <c r="G55" s="9">
        <v>533209.73</v>
      </c>
    </row>
    <row r="56" spans="1:7">
      <c r="A56" t="s">
        <v>1599</v>
      </c>
      <c r="B56" s="15">
        <v>45383</v>
      </c>
      <c r="C56" t="s">
        <v>21</v>
      </c>
      <c r="D56" t="s">
        <v>22</v>
      </c>
      <c r="E56" t="s">
        <v>11</v>
      </c>
      <c r="F56" s="9">
        <v>3023717.18</v>
      </c>
      <c r="G56" s="9">
        <v>486089.57</v>
      </c>
    </row>
    <row r="57" spans="1:7">
      <c r="A57" t="s">
        <v>1600</v>
      </c>
      <c r="B57" s="15">
        <v>45383</v>
      </c>
      <c r="C57" t="s">
        <v>21</v>
      </c>
      <c r="D57" t="s">
        <v>22</v>
      </c>
      <c r="E57" t="s">
        <v>14</v>
      </c>
      <c r="F57" s="9">
        <v>3300676.14</v>
      </c>
      <c r="G57" s="9">
        <v>544575.34</v>
      </c>
    </row>
    <row r="58" spans="1:7">
      <c r="A58" t="s">
        <v>1601</v>
      </c>
      <c r="B58" s="15">
        <v>45383</v>
      </c>
      <c r="C58" t="s">
        <v>23</v>
      </c>
      <c r="D58" t="s">
        <v>24</v>
      </c>
      <c r="E58" t="s">
        <v>5</v>
      </c>
      <c r="F58" s="9">
        <v>2526180.15</v>
      </c>
      <c r="G58" s="9">
        <v>440636.4</v>
      </c>
    </row>
    <row r="59" spans="1:7">
      <c r="A59" t="s">
        <v>1602</v>
      </c>
      <c r="B59" s="15">
        <v>45383</v>
      </c>
      <c r="C59" t="s">
        <v>23</v>
      </c>
      <c r="D59" t="s">
        <v>24</v>
      </c>
      <c r="E59" t="s">
        <v>8</v>
      </c>
      <c r="F59" s="9">
        <v>2798528.87</v>
      </c>
      <c r="G59" s="9">
        <v>575941.16</v>
      </c>
    </row>
    <row r="60" spans="1:7">
      <c r="A60" t="s">
        <v>1603</v>
      </c>
      <c r="B60" s="15">
        <v>45383</v>
      </c>
      <c r="C60" t="s">
        <v>23</v>
      </c>
      <c r="D60" t="s">
        <v>24</v>
      </c>
      <c r="E60" t="s">
        <v>11</v>
      </c>
      <c r="F60" s="9">
        <v>3179215.33</v>
      </c>
      <c r="G60" s="9">
        <v>492993.24</v>
      </c>
    </row>
    <row r="61" spans="1:7">
      <c r="A61" t="s">
        <v>1604</v>
      </c>
      <c r="B61" s="15">
        <v>45383</v>
      </c>
      <c r="C61" t="s">
        <v>23</v>
      </c>
      <c r="D61" t="s">
        <v>24</v>
      </c>
      <c r="E61" t="s">
        <v>14</v>
      </c>
      <c r="F61" s="9">
        <v>3532948.42</v>
      </c>
      <c r="G61" s="9">
        <v>596808.69999999995</v>
      </c>
    </row>
    <row r="62" spans="1:7">
      <c r="A62" t="s">
        <v>1605</v>
      </c>
      <c r="B62" s="15">
        <v>45383</v>
      </c>
      <c r="C62" t="s">
        <v>25</v>
      </c>
      <c r="D62" t="s">
        <v>26</v>
      </c>
      <c r="E62" t="s">
        <v>5</v>
      </c>
      <c r="F62" s="9">
        <v>2159392.19</v>
      </c>
      <c r="G62" s="9">
        <v>384491.74</v>
      </c>
    </row>
    <row r="63" spans="1:7">
      <c r="A63" t="s">
        <v>1606</v>
      </c>
      <c r="B63" s="15">
        <v>45383</v>
      </c>
      <c r="C63" t="s">
        <v>25</v>
      </c>
      <c r="D63" t="s">
        <v>26</v>
      </c>
      <c r="E63" t="s">
        <v>8</v>
      </c>
      <c r="F63" s="9">
        <v>2236980.7799999998</v>
      </c>
      <c r="G63" s="9">
        <v>444384.96</v>
      </c>
    </row>
    <row r="64" spans="1:7">
      <c r="A64" t="s">
        <v>1607</v>
      </c>
      <c r="B64" s="15">
        <v>45383</v>
      </c>
      <c r="C64" t="s">
        <v>25</v>
      </c>
      <c r="D64" t="s">
        <v>26</v>
      </c>
      <c r="E64" t="s">
        <v>11</v>
      </c>
      <c r="F64" s="9">
        <v>2676862.27</v>
      </c>
      <c r="G64" s="9">
        <v>422966.93</v>
      </c>
    </row>
    <row r="65" spans="1:7">
      <c r="A65" t="s">
        <v>1608</v>
      </c>
      <c r="B65" s="15">
        <v>45383</v>
      </c>
      <c r="C65" t="s">
        <v>25</v>
      </c>
      <c r="D65" t="s">
        <v>26</v>
      </c>
      <c r="E65" t="s">
        <v>14</v>
      </c>
      <c r="F65" s="9">
        <v>2850377.66</v>
      </c>
      <c r="G65" s="9">
        <v>499826.12</v>
      </c>
    </row>
    <row r="66" spans="1:7">
      <c r="A66" t="s">
        <v>1609</v>
      </c>
      <c r="B66" s="15">
        <v>45413</v>
      </c>
      <c r="C66" t="s">
        <v>19</v>
      </c>
      <c r="D66" t="s">
        <v>20</v>
      </c>
      <c r="E66" t="s">
        <v>5</v>
      </c>
      <c r="F66" s="9">
        <v>3324991.22</v>
      </c>
      <c r="G66" s="9">
        <v>612378.38</v>
      </c>
    </row>
    <row r="67" spans="1:7">
      <c r="A67" t="s">
        <v>1610</v>
      </c>
      <c r="B67" s="15">
        <v>45413</v>
      </c>
      <c r="C67" t="s">
        <v>19</v>
      </c>
      <c r="D67" t="s">
        <v>20</v>
      </c>
      <c r="E67" t="s">
        <v>8</v>
      </c>
      <c r="F67" s="9">
        <v>3646111.99</v>
      </c>
      <c r="G67" s="9">
        <v>734643.39</v>
      </c>
    </row>
    <row r="68" spans="1:7">
      <c r="A68" t="s">
        <v>1611</v>
      </c>
      <c r="B68" s="15">
        <v>45413</v>
      </c>
      <c r="C68" t="s">
        <v>19</v>
      </c>
      <c r="D68" t="s">
        <v>20</v>
      </c>
      <c r="E68" t="s">
        <v>11</v>
      </c>
      <c r="F68" s="9">
        <v>4203260.05</v>
      </c>
      <c r="G68" s="9">
        <v>670404.61</v>
      </c>
    </row>
    <row r="69" spans="1:7">
      <c r="A69" t="s">
        <v>1612</v>
      </c>
      <c r="B69" s="15">
        <v>45413</v>
      </c>
      <c r="C69" t="s">
        <v>19</v>
      </c>
      <c r="D69" t="s">
        <v>20</v>
      </c>
      <c r="E69" t="s">
        <v>14</v>
      </c>
      <c r="F69" s="9">
        <v>4615573.6100000003</v>
      </c>
      <c r="G69" s="9">
        <v>769746.13</v>
      </c>
    </row>
    <row r="70" spans="1:7">
      <c r="A70" t="s">
        <v>1613</v>
      </c>
      <c r="B70" s="15">
        <v>45413</v>
      </c>
      <c r="C70" t="s">
        <v>21</v>
      </c>
      <c r="D70" t="s">
        <v>22</v>
      </c>
      <c r="E70" t="s">
        <v>5</v>
      </c>
      <c r="F70" s="9">
        <v>2396378.88</v>
      </c>
      <c r="G70" s="9">
        <v>428943.32</v>
      </c>
    </row>
    <row r="71" spans="1:7">
      <c r="A71" t="s">
        <v>1614</v>
      </c>
      <c r="B71" s="15">
        <v>45413</v>
      </c>
      <c r="C71" t="s">
        <v>21</v>
      </c>
      <c r="D71" t="s">
        <v>22</v>
      </c>
      <c r="E71" t="s">
        <v>8</v>
      </c>
      <c r="F71" s="9">
        <v>2614153.84</v>
      </c>
      <c r="G71" s="9">
        <v>527212.93999999994</v>
      </c>
    </row>
    <row r="72" spans="1:7">
      <c r="A72" t="s">
        <v>1615</v>
      </c>
      <c r="B72" s="15">
        <v>45413</v>
      </c>
      <c r="C72" t="s">
        <v>21</v>
      </c>
      <c r="D72" t="s">
        <v>22</v>
      </c>
      <c r="E72" t="s">
        <v>11</v>
      </c>
      <c r="F72" s="9">
        <v>3228212.36</v>
      </c>
      <c r="G72" s="9">
        <v>524873.14</v>
      </c>
    </row>
    <row r="73" spans="1:7">
      <c r="A73" t="s">
        <v>1616</v>
      </c>
      <c r="B73" s="15">
        <v>45413</v>
      </c>
      <c r="C73" t="s">
        <v>21</v>
      </c>
      <c r="D73" t="s">
        <v>22</v>
      </c>
      <c r="E73" t="s">
        <v>14</v>
      </c>
      <c r="F73" s="9">
        <v>3292364.37</v>
      </c>
      <c r="G73" s="9">
        <v>545246.11</v>
      </c>
    </row>
    <row r="74" spans="1:7">
      <c r="A74" t="s">
        <v>1617</v>
      </c>
      <c r="B74" s="15">
        <v>45413</v>
      </c>
      <c r="C74" t="s">
        <v>23</v>
      </c>
      <c r="D74" t="s">
        <v>24</v>
      </c>
      <c r="E74" t="s">
        <v>5</v>
      </c>
      <c r="F74" s="9">
        <v>2519128.1800000002</v>
      </c>
      <c r="G74" s="9">
        <v>451171.45</v>
      </c>
    </row>
    <row r="75" spans="1:7">
      <c r="A75" t="s">
        <v>1618</v>
      </c>
      <c r="B75" s="15">
        <v>45413</v>
      </c>
      <c r="C75" t="s">
        <v>23</v>
      </c>
      <c r="D75" t="s">
        <v>24</v>
      </c>
      <c r="E75" t="s">
        <v>8</v>
      </c>
      <c r="F75" s="9">
        <v>2661184.6800000002</v>
      </c>
      <c r="G75" s="9">
        <v>549790.28</v>
      </c>
    </row>
    <row r="76" spans="1:7">
      <c r="A76" t="s">
        <v>1619</v>
      </c>
      <c r="B76" s="15">
        <v>45413</v>
      </c>
      <c r="C76" t="s">
        <v>23</v>
      </c>
      <c r="D76" t="s">
        <v>24</v>
      </c>
      <c r="E76" t="s">
        <v>11</v>
      </c>
      <c r="F76" s="9">
        <v>3117989.36</v>
      </c>
      <c r="G76" s="9">
        <v>482144.27</v>
      </c>
    </row>
    <row r="77" spans="1:7">
      <c r="A77" t="s">
        <v>1620</v>
      </c>
      <c r="B77" s="15">
        <v>45413</v>
      </c>
      <c r="C77" t="s">
        <v>23</v>
      </c>
      <c r="D77" t="s">
        <v>24</v>
      </c>
      <c r="E77" t="s">
        <v>14</v>
      </c>
      <c r="F77" s="9">
        <v>3714098.23</v>
      </c>
      <c r="G77" s="9">
        <v>626585.82999999996</v>
      </c>
    </row>
    <row r="78" spans="1:7">
      <c r="A78" t="s">
        <v>1621</v>
      </c>
      <c r="B78" s="15">
        <v>45413</v>
      </c>
      <c r="C78" t="s">
        <v>25</v>
      </c>
      <c r="D78" t="s">
        <v>26</v>
      </c>
      <c r="E78" t="s">
        <v>5</v>
      </c>
      <c r="F78" s="9">
        <v>2221242.4700000002</v>
      </c>
      <c r="G78" s="9">
        <v>389626.71</v>
      </c>
    </row>
    <row r="79" spans="1:7">
      <c r="A79" t="s">
        <v>1622</v>
      </c>
      <c r="B79" s="15">
        <v>45413</v>
      </c>
      <c r="C79" t="s">
        <v>25</v>
      </c>
      <c r="D79" t="s">
        <v>26</v>
      </c>
      <c r="E79" t="s">
        <v>8</v>
      </c>
      <c r="F79" s="9">
        <v>2264549.29</v>
      </c>
      <c r="G79" s="9">
        <v>452282.95</v>
      </c>
    </row>
    <row r="80" spans="1:7">
      <c r="A80" t="s">
        <v>1623</v>
      </c>
      <c r="B80" s="15">
        <v>45413</v>
      </c>
      <c r="C80" t="s">
        <v>25</v>
      </c>
      <c r="D80" t="s">
        <v>26</v>
      </c>
      <c r="E80" t="s">
        <v>11</v>
      </c>
      <c r="F80" s="9">
        <v>2699377.17</v>
      </c>
      <c r="G80" s="9">
        <v>443677.89</v>
      </c>
    </row>
    <row r="81" spans="1:7">
      <c r="A81" t="s">
        <v>1624</v>
      </c>
      <c r="B81" s="15">
        <v>45413</v>
      </c>
      <c r="C81" t="s">
        <v>25</v>
      </c>
      <c r="D81" t="s">
        <v>26</v>
      </c>
      <c r="E81" t="s">
        <v>14</v>
      </c>
      <c r="F81" s="9">
        <v>2950589.4</v>
      </c>
      <c r="G81" s="9">
        <v>508063.96</v>
      </c>
    </row>
    <row r="82" spans="1:7">
      <c r="A82" t="s">
        <v>1625</v>
      </c>
      <c r="B82" s="15">
        <v>45444</v>
      </c>
      <c r="C82" t="s">
        <v>19</v>
      </c>
      <c r="D82" t="s">
        <v>20</v>
      </c>
      <c r="E82" t="s">
        <v>5</v>
      </c>
      <c r="F82" s="9">
        <v>3081630.82</v>
      </c>
      <c r="G82" s="9">
        <v>554093.56000000006</v>
      </c>
    </row>
    <row r="83" spans="1:7">
      <c r="A83" t="s">
        <v>1626</v>
      </c>
      <c r="B83" s="15">
        <v>45444</v>
      </c>
      <c r="C83" t="s">
        <v>19</v>
      </c>
      <c r="D83" t="s">
        <v>20</v>
      </c>
      <c r="E83" t="s">
        <v>8</v>
      </c>
      <c r="F83" s="9">
        <v>3431420.13</v>
      </c>
      <c r="G83" s="9">
        <v>669668.79</v>
      </c>
    </row>
    <row r="84" spans="1:7">
      <c r="A84" t="s">
        <v>1627</v>
      </c>
      <c r="B84" s="15">
        <v>45444</v>
      </c>
      <c r="C84" t="s">
        <v>19</v>
      </c>
      <c r="D84" t="s">
        <v>20</v>
      </c>
      <c r="E84" t="s">
        <v>11</v>
      </c>
      <c r="F84" s="9">
        <v>4063038.29</v>
      </c>
      <c r="G84" s="9">
        <v>650587.24</v>
      </c>
    </row>
    <row r="85" spans="1:7">
      <c r="A85" t="s">
        <v>1628</v>
      </c>
      <c r="B85" s="15">
        <v>45444</v>
      </c>
      <c r="C85" t="s">
        <v>19</v>
      </c>
      <c r="D85" t="s">
        <v>20</v>
      </c>
      <c r="E85" t="s">
        <v>14</v>
      </c>
      <c r="F85" s="9">
        <v>4073978</v>
      </c>
      <c r="G85" s="9">
        <v>703376.97</v>
      </c>
    </row>
    <row r="86" spans="1:7">
      <c r="A86" t="s">
        <v>1629</v>
      </c>
      <c r="B86" s="15">
        <v>45444</v>
      </c>
      <c r="C86" t="s">
        <v>21</v>
      </c>
      <c r="D86" t="s">
        <v>22</v>
      </c>
      <c r="E86" t="s">
        <v>5</v>
      </c>
      <c r="F86" s="9">
        <v>2257839.58</v>
      </c>
      <c r="G86" s="9">
        <v>405123.31</v>
      </c>
    </row>
    <row r="87" spans="1:7">
      <c r="A87" t="s">
        <v>1630</v>
      </c>
      <c r="B87" s="15">
        <v>45444</v>
      </c>
      <c r="C87" t="s">
        <v>21</v>
      </c>
      <c r="D87" t="s">
        <v>22</v>
      </c>
      <c r="E87" t="s">
        <v>8</v>
      </c>
      <c r="F87" s="9">
        <v>2481413.21</v>
      </c>
      <c r="G87" s="9">
        <v>513894.76</v>
      </c>
    </row>
    <row r="88" spans="1:7">
      <c r="A88" t="s">
        <v>1631</v>
      </c>
      <c r="B88" s="15">
        <v>45444</v>
      </c>
      <c r="C88" t="s">
        <v>21</v>
      </c>
      <c r="D88" t="s">
        <v>22</v>
      </c>
      <c r="E88" t="s">
        <v>11</v>
      </c>
      <c r="F88" s="9">
        <v>2851620.48</v>
      </c>
      <c r="G88" s="9">
        <v>459907.81</v>
      </c>
    </row>
    <row r="89" spans="1:7">
      <c r="A89" t="s">
        <v>1632</v>
      </c>
      <c r="B89" s="15">
        <v>45444</v>
      </c>
      <c r="C89" t="s">
        <v>21</v>
      </c>
      <c r="D89" t="s">
        <v>22</v>
      </c>
      <c r="E89" t="s">
        <v>14</v>
      </c>
      <c r="F89" s="9">
        <v>3254569.73</v>
      </c>
      <c r="G89" s="9">
        <v>539506.63</v>
      </c>
    </row>
    <row r="90" spans="1:7">
      <c r="A90" t="s">
        <v>1633</v>
      </c>
      <c r="B90" s="15">
        <v>45444</v>
      </c>
      <c r="C90" t="s">
        <v>23</v>
      </c>
      <c r="D90" t="s">
        <v>24</v>
      </c>
      <c r="E90" t="s">
        <v>5</v>
      </c>
      <c r="F90" s="9">
        <v>2476634.2599999998</v>
      </c>
      <c r="G90" s="9">
        <v>436472.33</v>
      </c>
    </row>
    <row r="91" spans="1:7">
      <c r="A91" t="s">
        <v>1634</v>
      </c>
      <c r="B91" s="15">
        <v>45444</v>
      </c>
      <c r="C91" t="s">
        <v>23</v>
      </c>
      <c r="D91" t="s">
        <v>24</v>
      </c>
      <c r="E91" t="s">
        <v>8</v>
      </c>
      <c r="F91" s="9">
        <v>2586411.4700000002</v>
      </c>
      <c r="G91" s="9">
        <v>534105.24</v>
      </c>
    </row>
    <row r="92" spans="1:7">
      <c r="A92" t="s">
        <v>1635</v>
      </c>
      <c r="B92" s="15">
        <v>45444</v>
      </c>
      <c r="C92" t="s">
        <v>23</v>
      </c>
      <c r="D92" t="s">
        <v>24</v>
      </c>
      <c r="E92" t="s">
        <v>11</v>
      </c>
      <c r="F92" s="9">
        <v>3052311.72</v>
      </c>
      <c r="G92" s="9">
        <v>504379.66</v>
      </c>
    </row>
    <row r="93" spans="1:7">
      <c r="A93" t="s">
        <v>1636</v>
      </c>
      <c r="B93" s="15">
        <v>45444</v>
      </c>
      <c r="C93" t="s">
        <v>23</v>
      </c>
      <c r="D93" t="s">
        <v>24</v>
      </c>
      <c r="E93" t="s">
        <v>14</v>
      </c>
      <c r="F93" s="9">
        <v>3380132.29</v>
      </c>
      <c r="G93" s="9">
        <v>553462.46</v>
      </c>
    </row>
    <row r="94" spans="1:7">
      <c r="A94" t="s">
        <v>1637</v>
      </c>
      <c r="B94" s="15">
        <v>45444</v>
      </c>
      <c r="C94" t="s">
        <v>25</v>
      </c>
      <c r="D94" t="s">
        <v>26</v>
      </c>
      <c r="E94" t="s">
        <v>5</v>
      </c>
      <c r="F94" s="9">
        <v>2051241.69</v>
      </c>
      <c r="G94" s="9">
        <v>380726.4</v>
      </c>
    </row>
    <row r="95" spans="1:7">
      <c r="A95" t="s">
        <v>1638</v>
      </c>
      <c r="B95" s="15">
        <v>45444</v>
      </c>
      <c r="C95" t="s">
        <v>25</v>
      </c>
      <c r="D95" t="s">
        <v>26</v>
      </c>
      <c r="E95" t="s">
        <v>8</v>
      </c>
      <c r="F95" s="9">
        <v>2186062.59</v>
      </c>
      <c r="G95" s="9">
        <v>452429.6</v>
      </c>
    </row>
    <row r="96" spans="1:7">
      <c r="A96" t="s">
        <v>1639</v>
      </c>
      <c r="B96" s="15">
        <v>45444</v>
      </c>
      <c r="C96" t="s">
        <v>25</v>
      </c>
      <c r="D96" t="s">
        <v>26</v>
      </c>
      <c r="E96" t="s">
        <v>11</v>
      </c>
      <c r="F96" s="9">
        <v>2564684.2799999998</v>
      </c>
      <c r="G96" s="9">
        <v>423430.8</v>
      </c>
    </row>
    <row r="97" spans="1:7">
      <c r="A97" t="s">
        <v>1640</v>
      </c>
      <c r="B97" s="15">
        <v>45444</v>
      </c>
      <c r="C97" t="s">
        <v>25</v>
      </c>
      <c r="D97" t="s">
        <v>26</v>
      </c>
      <c r="E97" t="s">
        <v>14</v>
      </c>
      <c r="F97" s="9">
        <v>2720904.27</v>
      </c>
      <c r="G97" s="9">
        <v>473233.13</v>
      </c>
    </row>
    <row r="98" spans="1:7">
      <c r="A98" t="s">
        <v>1641</v>
      </c>
      <c r="B98" s="15">
        <v>45474</v>
      </c>
      <c r="C98" t="s">
        <v>19</v>
      </c>
      <c r="D98" t="s">
        <v>20</v>
      </c>
      <c r="E98" t="s">
        <v>5</v>
      </c>
      <c r="F98" s="9">
        <v>2941654.41</v>
      </c>
      <c r="G98" s="9">
        <v>545422.9</v>
      </c>
    </row>
    <row r="99" spans="1:7">
      <c r="A99" t="s">
        <v>1642</v>
      </c>
      <c r="B99" s="15">
        <v>45474</v>
      </c>
      <c r="C99" t="s">
        <v>19</v>
      </c>
      <c r="D99" t="s">
        <v>20</v>
      </c>
      <c r="E99" t="s">
        <v>8</v>
      </c>
      <c r="F99" s="9">
        <v>3221630.06</v>
      </c>
      <c r="G99" s="9">
        <v>651381.13</v>
      </c>
    </row>
    <row r="100" spans="1:7">
      <c r="A100" t="s">
        <v>1643</v>
      </c>
      <c r="B100" s="15">
        <v>45474</v>
      </c>
      <c r="C100" t="s">
        <v>19</v>
      </c>
      <c r="D100" t="s">
        <v>20</v>
      </c>
      <c r="E100" t="s">
        <v>11</v>
      </c>
      <c r="F100" s="9">
        <v>3811982.88</v>
      </c>
      <c r="G100" s="9">
        <v>607417.01</v>
      </c>
    </row>
    <row r="101" spans="1:7">
      <c r="A101" t="s">
        <v>1644</v>
      </c>
      <c r="B101" s="15">
        <v>45474</v>
      </c>
      <c r="C101" t="s">
        <v>19</v>
      </c>
      <c r="D101" t="s">
        <v>20</v>
      </c>
      <c r="E101" t="s">
        <v>14</v>
      </c>
      <c r="F101" s="9">
        <v>3932543.8</v>
      </c>
      <c r="G101" s="9">
        <v>694792.34</v>
      </c>
    </row>
    <row r="102" spans="1:7">
      <c r="A102" t="s">
        <v>1645</v>
      </c>
      <c r="B102" s="15">
        <v>45474</v>
      </c>
      <c r="C102" t="s">
        <v>21</v>
      </c>
      <c r="D102" t="s">
        <v>22</v>
      </c>
      <c r="E102" t="s">
        <v>5</v>
      </c>
      <c r="F102" s="9">
        <v>2293841.0099999998</v>
      </c>
      <c r="G102" s="9">
        <v>423466.92</v>
      </c>
    </row>
    <row r="103" spans="1:7">
      <c r="A103" t="s">
        <v>1646</v>
      </c>
      <c r="B103" s="15">
        <v>45474</v>
      </c>
      <c r="C103" t="s">
        <v>21</v>
      </c>
      <c r="D103" t="s">
        <v>22</v>
      </c>
      <c r="E103" t="s">
        <v>8</v>
      </c>
      <c r="F103" s="9">
        <v>2549930.58</v>
      </c>
      <c r="G103" s="9">
        <v>530249.82999999996</v>
      </c>
    </row>
    <row r="104" spans="1:7">
      <c r="A104" t="s">
        <v>1647</v>
      </c>
      <c r="B104" s="15">
        <v>45474</v>
      </c>
      <c r="C104" t="s">
        <v>21</v>
      </c>
      <c r="D104" t="s">
        <v>22</v>
      </c>
      <c r="E104" t="s">
        <v>11</v>
      </c>
      <c r="F104" s="9">
        <v>2867930.41</v>
      </c>
      <c r="G104" s="9">
        <v>461595.18</v>
      </c>
    </row>
    <row r="105" spans="1:7">
      <c r="A105" t="s">
        <v>1648</v>
      </c>
      <c r="B105" s="15">
        <v>45474</v>
      </c>
      <c r="C105" t="s">
        <v>21</v>
      </c>
      <c r="D105" t="s">
        <v>22</v>
      </c>
      <c r="E105" t="s">
        <v>14</v>
      </c>
      <c r="F105" s="9">
        <v>3032590.97</v>
      </c>
      <c r="G105" s="9">
        <v>505158.31</v>
      </c>
    </row>
    <row r="106" spans="1:7">
      <c r="A106" t="s">
        <v>1649</v>
      </c>
      <c r="B106" s="15">
        <v>45474</v>
      </c>
      <c r="C106" t="s">
        <v>23</v>
      </c>
      <c r="D106" t="s">
        <v>24</v>
      </c>
      <c r="E106" t="s">
        <v>5</v>
      </c>
      <c r="F106" s="9">
        <v>2419134.98</v>
      </c>
      <c r="G106" s="9">
        <v>438078.78</v>
      </c>
    </row>
    <row r="107" spans="1:7">
      <c r="A107" t="s">
        <v>1650</v>
      </c>
      <c r="B107" s="15">
        <v>45474</v>
      </c>
      <c r="C107" t="s">
        <v>23</v>
      </c>
      <c r="D107" t="s">
        <v>24</v>
      </c>
      <c r="E107" t="s">
        <v>8</v>
      </c>
      <c r="F107" s="9">
        <v>2667908.0099999998</v>
      </c>
      <c r="G107" s="9">
        <v>524963.63</v>
      </c>
    </row>
    <row r="108" spans="1:7">
      <c r="A108" t="s">
        <v>1651</v>
      </c>
      <c r="B108" s="15">
        <v>45474</v>
      </c>
      <c r="C108" t="s">
        <v>23</v>
      </c>
      <c r="D108" t="s">
        <v>24</v>
      </c>
      <c r="E108" t="s">
        <v>11</v>
      </c>
      <c r="F108" s="9">
        <v>2911526.9</v>
      </c>
      <c r="G108" s="9">
        <v>460529.98</v>
      </c>
    </row>
    <row r="109" spans="1:7">
      <c r="A109" t="s">
        <v>1652</v>
      </c>
      <c r="B109" s="15">
        <v>45474</v>
      </c>
      <c r="C109" t="s">
        <v>23</v>
      </c>
      <c r="D109" t="s">
        <v>24</v>
      </c>
      <c r="E109" t="s">
        <v>14</v>
      </c>
      <c r="F109" s="9">
        <v>3260202.95</v>
      </c>
      <c r="G109" s="9">
        <v>539059.27</v>
      </c>
    </row>
    <row r="110" spans="1:7">
      <c r="A110" t="s">
        <v>1653</v>
      </c>
      <c r="B110" s="15">
        <v>45474</v>
      </c>
      <c r="C110" t="s">
        <v>25</v>
      </c>
      <c r="D110" t="s">
        <v>26</v>
      </c>
      <c r="E110" t="s">
        <v>5</v>
      </c>
      <c r="F110" s="9">
        <v>2022325.27</v>
      </c>
      <c r="G110" s="9">
        <v>377252.83</v>
      </c>
    </row>
    <row r="111" spans="1:7">
      <c r="A111" t="s">
        <v>1654</v>
      </c>
      <c r="B111" s="15">
        <v>45474</v>
      </c>
      <c r="C111" t="s">
        <v>25</v>
      </c>
      <c r="D111" t="s">
        <v>26</v>
      </c>
      <c r="E111" t="s">
        <v>8</v>
      </c>
      <c r="F111" s="9">
        <v>2117725.56</v>
      </c>
      <c r="G111" s="9">
        <v>433491.84</v>
      </c>
    </row>
    <row r="112" spans="1:7">
      <c r="A112" t="s">
        <v>1655</v>
      </c>
      <c r="B112" s="15">
        <v>45474</v>
      </c>
      <c r="C112" t="s">
        <v>25</v>
      </c>
      <c r="D112" t="s">
        <v>26</v>
      </c>
      <c r="E112" t="s">
        <v>11</v>
      </c>
      <c r="F112" s="9">
        <v>2399485.27</v>
      </c>
      <c r="G112" s="9">
        <v>370654.19</v>
      </c>
    </row>
    <row r="113" spans="1:7">
      <c r="A113" t="s">
        <v>1656</v>
      </c>
      <c r="B113" s="15">
        <v>45474</v>
      </c>
      <c r="C113" t="s">
        <v>25</v>
      </c>
      <c r="D113" t="s">
        <v>26</v>
      </c>
      <c r="E113" t="s">
        <v>14</v>
      </c>
      <c r="F113" s="9">
        <v>2563609.31</v>
      </c>
      <c r="G113" s="9">
        <v>436798.92</v>
      </c>
    </row>
    <row r="114" spans="1:7">
      <c r="A114" t="s">
        <v>1657</v>
      </c>
      <c r="B114" s="15">
        <v>45505</v>
      </c>
      <c r="C114" t="s">
        <v>19</v>
      </c>
      <c r="D114" t="s">
        <v>20</v>
      </c>
      <c r="E114" t="s">
        <v>5</v>
      </c>
      <c r="F114" s="9">
        <v>3015986.7</v>
      </c>
      <c r="G114" s="9">
        <v>557219.43999999994</v>
      </c>
    </row>
    <row r="115" spans="1:7">
      <c r="A115" t="s">
        <v>1658</v>
      </c>
      <c r="B115" s="15">
        <v>45505</v>
      </c>
      <c r="C115" t="s">
        <v>19</v>
      </c>
      <c r="D115" t="s">
        <v>20</v>
      </c>
      <c r="E115" t="s">
        <v>8</v>
      </c>
      <c r="F115" s="9">
        <v>3104815.05</v>
      </c>
      <c r="G115" s="9">
        <v>608716.11</v>
      </c>
    </row>
    <row r="116" spans="1:7">
      <c r="A116" t="s">
        <v>1659</v>
      </c>
      <c r="B116" s="15">
        <v>45505</v>
      </c>
      <c r="C116" t="s">
        <v>19</v>
      </c>
      <c r="D116" t="s">
        <v>20</v>
      </c>
      <c r="E116" t="s">
        <v>11</v>
      </c>
      <c r="F116" s="9">
        <v>3777845</v>
      </c>
      <c r="G116" s="9">
        <v>624243.79</v>
      </c>
    </row>
    <row r="117" spans="1:7">
      <c r="A117" t="s">
        <v>1660</v>
      </c>
      <c r="B117" s="15">
        <v>45505</v>
      </c>
      <c r="C117" t="s">
        <v>19</v>
      </c>
      <c r="D117" t="s">
        <v>20</v>
      </c>
      <c r="E117" t="s">
        <v>14</v>
      </c>
      <c r="F117" s="9">
        <v>3977125.93</v>
      </c>
      <c r="G117" s="9">
        <v>679810.17</v>
      </c>
    </row>
    <row r="118" spans="1:7">
      <c r="A118" t="s">
        <v>1661</v>
      </c>
      <c r="B118" s="15">
        <v>45505</v>
      </c>
      <c r="C118" t="s">
        <v>21</v>
      </c>
      <c r="D118" t="s">
        <v>22</v>
      </c>
      <c r="E118" t="s">
        <v>5</v>
      </c>
      <c r="F118" s="9">
        <v>2189471.7400000002</v>
      </c>
      <c r="G118" s="9">
        <v>408287.29</v>
      </c>
    </row>
    <row r="119" spans="1:7">
      <c r="A119" t="s">
        <v>1662</v>
      </c>
      <c r="B119" s="15">
        <v>45505</v>
      </c>
      <c r="C119" t="s">
        <v>21</v>
      </c>
      <c r="D119" t="s">
        <v>22</v>
      </c>
      <c r="E119" t="s">
        <v>8</v>
      </c>
      <c r="F119" s="9">
        <v>2297497.34</v>
      </c>
      <c r="G119" s="9">
        <v>451273.18</v>
      </c>
    </row>
    <row r="120" spans="1:7">
      <c r="A120" t="s">
        <v>1663</v>
      </c>
      <c r="B120" s="15">
        <v>45505</v>
      </c>
      <c r="C120" t="s">
        <v>21</v>
      </c>
      <c r="D120" t="s">
        <v>22</v>
      </c>
      <c r="E120" t="s">
        <v>11</v>
      </c>
      <c r="F120" s="9">
        <v>2711578.84</v>
      </c>
      <c r="G120" s="9">
        <v>449671.11</v>
      </c>
    </row>
    <row r="121" spans="1:7">
      <c r="A121" t="s">
        <v>1664</v>
      </c>
      <c r="B121" s="15">
        <v>45505</v>
      </c>
      <c r="C121" t="s">
        <v>21</v>
      </c>
      <c r="D121" t="s">
        <v>22</v>
      </c>
      <c r="E121" t="s">
        <v>14</v>
      </c>
      <c r="F121" s="9">
        <v>2980313.22</v>
      </c>
      <c r="G121" s="9">
        <v>516133.24</v>
      </c>
    </row>
    <row r="122" spans="1:7">
      <c r="A122" t="s">
        <v>1665</v>
      </c>
      <c r="B122" s="15">
        <v>45505</v>
      </c>
      <c r="C122" t="s">
        <v>23</v>
      </c>
      <c r="D122" t="s">
        <v>24</v>
      </c>
      <c r="E122" t="s">
        <v>5</v>
      </c>
      <c r="F122" s="9">
        <v>2399550.85</v>
      </c>
      <c r="G122" s="9">
        <v>424332.92</v>
      </c>
    </row>
    <row r="123" spans="1:7">
      <c r="A123" t="s">
        <v>1666</v>
      </c>
      <c r="B123" s="15">
        <v>45505</v>
      </c>
      <c r="C123" t="s">
        <v>23</v>
      </c>
      <c r="D123" t="s">
        <v>24</v>
      </c>
      <c r="E123" t="s">
        <v>8</v>
      </c>
      <c r="F123" s="9">
        <v>2425273.35</v>
      </c>
      <c r="G123" s="9">
        <v>477167.72</v>
      </c>
    </row>
    <row r="124" spans="1:7">
      <c r="A124" t="s">
        <v>1667</v>
      </c>
      <c r="B124" s="15">
        <v>45505</v>
      </c>
      <c r="C124" t="s">
        <v>23</v>
      </c>
      <c r="D124" t="s">
        <v>24</v>
      </c>
      <c r="E124" t="s">
        <v>11</v>
      </c>
      <c r="F124" s="9">
        <v>2936630.95</v>
      </c>
      <c r="G124" s="9">
        <v>473012.21</v>
      </c>
    </row>
    <row r="125" spans="1:7">
      <c r="A125" t="s">
        <v>1668</v>
      </c>
      <c r="B125" s="15">
        <v>45505</v>
      </c>
      <c r="C125" t="s">
        <v>23</v>
      </c>
      <c r="D125" t="s">
        <v>24</v>
      </c>
      <c r="E125" t="s">
        <v>14</v>
      </c>
      <c r="F125" s="9">
        <v>3074445.88</v>
      </c>
      <c r="G125" s="9">
        <v>527287.66</v>
      </c>
    </row>
    <row r="126" spans="1:7">
      <c r="A126" t="s">
        <v>1669</v>
      </c>
      <c r="B126" s="15">
        <v>45505</v>
      </c>
      <c r="C126" t="s">
        <v>25</v>
      </c>
      <c r="D126" t="s">
        <v>26</v>
      </c>
      <c r="E126" t="s">
        <v>5</v>
      </c>
      <c r="F126" s="9">
        <v>1977462.24</v>
      </c>
      <c r="G126" s="9">
        <v>370178.82</v>
      </c>
    </row>
    <row r="127" spans="1:7">
      <c r="A127" t="s">
        <v>1670</v>
      </c>
      <c r="B127" s="15">
        <v>45505</v>
      </c>
      <c r="C127" t="s">
        <v>25</v>
      </c>
      <c r="D127" t="s">
        <v>26</v>
      </c>
      <c r="E127" t="s">
        <v>8</v>
      </c>
      <c r="F127" s="9">
        <v>2145840.4</v>
      </c>
      <c r="G127" s="9">
        <v>438255.56</v>
      </c>
    </row>
    <row r="128" spans="1:7">
      <c r="A128" t="s">
        <v>1671</v>
      </c>
      <c r="B128" s="15">
        <v>45505</v>
      </c>
      <c r="C128" t="s">
        <v>25</v>
      </c>
      <c r="D128" t="s">
        <v>26</v>
      </c>
      <c r="E128" t="s">
        <v>11</v>
      </c>
      <c r="F128" s="9">
        <v>2395663.15</v>
      </c>
      <c r="G128" s="9">
        <v>376311.98</v>
      </c>
    </row>
    <row r="129" spans="1:7">
      <c r="A129" t="s">
        <v>1672</v>
      </c>
      <c r="B129" s="15">
        <v>45505</v>
      </c>
      <c r="C129" t="s">
        <v>25</v>
      </c>
      <c r="D129" t="s">
        <v>26</v>
      </c>
      <c r="E129" t="s">
        <v>14</v>
      </c>
      <c r="F129" s="9">
        <v>2739753.35</v>
      </c>
      <c r="G129" s="9">
        <v>466558.2</v>
      </c>
    </row>
    <row r="130" spans="1:7">
      <c r="A130" t="s">
        <v>1673</v>
      </c>
      <c r="B130" s="15">
        <v>45536</v>
      </c>
      <c r="C130" t="s">
        <v>19</v>
      </c>
      <c r="D130" t="s">
        <v>20</v>
      </c>
      <c r="E130" t="s">
        <v>5</v>
      </c>
      <c r="F130" s="9">
        <v>3475633.8</v>
      </c>
      <c r="G130" s="9">
        <v>605817.23</v>
      </c>
    </row>
    <row r="131" spans="1:7">
      <c r="A131" t="s">
        <v>1674</v>
      </c>
      <c r="B131" s="15">
        <v>45536</v>
      </c>
      <c r="C131" t="s">
        <v>19</v>
      </c>
      <c r="D131" t="s">
        <v>20</v>
      </c>
      <c r="E131" t="s">
        <v>8</v>
      </c>
      <c r="F131" s="9">
        <v>3626452.63</v>
      </c>
      <c r="G131" s="9">
        <v>738737.64</v>
      </c>
    </row>
    <row r="132" spans="1:7">
      <c r="A132" t="s">
        <v>1675</v>
      </c>
      <c r="B132" s="15">
        <v>45536</v>
      </c>
      <c r="C132" t="s">
        <v>19</v>
      </c>
      <c r="D132" t="s">
        <v>20</v>
      </c>
      <c r="E132" t="s">
        <v>11</v>
      </c>
      <c r="F132" s="9">
        <v>4164393.18</v>
      </c>
      <c r="G132" s="9">
        <v>645612.69999999995</v>
      </c>
    </row>
    <row r="133" spans="1:7">
      <c r="A133" t="s">
        <v>1676</v>
      </c>
      <c r="B133" s="15">
        <v>45536</v>
      </c>
      <c r="C133" t="s">
        <v>19</v>
      </c>
      <c r="D133" t="s">
        <v>20</v>
      </c>
      <c r="E133" t="s">
        <v>14</v>
      </c>
      <c r="F133" s="9">
        <v>4092996.77</v>
      </c>
      <c r="G133" s="9">
        <v>720374.66</v>
      </c>
    </row>
    <row r="134" spans="1:7">
      <c r="A134" t="s">
        <v>1677</v>
      </c>
      <c r="B134" s="15">
        <v>45536</v>
      </c>
      <c r="C134" t="s">
        <v>21</v>
      </c>
      <c r="D134" t="s">
        <v>22</v>
      </c>
      <c r="E134" t="s">
        <v>5</v>
      </c>
      <c r="F134" s="9">
        <v>2308438.16</v>
      </c>
      <c r="G134" s="9">
        <v>424417.74</v>
      </c>
    </row>
    <row r="135" spans="1:7">
      <c r="A135" t="s">
        <v>1678</v>
      </c>
      <c r="B135" s="15">
        <v>45536</v>
      </c>
      <c r="C135" t="s">
        <v>21</v>
      </c>
      <c r="D135" t="s">
        <v>22</v>
      </c>
      <c r="E135" t="s">
        <v>8</v>
      </c>
      <c r="F135" s="9">
        <v>2661819.11</v>
      </c>
      <c r="G135" s="9">
        <v>524784</v>
      </c>
    </row>
    <row r="136" spans="1:7">
      <c r="A136" t="s">
        <v>1679</v>
      </c>
      <c r="B136" s="15">
        <v>45536</v>
      </c>
      <c r="C136" t="s">
        <v>21</v>
      </c>
      <c r="D136" t="s">
        <v>22</v>
      </c>
      <c r="E136" t="s">
        <v>11</v>
      </c>
      <c r="F136" s="9">
        <v>3001223.98</v>
      </c>
      <c r="G136" s="9">
        <v>495193.63</v>
      </c>
    </row>
    <row r="137" spans="1:7">
      <c r="A137" t="s">
        <v>1680</v>
      </c>
      <c r="B137" s="15">
        <v>45536</v>
      </c>
      <c r="C137" t="s">
        <v>21</v>
      </c>
      <c r="D137" t="s">
        <v>22</v>
      </c>
      <c r="E137" t="s">
        <v>14</v>
      </c>
      <c r="F137" s="9">
        <v>3371554.04</v>
      </c>
      <c r="G137" s="9">
        <v>589011.84</v>
      </c>
    </row>
    <row r="138" spans="1:7">
      <c r="A138" t="s">
        <v>1681</v>
      </c>
      <c r="B138" s="15">
        <v>45536</v>
      </c>
      <c r="C138" t="s">
        <v>23</v>
      </c>
      <c r="D138" t="s">
        <v>24</v>
      </c>
      <c r="E138" t="s">
        <v>5</v>
      </c>
      <c r="F138" s="9">
        <v>2422766.63</v>
      </c>
      <c r="G138" s="9">
        <v>425550.57</v>
      </c>
    </row>
    <row r="139" spans="1:7">
      <c r="A139" t="s">
        <v>1682</v>
      </c>
      <c r="B139" s="15">
        <v>45536</v>
      </c>
      <c r="C139" t="s">
        <v>23</v>
      </c>
      <c r="D139" t="s">
        <v>24</v>
      </c>
      <c r="E139" t="s">
        <v>8</v>
      </c>
      <c r="F139" s="9">
        <v>2796145.07</v>
      </c>
      <c r="G139" s="9">
        <v>552457.93999999994</v>
      </c>
    </row>
    <row r="140" spans="1:7">
      <c r="A140" t="s">
        <v>1683</v>
      </c>
      <c r="B140" s="15">
        <v>45536</v>
      </c>
      <c r="C140" t="s">
        <v>23</v>
      </c>
      <c r="D140" t="s">
        <v>24</v>
      </c>
      <c r="E140" t="s">
        <v>11</v>
      </c>
      <c r="F140" s="9">
        <v>3303396.31</v>
      </c>
      <c r="G140" s="9">
        <v>510225.85</v>
      </c>
    </row>
    <row r="141" spans="1:7">
      <c r="A141" t="s">
        <v>1684</v>
      </c>
      <c r="B141" s="15">
        <v>45536</v>
      </c>
      <c r="C141" t="s">
        <v>23</v>
      </c>
      <c r="D141" t="s">
        <v>24</v>
      </c>
      <c r="E141" t="s">
        <v>14</v>
      </c>
      <c r="F141" s="9">
        <v>3366123.62</v>
      </c>
      <c r="G141" s="9">
        <v>565162.89</v>
      </c>
    </row>
    <row r="142" spans="1:7">
      <c r="A142" t="s">
        <v>1685</v>
      </c>
      <c r="B142" s="15">
        <v>45536</v>
      </c>
      <c r="C142" t="s">
        <v>25</v>
      </c>
      <c r="D142" t="s">
        <v>26</v>
      </c>
      <c r="E142" t="s">
        <v>5</v>
      </c>
      <c r="F142" s="9">
        <v>2108371.48</v>
      </c>
      <c r="G142" s="9">
        <v>393254.13</v>
      </c>
    </row>
    <row r="143" spans="1:7">
      <c r="A143" t="s">
        <v>1686</v>
      </c>
      <c r="B143" s="15">
        <v>45536</v>
      </c>
      <c r="C143" t="s">
        <v>25</v>
      </c>
      <c r="D143" t="s">
        <v>26</v>
      </c>
      <c r="E143" t="s">
        <v>8</v>
      </c>
      <c r="F143" s="9">
        <v>2348107.09</v>
      </c>
      <c r="G143" s="9">
        <v>463454.71999999997</v>
      </c>
    </row>
    <row r="144" spans="1:7">
      <c r="A144" t="s">
        <v>1687</v>
      </c>
      <c r="B144" s="15">
        <v>45536</v>
      </c>
      <c r="C144" t="s">
        <v>25</v>
      </c>
      <c r="D144" t="s">
        <v>26</v>
      </c>
      <c r="E144" t="s">
        <v>11</v>
      </c>
      <c r="F144" s="9">
        <v>2592323.2599999998</v>
      </c>
      <c r="G144" s="9">
        <v>403805.94</v>
      </c>
    </row>
    <row r="145" spans="1:7">
      <c r="A145" t="s">
        <v>1688</v>
      </c>
      <c r="B145" s="15">
        <v>45536</v>
      </c>
      <c r="C145" t="s">
        <v>25</v>
      </c>
      <c r="D145" t="s">
        <v>26</v>
      </c>
      <c r="E145" t="s">
        <v>14</v>
      </c>
      <c r="F145" s="9">
        <v>2949612.23</v>
      </c>
      <c r="G145" s="9">
        <v>514057.14</v>
      </c>
    </row>
    <row r="146" spans="1:7">
      <c r="A146" t="s">
        <v>1689</v>
      </c>
      <c r="B146" s="15">
        <v>45566</v>
      </c>
      <c r="C146" t="s">
        <v>19</v>
      </c>
      <c r="D146" t="s">
        <v>20</v>
      </c>
      <c r="E146" t="s">
        <v>5</v>
      </c>
      <c r="F146" s="9">
        <v>3287605.74</v>
      </c>
      <c r="G146" s="9">
        <v>579296.76</v>
      </c>
    </row>
    <row r="147" spans="1:7">
      <c r="A147" t="s">
        <v>1690</v>
      </c>
      <c r="B147" s="15">
        <v>45566</v>
      </c>
      <c r="C147" t="s">
        <v>19</v>
      </c>
      <c r="D147" t="s">
        <v>20</v>
      </c>
      <c r="E147" t="s">
        <v>8</v>
      </c>
      <c r="F147" s="9">
        <v>3593174.72</v>
      </c>
      <c r="G147" s="9">
        <v>705917.92</v>
      </c>
    </row>
    <row r="148" spans="1:7">
      <c r="A148" t="s">
        <v>1691</v>
      </c>
      <c r="B148" s="15">
        <v>45566</v>
      </c>
      <c r="C148" t="s">
        <v>19</v>
      </c>
      <c r="D148" t="s">
        <v>20</v>
      </c>
      <c r="E148" t="s">
        <v>11</v>
      </c>
      <c r="F148" s="9">
        <v>4256759.76</v>
      </c>
      <c r="G148" s="9">
        <v>704941.31</v>
      </c>
    </row>
    <row r="149" spans="1:7">
      <c r="A149" t="s">
        <v>1692</v>
      </c>
      <c r="B149" s="15">
        <v>45566</v>
      </c>
      <c r="C149" t="s">
        <v>19</v>
      </c>
      <c r="D149" t="s">
        <v>20</v>
      </c>
      <c r="E149" t="s">
        <v>14</v>
      </c>
      <c r="F149" s="9">
        <v>4604205.1500000004</v>
      </c>
      <c r="G149" s="9">
        <v>808693.35</v>
      </c>
    </row>
    <row r="150" spans="1:7">
      <c r="A150" t="s">
        <v>1693</v>
      </c>
      <c r="B150" s="15">
        <v>45566</v>
      </c>
      <c r="C150" t="s">
        <v>21</v>
      </c>
      <c r="D150" t="s">
        <v>22</v>
      </c>
      <c r="E150" t="s">
        <v>5</v>
      </c>
      <c r="F150" s="9">
        <v>2418490.96</v>
      </c>
      <c r="G150" s="9">
        <v>433723.31</v>
      </c>
    </row>
    <row r="151" spans="1:7">
      <c r="A151" t="s">
        <v>1694</v>
      </c>
      <c r="B151" s="15">
        <v>45566</v>
      </c>
      <c r="C151" t="s">
        <v>21</v>
      </c>
      <c r="D151" t="s">
        <v>22</v>
      </c>
      <c r="E151" t="s">
        <v>8</v>
      </c>
      <c r="F151" s="9">
        <v>2729760.97</v>
      </c>
      <c r="G151" s="9">
        <v>556176.02</v>
      </c>
    </row>
    <row r="152" spans="1:7">
      <c r="A152" t="s">
        <v>1695</v>
      </c>
      <c r="B152" s="15">
        <v>45566</v>
      </c>
      <c r="C152" t="s">
        <v>21</v>
      </c>
      <c r="D152" t="s">
        <v>22</v>
      </c>
      <c r="E152" t="s">
        <v>11</v>
      </c>
      <c r="F152" s="9">
        <v>3253862.73</v>
      </c>
      <c r="G152" s="9">
        <v>539401.27</v>
      </c>
    </row>
    <row r="153" spans="1:7">
      <c r="A153" t="s">
        <v>1696</v>
      </c>
      <c r="B153" s="15">
        <v>45566</v>
      </c>
      <c r="C153" t="s">
        <v>21</v>
      </c>
      <c r="D153" t="s">
        <v>22</v>
      </c>
      <c r="E153" t="s">
        <v>14</v>
      </c>
      <c r="F153" s="9">
        <v>3319798.46</v>
      </c>
      <c r="G153" s="9">
        <v>549141.06999999995</v>
      </c>
    </row>
    <row r="154" spans="1:7">
      <c r="A154" t="s">
        <v>1697</v>
      </c>
      <c r="B154" s="15">
        <v>45566</v>
      </c>
      <c r="C154" t="s">
        <v>23</v>
      </c>
      <c r="D154" t="s">
        <v>24</v>
      </c>
      <c r="E154" t="s">
        <v>5</v>
      </c>
      <c r="F154" s="9">
        <v>2674079.63</v>
      </c>
      <c r="G154" s="9">
        <v>482458.63</v>
      </c>
    </row>
    <row r="155" spans="1:7">
      <c r="A155" t="s">
        <v>1698</v>
      </c>
      <c r="B155" s="15">
        <v>45566</v>
      </c>
      <c r="C155" t="s">
        <v>23</v>
      </c>
      <c r="D155" t="s">
        <v>24</v>
      </c>
      <c r="E155" t="s">
        <v>8</v>
      </c>
      <c r="F155" s="9">
        <v>2963705.31</v>
      </c>
      <c r="G155" s="9">
        <v>587169.25</v>
      </c>
    </row>
    <row r="156" spans="1:7">
      <c r="A156" t="s">
        <v>1699</v>
      </c>
      <c r="B156" s="15">
        <v>45566</v>
      </c>
      <c r="C156" t="s">
        <v>23</v>
      </c>
      <c r="D156" t="s">
        <v>24</v>
      </c>
      <c r="E156" t="s">
        <v>11</v>
      </c>
      <c r="F156" s="9">
        <v>3278449.47</v>
      </c>
      <c r="G156" s="9">
        <v>507894.61</v>
      </c>
    </row>
    <row r="157" spans="1:7">
      <c r="A157" t="s">
        <v>1700</v>
      </c>
      <c r="B157" s="15">
        <v>45566</v>
      </c>
      <c r="C157" t="s">
        <v>23</v>
      </c>
      <c r="D157" t="s">
        <v>24</v>
      </c>
      <c r="E157" t="s">
        <v>14</v>
      </c>
      <c r="F157" s="9">
        <v>3467117.63</v>
      </c>
      <c r="G157" s="9">
        <v>573722.25</v>
      </c>
    </row>
    <row r="158" spans="1:7">
      <c r="A158" t="s">
        <v>1701</v>
      </c>
      <c r="B158" s="15">
        <v>45566</v>
      </c>
      <c r="C158" t="s">
        <v>25</v>
      </c>
      <c r="D158" t="s">
        <v>26</v>
      </c>
      <c r="E158" t="s">
        <v>5</v>
      </c>
      <c r="F158" s="9">
        <v>2250199.0499999998</v>
      </c>
      <c r="G158" s="9">
        <v>417838.91</v>
      </c>
    </row>
    <row r="159" spans="1:7">
      <c r="A159" t="s">
        <v>1702</v>
      </c>
      <c r="B159" s="15">
        <v>45566</v>
      </c>
      <c r="C159" t="s">
        <v>25</v>
      </c>
      <c r="D159" t="s">
        <v>26</v>
      </c>
      <c r="E159" t="s">
        <v>8</v>
      </c>
      <c r="F159" s="9">
        <v>2279776.91</v>
      </c>
      <c r="G159" s="9">
        <v>457723.45</v>
      </c>
    </row>
    <row r="160" spans="1:7">
      <c r="A160" t="s">
        <v>1703</v>
      </c>
      <c r="B160" s="15">
        <v>45566</v>
      </c>
      <c r="C160" t="s">
        <v>25</v>
      </c>
      <c r="D160" t="s">
        <v>26</v>
      </c>
      <c r="E160" t="s">
        <v>11</v>
      </c>
      <c r="F160" s="9">
        <v>2794264.85</v>
      </c>
      <c r="G160" s="9">
        <v>464357.38</v>
      </c>
    </row>
    <row r="161" spans="1:7">
      <c r="A161" t="s">
        <v>1704</v>
      </c>
      <c r="B161" s="15">
        <v>45566</v>
      </c>
      <c r="C161" t="s">
        <v>25</v>
      </c>
      <c r="D161" t="s">
        <v>26</v>
      </c>
      <c r="E161" t="s">
        <v>14</v>
      </c>
      <c r="F161" s="9">
        <v>2988931.87</v>
      </c>
      <c r="G161" s="9">
        <v>513914.6</v>
      </c>
    </row>
    <row r="162" spans="1:7">
      <c r="A162" t="s">
        <v>1705</v>
      </c>
      <c r="B162" s="15">
        <v>45597</v>
      </c>
      <c r="C162" t="s">
        <v>19</v>
      </c>
      <c r="D162" t="s">
        <v>20</v>
      </c>
      <c r="E162" t="s">
        <v>5</v>
      </c>
      <c r="F162" s="9">
        <v>3432494.21</v>
      </c>
      <c r="G162" s="9">
        <v>634305.6</v>
      </c>
    </row>
    <row r="163" spans="1:7">
      <c r="A163" t="s">
        <v>1706</v>
      </c>
      <c r="B163" s="15">
        <v>45597</v>
      </c>
      <c r="C163" t="s">
        <v>19</v>
      </c>
      <c r="D163" t="s">
        <v>20</v>
      </c>
      <c r="E163" t="s">
        <v>8</v>
      </c>
      <c r="F163" s="9">
        <v>3670849.22</v>
      </c>
      <c r="G163" s="9">
        <v>740665.56</v>
      </c>
    </row>
    <row r="164" spans="1:7">
      <c r="A164" t="s">
        <v>1707</v>
      </c>
      <c r="B164" s="15">
        <v>45597</v>
      </c>
      <c r="C164" t="s">
        <v>19</v>
      </c>
      <c r="D164" t="s">
        <v>20</v>
      </c>
      <c r="E164" t="s">
        <v>11</v>
      </c>
      <c r="F164" s="9">
        <v>4250972.17</v>
      </c>
      <c r="G164" s="9">
        <v>682219.41</v>
      </c>
    </row>
    <row r="165" spans="1:7">
      <c r="A165" t="s">
        <v>1708</v>
      </c>
      <c r="B165" s="15">
        <v>45597</v>
      </c>
      <c r="C165" t="s">
        <v>19</v>
      </c>
      <c r="D165" t="s">
        <v>20</v>
      </c>
      <c r="E165" t="s">
        <v>14</v>
      </c>
      <c r="F165" s="9">
        <v>4469404.54</v>
      </c>
      <c r="G165" s="9">
        <v>773475.34</v>
      </c>
    </row>
    <row r="166" spans="1:7">
      <c r="A166" t="s">
        <v>1709</v>
      </c>
      <c r="B166" s="15">
        <v>45597</v>
      </c>
      <c r="C166" t="s">
        <v>21</v>
      </c>
      <c r="D166" t="s">
        <v>22</v>
      </c>
      <c r="E166" t="s">
        <v>5</v>
      </c>
      <c r="F166" s="9">
        <v>2604553.4900000002</v>
      </c>
      <c r="G166" s="9">
        <v>453221.15</v>
      </c>
    </row>
    <row r="167" spans="1:7">
      <c r="A167" t="s">
        <v>1710</v>
      </c>
      <c r="B167" s="15">
        <v>45597</v>
      </c>
      <c r="C167" t="s">
        <v>21</v>
      </c>
      <c r="D167" t="s">
        <v>22</v>
      </c>
      <c r="E167" t="s">
        <v>8</v>
      </c>
      <c r="F167" s="9">
        <v>2825176.83</v>
      </c>
      <c r="G167" s="9">
        <v>582782.68000000005</v>
      </c>
    </row>
    <row r="168" spans="1:7">
      <c r="A168" t="s">
        <v>1711</v>
      </c>
      <c r="B168" s="15">
        <v>45597</v>
      </c>
      <c r="C168" t="s">
        <v>21</v>
      </c>
      <c r="D168" t="s">
        <v>22</v>
      </c>
      <c r="E168" t="s">
        <v>11</v>
      </c>
      <c r="F168" s="9">
        <v>3080402.92</v>
      </c>
      <c r="G168" s="9">
        <v>484297.56</v>
      </c>
    </row>
    <row r="169" spans="1:7">
      <c r="A169" t="s">
        <v>1712</v>
      </c>
      <c r="B169" s="15">
        <v>45597</v>
      </c>
      <c r="C169" t="s">
        <v>21</v>
      </c>
      <c r="D169" t="s">
        <v>22</v>
      </c>
      <c r="E169" t="s">
        <v>14</v>
      </c>
      <c r="F169" s="9">
        <v>3515028.35</v>
      </c>
      <c r="G169" s="9">
        <v>601688.68000000005</v>
      </c>
    </row>
    <row r="170" spans="1:7">
      <c r="A170" t="s">
        <v>1713</v>
      </c>
      <c r="B170" s="15">
        <v>45597</v>
      </c>
      <c r="C170" t="s">
        <v>23</v>
      </c>
      <c r="D170" t="s">
        <v>24</v>
      </c>
      <c r="E170" t="s">
        <v>5</v>
      </c>
      <c r="F170" s="9">
        <v>2646098.35</v>
      </c>
      <c r="G170" s="9">
        <v>495348.79</v>
      </c>
    </row>
    <row r="171" spans="1:7">
      <c r="A171" t="s">
        <v>1714</v>
      </c>
      <c r="B171" s="15">
        <v>45597</v>
      </c>
      <c r="C171" t="s">
        <v>23</v>
      </c>
      <c r="D171" t="s">
        <v>24</v>
      </c>
      <c r="E171" t="s">
        <v>8</v>
      </c>
      <c r="F171" s="9">
        <v>2864863.02</v>
      </c>
      <c r="G171" s="9">
        <v>587619.38</v>
      </c>
    </row>
    <row r="172" spans="1:7">
      <c r="A172" t="s">
        <v>1715</v>
      </c>
      <c r="B172" s="15">
        <v>45597</v>
      </c>
      <c r="C172" t="s">
        <v>23</v>
      </c>
      <c r="D172" t="s">
        <v>24</v>
      </c>
      <c r="E172" t="s">
        <v>11</v>
      </c>
      <c r="F172" s="9">
        <v>3359835.05</v>
      </c>
      <c r="G172" s="9">
        <v>542488.04</v>
      </c>
    </row>
    <row r="173" spans="1:7">
      <c r="A173" t="s">
        <v>1716</v>
      </c>
      <c r="B173" s="15">
        <v>45597</v>
      </c>
      <c r="C173" t="s">
        <v>23</v>
      </c>
      <c r="D173" t="s">
        <v>24</v>
      </c>
      <c r="E173" t="s">
        <v>14</v>
      </c>
      <c r="F173" s="9">
        <v>3560360.37</v>
      </c>
      <c r="G173" s="9">
        <v>617939.41</v>
      </c>
    </row>
    <row r="174" spans="1:7">
      <c r="A174" t="s">
        <v>1717</v>
      </c>
      <c r="B174" s="15">
        <v>45597</v>
      </c>
      <c r="C174" t="s">
        <v>25</v>
      </c>
      <c r="D174" t="s">
        <v>26</v>
      </c>
      <c r="E174" t="s">
        <v>5</v>
      </c>
      <c r="F174" s="9">
        <v>2229335.6800000002</v>
      </c>
      <c r="G174" s="9">
        <v>395608.29</v>
      </c>
    </row>
    <row r="175" spans="1:7">
      <c r="A175" t="s">
        <v>1718</v>
      </c>
      <c r="B175" s="15">
        <v>45597</v>
      </c>
      <c r="C175" t="s">
        <v>25</v>
      </c>
      <c r="D175" t="s">
        <v>26</v>
      </c>
      <c r="E175" t="s">
        <v>8</v>
      </c>
      <c r="F175" s="9">
        <v>2345618.38</v>
      </c>
      <c r="G175" s="9">
        <v>472385.91</v>
      </c>
    </row>
    <row r="176" spans="1:7">
      <c r="A176" t="s">
        <v>1719</v>
      </c>
      <c r="B176" s="15">
        <v>45597</v>
      </c>
      <c r="C176" t="s">
        <v>25</v>
      </c>
      <c r="D176" t="s">
        <v>26</v>
      </c>
      <c r="E176" t="s">
        <v>11</v>
      </c>
      <c r="F176" s="9">
        <v>2872049.03</v>
      </c>
      <c r="G176" s="9">
        <v>468808.17</v>
      </c>
    </row>
    <row r="177" spans="1:7">
      <c r="A177" t="s">
        <v>1720</v>
      </c>
      <c r="B177" s="15">
        <v>45597</v>
      </c>
      <c r="C177" t="s">
        <v>25</v>
      </c>
      <c r="D177" t="s">
        <v>26</v>
      </c>
      <c r="E177" t="s">
        <v>14</v>
      </c>
      <c r="F177" s="9">
        <v>3107621.6</v>
      </c>
      <c r="G177" s="9">
        <v>513862.92</v>
      </c>
    </row>
    <row r="178" spans="1:7">
      <c r="A178" t="s">
        <v>1721</v>
      </c>
      <c r="B178" s="15">
        <v>45627</v>
      </c>
      <c r="C178" t="s">
        <v>19</v>
      </c>
      <c r="D178" t="s">
        <v>20</v>
      </c>
      <c r="E178" t="s">
        <v>5</v>
      </c>
      <c r="F178" s="9">
        <v>3437977.82</v>
      </c>
      <c r="G178" s="9">
        <v>615085.86</v>
      </c>
    </row>
    <row r="179" spans="1:7">
      <c r="A179" t="s">
        <v>1722</v>
      </c>
      <c r="B179" s="15">
        <v>45627</v>
      </c>
      <c r="C179" t="s">
        <v>19</v>
      </c>
      <c r="D179" t="s">
        <v>20</v>
      </c>
      <c r="E179" t="s">
        <v>8</v>
      </c>
      <c r="F179" s="9">
        <v>3822454.84</v>
      </c>
      <c r="G179" s="9">
        <v>734663.26</v>
      </c>
    </row>
    <row r="180" spans="1:7">
      <c r="A180" t="s">
        <v>1723</v>
      </c>
      <c r="B180" s="15">
        <v>45627</v>
      </c>
      <c r="C180" t="s">
        <v>19</v>
      </c>
      <c r="D180" t="s">
        <v>20</v>
      </c>
      <c r="E180" t="s">
        <v>11</v>
      </c>
      <c r="F180" s="9">
        <v>4165494.16</v>
      </c>
      <c r="G180" s="9">
        <v>647249.79</v>
      </c>
    </row>
    <row r="181" spans="1:7">
      <c r="A181" t="s">
        <v>1724</v>
      </c>
      <c r="B181" s="15">
        <v>45627</v>
      </c>
      <c r="C181" t="s">
        <v>19</v>
      </c>
      <c r="D181" t="s">
        <v>20</v>
      </c>
      <c r="E181" t="s">
        <v>14</v>
      </c>
      <c r="F181" s="9">
        <v>4684848.62</v>
      </c>
      <c r="G181" s="9">
        <v>823300.99</v>
      </c>
    </row>
    <row r="182" spans="1:7">
      <c r="A182" t="s">
        <v>1725</v>
      </c>
      <c r="B182" s="15">
        <v>45627</v>
      </c>
      <c r="C182" t="s">
        <v>21</v>
      </c>
      <c r="D182" t="s">
        <v>22</v>
      </c>
      <c r="E182" t="s">
        <v>5</v>
      </c>
      <c r="F182" s="9">
        <v>2475465.4700000002</v>
      </c>
      <c r="G182" s="9">
        <v>433855.48</v>
      </c>
    </row>
    <row r="183" spans="1:7">
      <c r="A183" t="s">
        <v>1726</v>
      </c>
      <c r="B183" s="15">
        <v>45627</v>
      </c>
      <c r="C183" t="s">
        <v>21</v>
      </c>
      <c r="D183" t="s">
        <v>22</v>
      </c>
      <c r="E183" t="s">
        <v>8</v>
      </c>
      <c r="F183" s="9">
        <v>2799348.27</v>
      </c>
      <c r="G183" s="9">
        <v>572788.82999999996</v>
      </c>
    </row>
    <row r="184" spans="1:7">
      <c r="A184" t="s">
        <v>1727</v>
      </c>
      <c r="B184" s="15">
        <v>45627</v>
      </c>
      <c r="C184" t="s">
        <v>21</v>
      </c>
      <c r="D184" t="s">
        <v>22</v>
      </c>
      <c r="E184" t="s">
        <v>11</v>
      </c>
      <c r="F184" s="9">
        <v>3319297.98</v>
      </c>
      <c r="G184" s="9">
        <v>514824.59</v>
      </c>
    </row>
    <row r="185" spans="1:7">
      <c r="A185" t="s">
        <v>1728</v>
      </c>
      <c r="B185" s="15">
        <v>45627</v>
      </c>
      <c r="C185" t="s">
        <v>21</v>
      </c>
      <c r="D185" t="s">
        <v>22</v>
      </c>
      <c r="E185" t="s">
        <v>14</v>
      </c>
      <c r="F185" s="9">
        <v>3692862.85</v>
      </c>
      <c r="G185" s="9">
        <v>611459.64</v>
      </c>
    </row>
    <row r="186" spans="1:7">
      <c r="A186" t="s">
        <v>1729</v>
      </c>
      <c r="B186" s="15">
        <v>45627</v>
      </c>
      <c r="C186" t="s">
        <v>23</v>
      </c>
      <c r="D186" t="s">
        <v>24</v>
      </c>
      <c r="E186" t="s">
        <v>5</v>
      </c>
      <c r="F186" s="9">
        <v>2782364.04</v>
      </c>
      <c r="G186" s="9">
        <v>498754.25</v>
      </c>
    </row>
    <row r="187" spans="1:7">
      <c r="A187" t="s">
        <v>1730</v>
      </c>
      <c r="B187" s="15">
        <v>45627</v>
      </c>
      <c r="C187" t="s">
        <v>23</v>
      </c>
      <c r="D187" t="s">
        <v>24</v>
      </c>
      <c r="E187" t="s">
        <v>8</v>
      </c>
      <c r="F187" s="9">
        <v>3027445.32</v>
      </c>
      <c r="G187" s="9">
        <v>623517.37</v>
      </c>
    </row>
    <row r="188" spans="1:7">
      <c r="A188" t="s">
        <v>1731</v>
      </c>
      <c r="B188" s="15">
        <v>45627</v>
      </c>
      <c r="C188" t="s">
        <v>23</v>
      </c>
      <c r="D188" t="s">
        <v>24</v>
      </c>
      <c r="E188" t="s">
        <v>11</v>
      </c>
      <c r="F188" s="9">
        <v>3455631.24</v>
      </c>
      <c r="G188" s="9">
        <v>572185.69999999995</v>
      </c>
    </row>
    <row r="189" spans="1:7">
      <c r="A189" t="s">
        <v>1732</v>
      </c>
      <c r="B189" s="15">
        <v>45627</v>
      </c>
      <c r="C189" t="s">
        <v>23</v>
      </c>
      <c r="D189" t="s">
        <v>24</v>
      </c>
      <c r="E189" t="s">
        <v>14</v>
      </c>
      <c r="F189" s="9">
        <v>3648374.62</v>
      </c>
      <c r="G189" s="9">
        <v>625614.34</v>
      </c>
    </row>
    <row r="190" spans="1:7">
      <c r="A190" t="s">
        <v>1733</v>
      </c>
      <c r="B190" s="15">
        <v>45627</v>
      </c>
      <c r="C190" t="s">
        <v>25</v>
      </c>
      <c r="D190" t="s">
        <v>26</v>
      </c>
      <c r="E190" t="s">
        <v>5</v>
      </c>
      <c r="F190" s="9">
        <v>2230568.89</v>
      </c>
      <c r="G190" s="9">
        <v>410284.3</v>
      </c>
    </row>
    <row r="191" spans="1:7">
      <c r="A191" t="s">
        <v>1734</v>
      </c>
      <c r="B191" s="15">
        <v>45627</v>
      </c>
      <c r="C191" t="s">
        <v>25</v>
      </c>
      <c r="D191" t="s">
        <v>26</v>
      </c>
      <c r="E191" t="s">
        <v>8</v>
      </c>
      <c r="F191" s="9">
        <v>2574256.34</v>
      </c>
      <c r="G191" s="9">
        <v>514222.2</v>
      </c>
    </row>
    <row r="192" spans="1:7">
      <c r="A192" t="s">
        <v>1735</v>
      </c>
      <c r="B192" s="15">
        <v>45627</v>
      </c>
      <c r="C192" t="s">
        <v>25</v>
      </c>
      <c r="D192" t="s">
        <v>26</v>
      </c>
      <c r="E192" t="s">
        <v>11</v>
      </c>
      <c r="F192" s="9">
        <v>2840835</v>
      </c>
      <c r="G192" s="9">
        <v>439434.18</v>
      </c>
    </row>
    <row r="193" spans="1:7">
      <c r="A193" t="s">
        <v>1736</v>
      </c>
      <c r="B193" s="15">
        <v>45627</v>
      </c>
      <c r="C193" t="s">
        <v>25</v>
      </c>
      <c r="D193" t="s">
        <v>26</v>
      </c>
      <c r="E193" t="s">
        <v>14</v>
      </c>
      <c r="F193" s="9">
        <v>3002039.68</v>
      </c>
      <c r="G193" s="9">
        <v>509803.49</v>
      </c>
    </row>
    <row r="194" spans="1:7">
      <c r="A194" t="s">
        <v>1737</v>
      </c>
      <c r="B194" s="15">
        <v>45658</v>
      </c>
      <c r="C194" t="s">
        <v>19</v>
      </c>
      <c r="D194" t="s">
        <v>20</v>
      </c>
      <c r="E194" t="s">
        <v>5</v>
      </c>
      <c r="F194" s="9">
        <v>3345842.25</v>
      </c>
      <c r="G194" s="9">
        <v>627649.84</v>
      </c>
    </row>
    <row r="195" spans="1:7">
      <c r="A195" t="s">
        <v>1738</v>
      </c>
      <c r="B195" s="15">
        <v>45658</v>
      </c>
      <c r="C195" t="s">
        <v>19</v>
      </c>
      <c r="D195" t="s">
        <v>20</v>
      </c>
      <c r="E195" t="s">
        <v>8</v>
      </c>
      <c r="F195" s="9">
        <v>3454427.65</v>
      </c>
      <c r="G195" s="9">
        <v>687377.8</v>
      </c>
    </row>
    <row r="196" spans="1:7">
      <c r="A196" t="s">
        <v>1739</v>
      </c>
      <c r="B196" s="15">
        <v>45658</v>
      </c>
      <c r="C196" t="s">
        <v>19</v>
      </c>
      <c r="D196" t="s">
        <v>20</v>
      </c>
      <c r="E196" t="s">
        <v>11</v>
      </c>
      <c r="F196" s="9">
        <v>3892162.03</v>
      </c>
      <c r="G196" s="9">
        <v>618292.9</v>
      </c>
    </row>
    <row r="197" spans="1:7">
      <c r="A197" t="s">
        <v>1740</v>
      </c>
      <c r="B197" s="15">
        <v>45658</v>
      </c>
      <c r="C197" t="s">
        <v>19</v>
      </c>
      <c r="D197" t="s">
        <v>20</v>
      </c>
      <c r="E197" t="s">
        <v>14</v>
      </c>
      <c r="F197" s="9">
        <v>4380295.83</v>
      </c>
      <c r="G197" s="9">
        <v>784996.21</v>
      </c>
    </row>
    <row r="198" spans="1:7">
      <c r="A198" t="s">
        <v>1741</v>
      </c>
      <c r="B198" s="15">
        <v>45658</v>
      </c>
      <c r="C198" t="s">
        <v>21</v>
      </c>
      <c r="D198" t="s">
        <v>22</v>
      </c>
      <c r="E198" t="s">
        <v>5</v>
      </c>
      <c r="F198" s="9">
        <v>2568718.71</v>
      </c>
      <c r="G198" s="9">
        <v>509926.3</v>
      </c>
    </row>
    <row r="199" spans="1:7">
      <c r="A199" t="s">
        <v>1742</v>
      </c>
      <c r="B199" s="15">
        <v>45658</v>
      </c>
      <c r="C199" t="s">
        <v>21</v>
      </c>
      <c r="D199" t="s">
        <v>22</v>
      </c>
      <c r="E199" t="s">
        <v>8</v>
      </c>
      <c r="F199" s="9">
        <v>2660368.2000000002</v>
      </c>
      <c r="G199" s="9">
        <v>551919.72</v>
      </c>
    </row>
    <row r="200" spans="1:7">
      <c r="A200" t="s">
        <v>1743</v>
      </c>
      <c r="B200" s="15">
        <v>45658</v>
      </c>
      <c r="C200" t="s">
        <v>21</v>
      </c>
      <c r="D200" t="s">
        <v>22</v>
      </c>
      <c r="E200" t="s">
        <v>11</v>
      </c>
      <c r="F200" s="9">
        <v>2814434.9</v>
      </c>
      <c r="G200" s="9">
        <v>472743.04</v>
      </c>
    </row>
    <row r="201" spans="1:7">
      <c r="A201" t="s">
        <v>1744</v>
      </c>
      <c r="B201" s="15">
        <v>45658</v>
      </c>
      <c r="C201" t="s">
        <v>21</v>
      </c>
      <c r="D201" t="s">
        <v>22</v>
      </c>
      <c r="E201" t="s">
        <v>14</v>
      </c>
      <c r="F201" s="9">
        <v>3229794.05</v>
      </c>
      <c r="G201" s="9">
        <v>565181.99</v>
      </c>
    </row>
    <row r="202" spans="1:7">
      <c r="A202" t="s">
        <v>1745</v>
      </c>
      <c r="B202" s="15">
        <v>45658</v>
      </c>
      <c r="C202" t="s">
        <v>23</v>
      </c>
      <c r="D202" t="s">
        <v>24</v>
      </c>
      <c r="E202" t="s">
        <v>5</v>
      </c>
      <c r="F202" s="9">
        <v>2663014.71</v>
      </c>
      <c r="G202" s="9">
        <v>500059.19</v>
      </c>
    </row>
    <row r="203" spans="1:7">
      <c r="A203" t="s">
        <v>1746</v>
      </c>
      <c r="B203" s="15">
        <v>45658</v>
      </c>
      <c r="C203" t="s">
        <v>23</v>
      </c>
      <c r="D203" t="s">
        <v>24</v>
      </c>
      <c r="E203" t="s">
        <v>8</v>
      </c>
      <c r="F203" s="9">
        <v>2840291.49</v>
      </c>
      <c r="G203" s="9">
        <v>581897.43000000005</v>
      </c>
    </row>
    <row r="204" spans="1:7">
      <c r="A204" t="s">
        <v>1747</v>
      </c>
      <c r="B204" s="15">
        <v>45658</v>
      </c>
      <c r="C204" t="s">
        <v>23</v>
      </c>
      <c r="D204" t="s">
        <v>24</v>
      </c>
      <c r="E204" t="s">
        <v>11</v>
      </c>
      <c r="F204" s="9">
        <v>3041784.59</v>
      </c>
      <c r="G204" s="9">
        <v>487369.2</v>
      </c>
    </row>
    <row r="205" spans="1:7">
      <c r="A205" t="s">
        <v>1748</v>
      </c>
      <c r="B205" s="15">
        <v>45658</v>
      </c>
      <c r="C205" t="s">
        <v>23</v>
      </c>
      <c r="D205" t="s">
        <v>24</v>
      </c>
      <c r="E205" t="s">
        <v>14</v>
      </c>
      <c r="F205" s="9">
        <v>3196965.87</v>
      </c>
      <c r="G205" s="9">
        <v>574919.36</v>
      </c>
    </row>
    <row r="206" spans="1:7">
      <c r="A206" t="s">
        <v>1749</v>
      </c>
      <c r="B206" s="15">
        <v>45658</v>
      </c>
      <c r="C206" t="s">
        <v>25</v>
      </c>
      <c r="D206" t="s">
        <v>26</v>
      </c>
      <c r="E206" t="s">
        <v>5</v>
      </c>
      <c r="F206" s="9">
        <v>2191643.19</v>
      </c>
      <c r="G206" s="9">
        <v>419488.46</v>
      </c>
    </row>
    <row r="207" spans="1:7">
      <c r="A207" t="s">
        <v>1750</v>
      </c>
      <c r="B207" s="15">
        <v>45658</v>
      </c>
      <c r="C207" t="s">
        <v>25</v>
      </c>
      <c r="D207" t="s">
        <v>26</v>
      </c>
      <c r="E207" t="s">
        <v>8</v>
      </c>
      <c r="F207" s="9">
        <v>2228390.61</v>
      </c>
      <c r="G207" s="9">
        <v>460762.43</v>
      </c>
    </row>
    <row r="208" spans="1:7">
      <c r="A208" t="s">
        <v>1751</v>
      </c>
      <c r="B208" s="15">
        <v>45658</v>
      </c>
      <c r="C208" t="s">
        <v>25</v>
      </c>
      <c r="D208" t="s">
        <v>26</v>
      </c>
      <c r="E208" t="s">
        <v>11</v>
      </c>
      <c r="F208" s="9">
        <v>2526888.0699999998</v>
      </c>
      <c r="G208" s="9">
        <v>426077.8</v>
      </c>
    </row>
    <row r="209" spans="1:7">
      <c r="A209" t="s">
        <v>1752</v>
      </c>
      <c r="B209" s="15">
        <v>45658</v>
      </c>
      <c r="C209" t="s">
        <v>25</v>
      </c>
      <c r="D209" t="s">
        <v>26</v>
      </c>
      <c r="E209" t="s">
        <v>14</v>
      </c>
      <c r="F209" s="9">
        <v>2746863.89</v>
      </c>
      <c r="G209" s="9">
        <v>465096.63</v>
      </c>
    </row>
    <row r="210" spans="1:7">
      <c r="A210" t="s">
        <v>1753</v>
      </c>
      <c r="B210" s="15">
        <v>45689</v>
      </c>
      <c r="C210" t="s">
        <v>19</v>
      </c>
      <c r="D210" t="s">
        <v>20</v>
      </c>
      <c r="E210" t="s">
        <v>5</v>
      </c>
      <c r="F210" s="9">
        <v>3274707.53</v>
      </c>
      <c r="G210" s="9">
        <v>598824.05000000005</v>
      </c>
    </row>
    <row r="211" spans="1:7">
      <c r="A211" t="s">
        <v>1754</v>
      </c>
      <c r="B211" s="15">
        <v>45689</v>
      </c>
      <c r="C211" t="s">
        <v>19</v>
      </c>
      <c r="D211" t="s">
        <v>20</v>
      </c>
      <c r="E211" t="s">
        <v>8</v>
      </c>
      <c r="F211" s="9">
        <v>3711607.49</v>
      </c>
      <c r="G211" s="9">
        <v>750680.21</v>
      </c>
    </row>
    <row r="212" spans="1:7">
      <c r="A212" t="s">
        <v>1755</v>
      </c>
      <c r="B212" s="15">
        <v>45689</v>
      </c>
      <c r="C212" t="s">
        <v>19</v>
      </c>
      <c r="D212" t="s">
        <v>20</v>
      </c>
      <c r="E212" t="s">
        <v>11</v>
      </c>
      <c r="F212" s="9">
        <v>3960498.24</v>
      </c>
      <c r="G212" s="9">
        <v>621846.98</v>
      </c>
    </row>
    <row r="213" spans="1:7">
      <c r="A213" t="s">
        <v>1756</v>
      </c>
      <c r="B213" s="15">
        <v>45689</v>
      </c>
      <c r="C213" t="s">
        <v>19</v>
      </c>
      <c r="D213" t="s">
        <v>20</v>
      </c>
      <c r="E213" t="s">
        <v>14</v>
      </c>
      <c r="F213" s="9">
        <v>4436744.6900000004</v>
      </c>
      <c r="G213" s="9">
        <v>760210.87</v>
      </c>
    </row>
    <row r="214" spans="1:7">
      <c r="A214" t="s">
        <v>1757</v>
      </c>
      <c r="B214" s="15">
        <v>45689</v>
      </c>
      <c r="C214" t="s">
        <v>21</v>
      </c>
      <c r="D214" t="s">
        <v>22</v>
      </c>
      <c r="E214" t="s">
        <v>5</v>
      </c>
      <c r="F214" s="9">
        <v>2624440.41</v>
      </c>
      <c r="G214" s="9">
        <v>524364.38</v>
      </c>
    </row>
    <row r="215" spans="1:7">
      <c r="A215" t="s">
        <v>1758</v>
      </c>
      <c r="B215" s="15">
        <v>45689</v>
      </c>
      <c r="C215" t="s">
        <v>21</v>
      </c>
      <c r="D215" t="s">
        <v>22</v>
      </c>
      <c r="E215" t="s">
        <v>8</v>
      </c>
      <c r="F215" s="9">
        <v>2717668.92</v>
      </c>
      <c r="G215" s="9">
        <v>581053.38</v>
      </c>
    </row>
    <row r="216" spans="1:7">
      <c r="A216" t="s">
        <v>1759</v>
      </c>
      <c r="B216" s="15">
        <v>45689</v>
      </c>
      <c r="C216" t="s">
        <v>21</v>
      </c>
      <c r="D216" t="s">
        <v>22</v>
      </c>
      <c r="E216" t="s">
        <v>11</v>
      </c>
      <c r="F216" s="9">
        <v>2881113.29</v>
      </c>
      <c r="G216" s="9">
        <v>488570.15</v>
      </c>
    </row>
    <row r="217" spans="1:7">
      <c r="A217" t="s">
        <v>1760</v>
      </c>
      <c r="B217" s="15">
        <v>45689</v>
      </c>
      <c r="C217" t="s">
        <v>21</v>
      </c>
      <c r="D217" t="s">
        <v>22</v>
      </c>
      <c r="E217" t="s">
        <v>14</v>
      </c>
      <c r="F217" s="9">
        <v>3307647.32</v>
      </c>
      <c r="G217" s="9">
        <v>592353.55000000005</v>
      </c>
    </row>
    <row r="218" spans="1:7">
      <c r="A218" t="s">
        <v>1761</v>
      </c>
      <c r="B218" s="15">
        <v>45689</v>
      </c>
      <c r="C218" t="s">
        <v>23</v>
      </c>
      <c r="D218" t="s">
        <v>24</v>
      </c>
      <c r="E218" t="s">
        <v>5</v>
      </c>
      <c r="F218" s="9">
        <v>2670027.06</v>
      </c>
      <c r="G218" s="9">
        <v>516594.58</v>
      </c>
    </row>
    <row r="219" spans="1:7">
      <c r="A219" t="s">
        <v>1762</v>
      </c>
      <c r="B219" s="15">
        <v>45689</v>
      </c>
      <c r="C219" t="s">
        <v>23</v>
      </c>
      <c r="D219" t="s">
        <v>24</v>
      </c>
      <c r="E219" t="s">
        <v>8</v>
      </c>
      <c r="F219" s="9">
        <v>2860522.27</v>
      </c>
      <c r="G219" s="9">
        <v>585718.06000000006</v>
      </c>
    </row>
    <row r="220" spans="1:7">
      <c r="A220" t="s">
        <v>1763</v>
      </c>
      <c r="B220" s="15">
        <v>45689</v>
      </c>
      <c r="C220" t="s">
        <v>23</v>
      </c>
      <c r="D220" t="s">
        <v>24</v>
      </c>
      <c r="E220" t="s">
        <v>11</v>
      </c>
      <c r="F220" s="9">
        <v>3164051.7</v>
      </c>
      <c r="G220" s="9">
        <v>484912.87</v>
      </c>
    </row>
    <row r="221" spans="1:7">
      <c r="A221" t="s">
        <v>1764</v>
      </c>
      <c r="B221" s="15">
        <v>45689</v>
      </c>
      <c r="C221" t="s">
        <v>23</v>
      </c>
      <c r="D221" t="s">
        <v>24</v>
      </c>
      <c r="E221" t="s">
        <v>14</v>
      </c>
      <c r="F221" s="9">
        <v>3336938.72</v>
      </c>
      <c r="G221" s="9">
        <v>564186.81999999995</v>
      </c>
    </row>
    <row r="222" spans="1:7">
      <c r="A222" t="s">
        <v>1765</v>
      </c>
      <c r="B222" s="15">
        <v>45689</v>
      </c>
      <c r="C222" t="s">
        <v>25</v>
      </c>
      <c r="D222" t="s">
        <v>26</v>
      </c>
      <c r="E222" t="s">
        <v>5</v>
      </c>
      <c r="F222" s="9">
        <v>2182333.91</v>
      </c>
      <c r="G222" s="9">
        <v>410611.93</v>
      </c>
    </row>
    <row r="223" spans="1:7">
      <c r="A223" t="s">
        <v>1766</v>
      </c>
      <c r="B223" s="15">
        <v>45689</v>
      </c>
      <c r="C223" t="s">
        <v>25</v>
      </c>
      <c r="D223" t="s">
        <v>26</v>
      </c>
      <c r="E223" t="s">
        <v>8</v>
      </c>
      <c r="F223" s="9">
        <v>2351666.73</v>
      </c>
      <c r="G223" s="9">
        <v>491294.99</v>
      </c>
    </row>
    <row r="224" spans="1:7">
      <c r="A224" t="s">
        <v>1767</v>
      </c>
      <c r="B224" s="15">
        <v>45689</v>
      </c>
      <c r="C224" t="s">
        <v>25</v>
      </c>
      <c r="D224" t="s">
        <v>26</v>
      </c>
      <c r="E224" t="s">
        <v>11</v>
      </c>
      <c r="F224" s="9">
        <v>2664039.7999999998</v>
      </c>
      <c r="G224" s="9">
        <v>441941.16</v>
      </c>
    </row>
    <row r="225" spans="1:7">
      <c r="A225" t="s">
        <v>1768</v>
      </c>
      <c r="B225" s="15">
        <v>45689</v>
      </c>
      <c r="C225" t="s">
        <v>25</v>
      </c>
      <c r="D225" t="s">
        <v>26</v>
      </c>
      <c r="E225" t="s">
        <v>14</v>
      </c>
      <c r="F225" s="9">
        <v>2913082.01</v>
      </c>
      <c r="G225" s="9">
        <v>498949.16</v>
      </c>
    </row>
    <row r="226" spans="1:7">
      <c r="A226" t="s">
        <v>1769</v>
      </c>
      <c r="B226" s="15">
        <v>45717</v>
      </c>
      <c r="C226" t="s">
        <v>19</v>
      </c>
      <c r="D226" t="s">
        <v>20</v>
      </c>
      <c r="E226" t="s">
        <v>5</v>
      </c>
      <c r="F226" s="9">
        <v>3528518.66</v>
      </c>
      <c r="G226" s="9">
        <v>628389.22</v>
      </c>
    </row>
    <row r="227" spans="1:7">
      <c r="A227" t="s">
        <v>1770</v>
      </c>
      <c r="B227" s="15">
        <v>45717</v>
      </c>
      <c r="C227" t="s">
        <v>19</v>
      </c>
      <c r="D227" t="s">
        <v>20</v>
      </c>
      <c r="E227" t="s">
        <v>8</v>
      </c>
      <c r="F227" s="9">
        <v>3810169.34</v>
      </c>
      <c r="G227" s="9">
        <v>825560.68</v>
      </c>
    </row>
    <row r="228" spans="1:7">
      <c r="A228" t="s">
        <v>1771</v>
      </c>
      <c r="B228" s="15">
        <v>45717</v>
      </c>
      <c r="C228" t="s">
        <v>19</v>
      </c>
      <c r="D228" t="s">
        <v>20</v>
      </c>
      <c r="E228" t="s">
        <v>11</v>
      </c>
      <c r="F228" s="9">
        <v>4281786.22</v>
      </c>
      <c r="G228" s="9">
        <v>688686.2</v>
      </c>
    </row>
    <row r="229" spans="1:7">
      <c r="A229" t="s">
        <v>1772</v>
      </c>
      <c r="B229" s="15">
        <v>45717</v>
      </c>
      <c r="C229" t="s">
        <v>19</v>
      </c>
      <c r="D229" t="s">
        <v>20</v>
      </c>
      <c r="E229" t="s">
        <v>14</v>
      </c>
      <c r="F229" s="9">
        <v>4882439.51</v>
      </c>
      <c r="G229" s="9">
        <v>824323.08</v>
      </c>
    </row>
    <row r="230" spans="1:7">
      <c r="A230" t="s">
        <v>1773</v>
      </c>
      <c r="B230" s="15">
        <v>45717</v>
      </c>
      <c r="C230" t="s">
        <v>21</v>
      </c>
      <c r="D230" t="s">
        <v>22</v>
      </c>
      <c r="E230" t="s">
        <v>5</v>
      </c>
      <c r="F230" s="9">
        <v>2874451.14</v>
      </c>
      <c r="G230" s="9">
        <v>548373.78</v>
      </c>
    </row>
    <row r="231" spans="1:7">
      <c r="A231" t="s">
        <v>1774</v>
      </c>
      <c r="B231" s="15">
        <v>45717</v>
      </c>
      <c r="C231" t="s">
        <v>21</v>
      </c>
      <c r="D231" t="s">
        <v>22</v>
      </c>
      <c r="E231" t="s">
        <v>8</v>
      </c>
      <c r="F231" s="9">
        <v>2836568.46</v>
      </c>
      <c r="G231" s="9">
        <v>587054.93999999994</v>
      </c>
    </row>
    <row r="232" spans="1:7">
      <c r="A232" t="s">
        <v>1775</v>
      </c>
      <c r="B232" s="15">
        <v>45717</v>
      </c>
      <c r="C232" t="s">
        <v>21</v>
      </c>
      <c r="D232" t="s">
        <v>22</v>
      </c>
      <c r="E232" t="s">
        <v>11</v>
      </c>
      <c r="F232" s="9">
        <v>2984204.44</v>
      </c>
      <c r="G232" s="9">
        <v>504084.24</v>
      </c>
    </row>
    <row r="233" spans="1:7">
      <c r="A233" t="s">
        <v>1776</v>
      </c>
      <c r="B233" s="15">
        <v>45717</v>
      </c>
      <c r="C233" t="s">
        <v>21</v>
      </c>
      <c r="D233" t="s">
        <v>22</v>
      </c>
      <c r="E233" t="s">
        <v>14</v>
      </c>
      <c r="F233" s="9">
        <v>3563065.63</v>
      </c>
      <c r="G233" s="9">
        <v>615095.30000000005</v>
      </c>
    </row>
    <row r="234" spans="1:7">
      <c r="A234" t="s">
        <v>1777</v>
      </c>
      <c r="B234" s="15">
        <v>45717</v>
      </c>
      <c r="C234" t="s">
        <v>23</v>
      </c>
      <c r="D234" t="s">
        <v>24</v>
      </c>
      <c r="E234" t="s">
        <v>5</v>
      </c>
      <c r="F234" s="9">
        <v>2850685.28</v>
      </c>
      <c r="G234" s="9">
        <v>540203.09</v>
      </c>
    </row>
    <row r="235" spans="1:7">
      <c r="A235" t="s">
        <v>1778</v>
      </c>
      <c r="B235" s="15">
        <v>45717</v>
      </c>
      <c r="C235" t="s">
        <v>23</v>
      </c>
      <c r="D235" t="s">
        <v>24</v>
      </c>
      <c r="E235" t="s">
        <v>8</v>
      </c>
      <c r="F235" s="9">
        <v>3039650.71</v>
      </c>
      <c r="G235" s="9">
        <v>598381.1</v>
      </c>
    </row>
    <row r="236" spans="1:7">
      <c r="A236" t="s">
        <v>1779</v>
      </c>
      <c r="B236" s="15">
        <v>45717</v>
      </c>
      <c r="C236" t="s">
        <v>23</v>
      </c>
      <c r="D236" t="s">
        <v>24</v>
      </c>
      <c r="E236" t="s">
        <v>11</v>
      </c>
      <c r="F236" s="9">
        <v>3285233.03</v>
      </c>
      <c r="G236" s="9">
        <v>554332.54</v>
      </c>
    </row>
    <row r="237" spans="1:7">
      <c r="A237" t="s">
        <v>1780</v>
      </c>
      <c r="B237" s="15">
        <v>45717</v>
      </c>
      <c r="C237" t="s">
        <v>23</v>
      </c>
      <c r="D237" t="s">
        <v>24</v>
      </c>
      <c r="E237" t="s">
        <v>14</v>
      </c>
      <c r="F237" s="9">
        <v>3498247.17</v>
      </c>
      <c r="G237" s="9">
        <v>588796.26</v>
      </c>
    </row>
    <row r="238" spans="1:7">
      <c r="A238" t="s">
        <v>1781</v>
      </c>
      <c r="B238" s="15">
        <v>45717</v>
      </c>
      <c r="C238" t="s">
        <v>25</v>
      </c>
      <c r="D238" t="s">
        <v>26</v>
      </c>
      <c r="E238" t="s">
        <v>5</v>
      </c>
      <c r="F238" s="9">
        <v>2312474.38</v>
      </c>
      <c r="G238" s="9">
        <v>418145.39</v>
      </c>
    </row>
    <row r="239" spans="1:7">
      <c r="A239" t="s">
        <v>1782</v>
      </c>
      <c r="B239" s="15">
        <v>45717</v>
      </c>
      <c r="C239" t="s">
        <v>25</v>
      </c>
      <c r="D239" t="s">
        <v>26</v>
      </c>
      <c r="E239" t="s">
        <v>8</v>
      </c>
      <c r="F239" s="9">
        <v>2368565.5</v>
      </c>
      <c r="G239" s="9">
        <v>466490.42</v>
      </c>
    </row>
    <row r="240" spans="1:7">
      <c r="A240" t="s">
        <v>1783</v>
      </c>
      <c r="B240" s="15">
        <v>45717</v>
      </c>
      <c r="C240" t="s">
        <v>25</v>
      </c>
      <c r="D240" t="s">
        <v>26</v>
      </c>
      <c r="E240" t="s">
        <v>11</v>
      </c>
      <c r="F240" s="9">
        <v>2648879.81</v>
      </c>
      <c r="G240" s="9">
        <v>421854.36</v>
      </c>
    </row>
    <row r="241" spans="1:7">
      <c r="A241" t="s">
        <v>1784</v>
      </c>
      <c r="B241" s="15">
        <v>45717</v>
      </c>
      <c r="C241" t="s">
        <v>25</v>
      </c>
      <c r="D241" t="s">
        <v>26</v>
      </c>
      <c r="E241" t="s">
        <v>14</v>
      </c>
      <c r="F241" s="9">
        <v>3019676.47</v>
      </c>
      <c r="G241" s="9">
        <v>495411.36</v>
      </c>
    </row>
    <row r="242" spans="1:7">
      <c r="A242" t="s">
        <v>1785</v>
      </c>
      <c r="B242" s="15">
        <v>45748</v>
      </c>
      <c r="C242" t="s">
        <v>19</v>
      </c>
      <c r="D242" t="s">
        <v>20</v>
      </c>
      <c r="E242" t="s">
        <v>5</v>
      </c>
      <c r="F242" s="9">
        <v>3758427.66</v>
      </c>
      <c r="G242" s="9">
        <v>717681.8</v>
      </c>
    </row>
    <row r="243" spans="1:7">
      <c r="A243" t="s">
        <v>1786</v>
      </c>
      <c r="B243" s="15">
        <v>45748</v>
      </c>
      <c r="C243" t="s">
        <v>19</v>
      </c>
      <c r="D243" t="s">
        <v>20</v>
      </c>
      <c r="E243" t="s">
        <v>8</v>
      </c>
      <c r="F243" s="9">
        <v>3947693.05</v>
      </c>
      <c r="G243" s="9">
        <v>844711.13</v>
      </c>
    </row>
    <row r="244" spans="1:7">
      <c r="A244" t="s">
        <v>1787</v>
      </c>
      <c r="B244" s="15">
        <v>45748</v>
      </c>
      <c r="C244" t="s">
        <v>19</v>
      </c>
      <c r="D244" t="s">
        <v>20</v>
      </c>
      <c r="E244" t="s">
        <v>11</v>
      </c>
      <c r="F244" s="9">
        <v>4320717.7699999996</v>
      </c>
      <c r="G244" s="9">
        <v>675981.65</v>
      </c>
    </row>
    <row r="245" spans="1:7">
      <c r="A245" t="s">
        <v>1788</v>
      </c>
      <c r="B245" s="15">
        <v>45748</v>
      </c>
      <c r="C245" t="s">
        <v>19</v>
      </c>
      <c r="D245" t="s">
        <v>20</v>
      </c>
      <c r="E245" t="s">
        <v>14</v>
      </c>
      <c r="F245" s="9">
        <v>4845408.3499999996</v>
      </c>
      <c r="G245" s="9">
        <v>880104.19</v>
      </c>
    </row>
    <row r="246" spans="1:7">
      <c r="A246" t="s">
        <v>1789</v>
      </c>
      <c r="B246" s="15">
        <v>45748</v>
      </c>
      <c r="C246" t="s">
        <v>21</v>
      </c>
      <c r="D246" t="s">
        <v>22</v>
      </c>
      <c r="E246" t="s">
        <v>5</v>
      </c>
      <c r="F246" s="9">
        <v>2930036.66</v>
      </c>
      <c r="G246" s="9">
        <v>576157.04</v>
      </c>
    </row>
    <row r="247" spans="1:7">
      <c r="A247" t="s">
        <v>1790</v>
      </c>
      <c r="B247" s="15">
        <v>45748</v>
      </c>
      <c r="C247" t="s">
        <v>21</v>
      </c>
      <c r="D247" t="s">
        <v>22</v>
      </c>
      <c r="E247" t="s">
        <v>8</v>
      </c>
      <c r="F247" s="9">
        <v>2873310.61</v>
      </c>
      <c r="G247" s="9">
        <v>608516.80000000005</v>
      </c>
    </row>
    <row r="248" spans="1:7">
      <c r="A248" t="s">
        <v>1791</v>
      </c>
      <c r="B248" s="15">
        <v>45748</v>
      </c>
      <c r="C248" t="s">
        <v>21</v>
      </c>
      <c r="D248" t="s">
        <v>22</v>
      </c>
      <c r="E248" t="s">
        <v>11</v>
      </c>
      <c r="F248" s="9">
        <v>3170985.62</v>
      </c>
      <c r="G248" s="9">
        <v>532266.15</v>
      </c>
    </row>
    <row r="249" spans="1:7">
      <c r="A249" t="s">
        <v>1792</v>
      </c>
      <c r="B249" s="15">
        <v>45748</v>
      </c>
      <c r="C249" t="s">
        <v>21</v>
      </c>
      <c r="D249" t="s">
        <v>22</v>
      </c>
      <c r="E249" t="s">
        <v>14</v>
      </c>
      <c r="F249" s="9">
        <v>3558865.42</v>
      </c>
      <c r="G249" s="9">
        <v>603755.48</v>
      </c>
    </row>
    <row r="250" spans="1:7">
      <c r="A250" t="s">
        <v>1793</v>
      </c>
      <c r="B250" s="15">
        <v>45748</v>
      </c>
      <c r="C250" t="s">
        <v>23</v>
      </c>
      <c r="D250" t="s">
        <v>24</v>
      </c>
      <c r="E250" t="s">
        <v>5</v>
      </c>
      <c r="F250" s="9">
        <v>2861698.97</v>
      </c>
      <c r="G250" s="9">
        <v>514543.68</v>
      </c>
    </row>
    <row r="251" spans="1:7">
      <c r="A251" t="s">
        <v>1794</v>
      </c>
      <c r="B251" s="15">
        <v>45748</v>
      </c>
      <c r="C251" t="s">
        <v>23</v>
      </c>
      <c r="D251" t="s">
        <v>24</v>
      </c>
      <c r="E251" t="s">
        <v>8</v>
      </c>
      <c r="F251" s="9">
        <v>3054775.76</v>
      </c>
      <c r="G251" s="9">
        <v>651234.68999999994</v>
      </c>
    </row>
    <row r="252" spans="1:7">
      <c r="A252" t="s">
        <v>1795</v>
      </c>
      <c r="B252" s="15">
        <v>45748</v>
      </c>
      <c r="C252" t="s">
        <v>23</v>
      </c>
      <c r="D252" t="s">
        <v>24</v>
      </c>
      <c r="E252" t="s">
        <v>11</v>
      </c>
      <c r="F252" s="9">
        <v>3338936.86</v>
      </c>
      <c r="G252" s="9">
        <v>519869.03</v>
      </c>
    </row>
    <row r="253" spans="1:7">
      <c r="A253" t="s">
        <v>1796</v>
      </c>
      <c r="B253" s="15">
        <v>45748</v>
      </c>
      <c r="C253" t="s">
        <v>23</v>
      </c>
      <c r="D253" t="s">
        <v>24</v>
      </c>
      <c r="E253" t="s">
        <v>14</v>
      </c>
      <c r="F253" s="9">
        <v>3781501.2</v>
      </c>
      <c r="G253" s="9">
        <v>653426.75</v>
      </c>
    </row>
    <row r="254" spans="1:7">
      <c r="A254" t="s">
        <v>1797</v>
      </c>
      <c r="B254" s="15">
        <v>45748</v>
      </c>
      <c r="C254" t="s">
        <v>25</v>
      </c>
      <c r="D254" t="s">
        <v>26</v>
      </c>
      <c r="E254" t="s">
        <v>5</v>
      </c>
      <c r="F254" s="9">
        <v>2427696.42</v>
      </c>
      <c r="G254" s="9">
        <v>450442.57</v>
      </c>
    </row>
    <row r="255" spans="1:7">
      <c r="A255" t="s">
        <v>1798</v>
      </c>
      <c r="B255" s="15">
        <v>45748</v>
      </c>
      <c r="C255" t="s">
        <v>25</v>
      </c>
      <c r="D255" t="s">
        <v>26</v>
      </c>
      <c r="E255" t="s">
        <v>8</v>
      </c>
      <c r="F255" s="9">
        <v>2444250.62</v>
      </c>
      <c r="G255" s="9">
        <v>495100.11</v>
      </c>
    </row>
    <row r="256" spans="1:7">
      <c r="A256" t="s">
        <v>1799</v>
      </c>
      <c r="B256" s="15">
        <v>45748</v>
      </c>
      <c r="C256" t="s">
        <v>25</v>
      </c>
      <c r="D256" t="s">
        <v>26</v>
      </c>
      <c r="E256" t="s">
        <v>11</v>
      </c>
      <c r="F256" s="9">
        <v>2760567.07</v>
      </c>
      <c r="G256" s="9">
        <v>451612.54</v>
      </c>
    </row>
    <row r="257" spans="1:7">
      <c r="A257" t="s">
        <v>1800</v>
      </c>
      <c r="B257" s="15">
        <v>45748</v>
      </c>
      <c r="C257" t="s">
        <v>25</v>
      </c>
      <c r="D257" t="s">
        <v>26</v>
      </c>
      <c r="E257" t="s">
        <v>14</v>
      </c>
      <c r="F257" s="9">
        <v>3080147.22</v>
      </c>
      <c r="G257" s="9">
        <v>543808.75</v>
      </c>
    </row>
    <row r="258" spans="1:7">
      <c r="A258" t="s">
        <v>1801</v>
      </c>
      <c r="B258" s="15">
        <v>45778</v>
      </c>
      <c r="C258" t="s">
        <v>19</v>
      </c>
      <c r="D258" t="s">
        <v>20</v>
      </c>
      <c r="E258" t="s">
        <v>5</v>
      </c>
      <c r="F258" s="9">
        <v>3815833.82</v>
      </c>
      <c r="G258" s="9">
        <v>728267.12</v>
      </c>
    </row>
    <row r="259" spans="1:7">
      <c r="A259" t="s">
        <v>1802</v>
      </c>
      <c r="B259" s="15">
        <v>45778</v>
      </c>
      <c r="C259" t="s">
        <v>19</v>
      </c>
      <c r="D259" t="s">
        <v>20</v>
      </c>
      <c r="E259" t="s">
        <v>8</v>
      </c>
      <c r="F259" s="9">
        <v>4019209.07</v>
      </c>
      <c r="G259" s="9">
        <v>836118.64</v>
      </c>
    </row>
    <row r="260" spans="1:7">
      <c r="A260" t="s">
        <v>1803</v>
      </c>
      <c r="B260" s="15">
        <v>45778</v>
      </c>
      <c r="C260" t="s">
        <v>19</v>
      </c>
      <c r="D260" t="s">
        <v>20</v>
      </c>
      <c r="E260" t="s">
        <v>11</v>
      </c>
      <c r="F260" s="9">
        <v>4486872.62</v>
      </c>
      <c r="G260" s="9">
        <v>723834.58</v>
      </c>
    </row>
    <row r="261" spans="1:7">
      <c r="A261" t="s">
        <v>1804</v>
      </c>
      <c r="B261" s="15">
        <v>45778</v>
      </c>
      <c r="C261" t="s">
        <v>19</v>
      </c>
      <c r="D261" t="s">
        <v>20</v>
      </c>
      <c r="E261" t="s">
        <v>14</v>
      </c>
      <c r="F261" s="9">
        <v>4945527.6100000003</v>
      </c>
      <c r="G261" s="9">
        <v>844395.29</v>
      </c>
    </row>
    <row r="262" spans="1:7">
      <c r="A262" t="s">
        <v>1805</v>
      </c>
      <c r="B262" s="15">
        <v>45778</v>
      </c>
      <c r="C262" t="s">
        <v>21</v>
      </c>
      <c r="D262" t="s">
        <v>22</v>
      </c>
      <c r="E262" t="s">
        <v>5</v>
      </c>
      <c r="F262" s="9">
        <v>2898123.28</v>
      </c>
      <c r="G262" s="9">
        <v>549792.41</v>
      </c>
    </row>
    <row r="263" spans="1:7">
      <c r="A263" t="s">
        <v>1806</v>
      </c>
      <c r="B263" s="15">
        <v>45778</v>
      </c>
      <c r="C263" t="s">
        <v>21</v>
      </c>
      <c r="D263" t="s">
        <v>22</v>
      </c>
      <c r="E263" t="s">
        <v>8</v>
      </c>
      <c r="F263" s="9">
        <v>2927428.04</v>
      </c>
      <c r="G263" s="9">
        <v>608074.67000000004</v>
      </c>
    </row>
    <row r="264" spans="1:7">
      <c r="A264" t="s">
        <v>1807</v>
      </c>
      <c r="B264" s="15">
        <v>45778</v>
      </c>
      <c r="C264" t="s">
        <v>21</v>
      </c>
      <c r="D264" t="s">
        <v>22</v>
      </c>
      <c r="E264" t="s">
        <v>11</v>
      </c>
      <c r="F264" s="9">
        <v>3360448.53</v>
      </c>
      <c r="G264" s="9">
        <v>574090.22</v>
      </c>
    </row>
    <row r="265" spans="1:7">
      <c r="A265" t="s">
        <v>1808</v>
      </c>
      <c r="B265" s="15">
        <v>45778</v>
      </c>
      <c r="C265" t="s">
        <v>21</v>
      </c>
      <c r="D265" t="s">
        <v>22</v>
      </c>
      <c r="E265" t="s">
        <v>14</v>
      </c>
      <c r="F265" s="9">
        <v>3587345.55</v>
      </c>
      <c r="G265" s="9">
        <v>613139.23</v>
      </c>
    </row>
    <row r="266" spans="1:7">
      <c r="A266" t="s">
        <v>1809</v>
      </c>
      <c r="B266" s="15">
        <v>45778</v>
      </c>
      <c r="C266" t="s">
        <v>23</v>
      </c>
      <c r="D266" t="s">
        <v>24</v>
      </c>
      <c r="E266" t="s">
        <v>5</v>
      </c>
      <c r="F266" s="9">
        <v>2890839.16</v>
      </c>
      <c r="G266" s="9">
        <v>529850.31999999995</v>
      </c>
    </row>
    <row r="267" spans="1:7">
      <c r="A267" t="s">
        <v>1810</v>
      </c>
      <c r="B267" s="15">
        <v>45778</v>
      </c>
      <c r="C267" t="s">
        <v>23</v>
      </c>
      <c r="D267" t="s">
        <v>24</v>
      </c>
      <c r="E267" t="s">
        <v>8</v>
      </c>
      <c r="F267" s="9">
        <v>2905509.39</v>
      </c>
      <c r="G267" s="9">
        <v>621350.06000000006</v>
      </c>
    </row>
    <row r="268" spans="1:7">
      <c r="A268" t="s">
        <v>1811</v>
      </c>
      <c r="B268" s="15">
        <v>45778</v>
      </c>
      <c r="C268" t="s">
        <v>23</v>
      </c>
      <c r="D268" t="s">
        <v>24</v>
      </c>
      <c r="E268" t="s">
        <v>11</v>
      </c>
      <c r="F268" s="9">
        <v>3300286.43</v>
      </c>
      <c r="G268" s="9">
        <v>504181.67</v>
      </c>
    </row>
    <row r="269" spans="1:7">
      <c r="A269" t="s">
        <v>1812</v>
      </c>
      <c r="B269" s="15">
        <v>45778</v>
      </c>
      <c r="C269" t="s">
        <v>23</v>
      </c>
      <c r="D269" t="s">
        <v>24</v>
      </c>
      <c r="E269" t="s">
        <v>14</v>
      </c>
      <c r="F269" s="9">
        <v>3938255.38</v>
      </c>
      <c r="G269" s="9">
        <v>681296.74</v>
      </c>
    </row>
    <row r="270" spans="1:7">
      <c r="A270" t="s">
        <v>1813</v>
      </c>
      <c r="B270" s="15">
        <v>45778</v>
      </c>
      <c r="C270" t="s">
        <v>25</v>
      </c>
      <c r="D270" t="s">
        <v>26</v>
      </c>
      <c r="E270" t="s">
        <v>5</v>
      </c>
      <c r="F270" s="9">
        <v>2524793.4300000002</v>
      </c>
      <c r="G270" s="9">
        <v>448199.16</v>
      </c>
    </row>
    <row r="271" spans="1:7">
      <c r="A271" t="s">
        <v>1814</v>
      </c>
      <c r="B271" s="15">
        <v>45778</v>
      </c>
      <c r="C271" t="s">
        <v>25</v>
      </c>
      <c r="D271" t="s">
        <v>26</v>
      </c>
      <c r="E271" t="s">
        <v>8</v>
      </c>
      <c r="F271" s="9">
        <v>2485811.63</v>
      </c>
      <c r="G271" s="9">
        <v>502693.19</v>
      </c>
    </row>
    <row r="272" spans="1:7">
      <c r="A272" t="s">
        <v>1815</v>
      </c>
      <c r="B272" s="15">
        <v>45778</v>
      </c>
      <c r="C272" t="s">
        <v>25</v>
      </c>
      <c r="D272" t="s">
        <v>26</v>
      </c>
      <c r="E272" t="s">
        <v>11</v>
      </c>
      <c r="F272" s="9">
        <v>2782481.5</v>
      </c>
      <c r="G272" s="9">
        <v>478377.21</v>
      </c>
    </row>
    <row r="273" spans="1:7">
      <c r="A273" t="s">
        <v>1816</v>
      </c>
      <c r="B273" s="15">
        <v>45778</v>
      </c>
      <c r="C273" t="s">
        <v>25</v>
      </c>
      <c r="D273" t="s">
        <v>26</v>
      </c>
      <c r="E273" t="s">
        <v>14</v>
      </c>
      <c r="F273" s="9">
        <v>3140247.28</v>
      </c>
      <c r="G273" s="9">
        <v>552513.67000000004</v>
      </c>
    </row>
    <row r="274" spans="1:7">
      <c r="A274" t="s">
        <v>1817</v>
      </c>
      <c r="B274" s="15">
        <v>45809</v>
      </c>
      <c r="C274" t="s">
        <v>19</v>
      </c>
      <c r="D274" t="s">
        <v>20</v>
      </c>
      <c r="E274" t="s">
        <v>5</v>
      </c>
      <c r="F274" s="9">
        <v>3512380.63</v>
      </c>
      <c r="G274" s="9">
        <v>647186.4</v>
      </c>
    </row>
    <row r="275" spans="1:7">
      <c r="A275" t="s">
        <v>1818</v>
      </c>
      <c r="B275" s="15">
        <v>45809</v>
      </c>
      <c r="C275" t="s">
        <v>19</v>
      </c>
      <c r="D275" t="s">
        <v>20</v>
      </c>
      <c r="E275" t="s">
        <v>8</v>
      </c>
      <c r="F275" s="9">
        <v>3777110.72</v>
      </c>
      <c r="G275" s="9">
        <v>749951.38</v>
      </c>
    </row>
    <row r="276" spans="1:7">
      <c r="A276" t="s">
        <v>1819</v>
      </c>
      <c r="B276" s="15">
        <v>45809</v>
      </c>
      <c r="C276" t="s">
        <v>19</v>
      </c>
      <c r="D276" t="s">
        <v>20</v>
      </c>
      <c r="E276" t="s">
        <v>11</v>
      </c>
      <c r="F276" s="9">
        <v>4285300.8499999996</v>
      </c>
      <c r="G276" s="9">
        <v>686951.6</v>
      </c>
    </row>
    <row r="277" spans="1:7">
      <c r="A277" t="s">
        <v>1820</v>
      </c>
      <c r="B277" s="15">
        <v>45809</v>
      </c>
      <c r="C277" t="s">
        <v>19</v>
      </c>
      <c r="D277" t="s">
        <v>20</v>
      </c>
      <c r="E277" t="s">
        <v>14</v>
      </c>
      <c r="F277" s="9">
        <v>4364773.9800000004</v>
      </c>
      <c r="G277" s="9">
        <v>775533.16</v>
      </c>
    </row>
    <row r="278" spans="1:7">
      <c r="A278" t="s">
        <v>1821</v>
      </c>
      <c r="B278" s="15">
        <v>45809</v>
      </c>
      <c r="C278" t="s">
        <v>21</v>
      </c>
      <c r="D278" t="s">
        <v>22</v>
      </c>
      <c r="E278" t="s">
        <v>5</v>
      </c>
      <c r="F278" s="9">
        <v>2689865.3</v>
      </c>
      <c r="G278" s="9">
        <v>522383.1</v>
      </c>
    </row>
    <row r="279" spans="1:7">
      <c r="A279" t="s">
        <v>1822</v>
      </c>
      <c r="B279" s="15">
        <v>45809</v>
      </c>
      <c r="C279" t="s">
        <v>21</v>
      </c>
      <c r="D279" t="s">
        <v>22</v>
      </c>
      <c r="E279" t="s">
        <v>8</v>
      </c>
      <c r="F279" s="9">
        <v>2772463.72</v>
      </c>
      <c r="G279" s="9">
        <v>585229.5</v>
      </c>
    </row>
    <row r="280" spans="1:7">
      <c r="A280" t="s">
        <v>1823</v>
      </c>
      <c r="B280" s="15">
        <v>45809</v>
      </c>
      <c r="C280" t="s">
        <v>21</v>
      </c>
      <c r="D280" t="s">
        <v>22</v>
      </c>
      <c r="E280" t="s">
        <v>11</v>
      </c>
      <c r="F280" s="9">
        <v>3021656.33</v>
      </c>
      <c r="G280" s="9">
        <v>506503.79</v>
      </c>
    </row>
    <row r="281" spans="1:7">
      <c r="A281" t="s">
        <v>1824</v>
      </c>
      <c r="B281" s="15">
        <v>45809</v>
      </c>
      <c r="C281" t="s">
        <v>21</v>
      </c>
      <c r="D281" t="s">
        <v>22</v>
      </c>
      <c r="E281" t="s">
        <v>14</v>
      </c>
      <c r="F281" s="9">
        <v>3527743.44</v>
      </c>
      <c r="G281" s="9">
        <v>605122.18999999994</v>
      </c>
    </row>
    <row r="282" spans="1:7">
      <c r="A282" t="s">
        <v>1825</v>
      </c>
      <c r="B282" s="15">
        <v>45809</v>
      </c>
      <c r="C282" t="s">
        <v>23</v>
      </c>
      <c r="D282" t="s">
        <v>24</v>
      </c>
      <c r="E282" t="s">
        <v>5</v>
      </c>
      <c r="F282" s="9">
        <v>2821228.08</v>
      </c>
      <c r="G282" s="9">
        <v>516343.41</v>
      </c>
    </row>
    <row r="283" spans="1:7">
      <c r="A283" t="s">
        <v>1826</v>
      </c>
      <c r="B283" s="15">
        <v>45809</v>
      </c>
      <c r="C283" t="s">
        <v>23</v>
      </c>
      <c r="D283" t="s">
        <v>24</v>
      </c>
      <c r="E283" t="s">
        <v>8</v>
      </c>
      <c r="F283" s="9">
        <v>2834632.93</v>
      </c>
      <c r="G283" s="9">
        <v>592880.59</v>
      </c>
    </row>
    <row r="284" spans="1:7">
      <c r="A284" t="s">
        <v>1827</v>
      </c>
      <c r="B284" s="15">
        <v>45809</v>
      </c>
      <c r="C284" t="s">
        <v>23</v>
      </c>
      <c r="D284" t="s">
        <v>24</v>
      </c>
      <c r="E284" t="s">
        <v>11</v>
      </c>
      <c r="F284" s="9">
        <v>3230378.12</v>
      </c>
      <c r="G284" s="9">
        <v>534975.61</v>
      </c>
    </row>
    <row r="285" spans="1:7">
      <c r="A285" t="s">
        <v>1828</v>
      </c>
      <c r="B285" s="15">
        <v>45809</v>
      </c>
      <c r="C285" t="s">
        <v>23</v>
      </c>
      <c r="D285" t="s">
        <v>24</v>
      </c>
      <c r="E285" t="s">
        <v>14</v>
      </c>
      <c r="F285" s="9">
        <v>3589634.47</v>
      </c>
      <c r="G285" s="9">
        <v>606886.40000000002</v>
      </c>
    </row>
    <row r="286" spans="1:7">
      <c r="A286" t="s">
        <v>1829</v>
      </c>
      <c r="B286" s="15">
        <v>45809</v>
      </c>
      <c r="C286" t="s">
        <v>25</v>
      </c>
      <c r="D286" t="s">
        <v>26</v>
      </c>
      <c r="E286" t="s">
        <v>5</v>
      </c>
      <c r="F286" s="9">
        <v>2307486.19</v>
      </c>
      <c r="G286" s="9">
        <v>438995.82</v>
      </c>
    </row>
    <row r="287" spans="1:7">
      <c r="A287" t="s">
        <v>1830</v>
      </c>
      <c r="B287" s="15">
        <v>45809</v>
      </c>
      <c r="C287" t="s">
        <v>25</v>
      </c>
      <c r="D287" t="s">
        <v>26</v>
      </c>
      <c r="E287" t="s">
        <v>8</v>
      </c>
      <c r="F287" s="9">
        <v>2404992.88</v>
      </c>
      <c r="G287" s="9">
        <v>512068</v>
      </c>
    </row>
    <row r="288" spans="1:7">
      <c r="A288" t="s">
        <v>1831</v>
      </c>
      <c r="B288" s="15">
        <v>45809</v>
      </c>
      <c r="C288" t="s">
        <v>25</v>
      </c>
      <c r="D288" t="s">
        <v>26</v>
      </c>
      <c r="E288" t="s">
        <v>11</v>
      </c>
      <c r="F288" s="9">
        <v>2645385.54</v>
      </c>
      <c r="G288" s="9">
        <v>450414.51</v>
      </c>
    </row>
    <row r="289" spans="1:7">
      <c r="A289" t="s">
        <v>1832</v>
      </c>
      <c r="B289" s="15">
        <v>45809</v>
      </c>
      <c r="C289" t="s">
        <v>25</v>
      </c>
      <c r="D289" t="s">
        <v>26</v>
      </c>
      <c r="E289" t="s">
        <v>14</v>
      </c>
      <c r="F289" s="9">
        <v>2907720.35</v>
      </c>
      <c r="G289" s="9">
        <v>519750.82</v>
      </c>
    </row>
    <row r="290" spans="1:7">
      <c r="A290" t="s">
        <v>1833</v>
      </c>
      <c r="B290" s="15">
        <v>45839</v>
      </c>
      <c r="C290" t="s">
        <v>19</v>
      </c>
      <c r="D290" t="s">
        <v>20</v>
      </c>
      <c r="E290" t="s">
        <v>5</v>
      </c>
      <c r="F290" s="9">
        <v>3357089.48</v>
      </c>
      <c r="G290" s="9">
        <v>642469.03</v>
      </c>
    </row>
    <row r="291" spans="1:7">
      <c r="A291" t="s">
        <v>1834</v>
      </c>
      <c r="B291" s="15">
        <v>45839</v>
      </c>
      <c r="C291" t="s">
        <v>19</v>
      </c>
      <c r="D291" t="s">
        <v>20</v>
      </c>
      <c r="E291" t="s">
        <v>8</v>
      </c>
      <c r="F291" s="9">
        <v>3577574.94</v>
      </c>
      <c r="G291" s="9">
        <v>730833.12</v>
      </c>
    </row>
    <row r="292" spans="1:7">
      <c r="A292" t="s">
        <v>1835</v>
      </c>
      <c r="B292" s="15">
        <v>45839</v>
      </c>
      <c r="C292" t="s">
        <v>19</v>
      </c>
      <c r="D292" t="s">
        <v>20</v>
      </c>
      <c r="E292" t="s">
        <v>11</v>
      </c>
      <c r="F292" s="9">
        <v>4046158.72</v>
      </c>
      <c r="G292" s="9">
        <v>654145.65</v>
      </c>
    </row>
    <row r="293" spans="1:7">
      <c r="A293" t="s">
        <v>1836</v>
      </c>
      <c r="B293" s="15">
        <v>45839</v>
      </c>
      <c r="C293" t="s">
        <v>19</v>
      </c>
      <c r="D293" t="s">
        <v>20</v>
      </c>
      <c r="E293" t="s">
        <v>14</v>
      </c>
      <c r="F293" s="9">
        <v>4218809.34</v>
      </c>
      <c r="G293" s="9">
        <v>756956.43</v>
      </c>
    </row>
    <row r="294" spans="1:7">
      <c r="A294" t="s">
        <v>1837</v>
      </c>
      <c r="B294" s="15">
        <v>45839</v>
      </c>
      <c r="C294" t="s">
        <v>21</v>
      </c>
      <c r="D294" t="s">
        <v>22</v>
      </c>
      <c r="E294" t="s">
        <v>5</v>
      </c>
      <c r="F294" s="9">
        <v>2774283.18</v>
      </c>
      <c r="G294" s="9">
        <v>543748.43999999994</v>
      </c>
    </row>
    <row r="295" spans="1:7">
      <c r="A295" t="s">
        <v>1838</v>
      </c>
      <c r="B295" s="15">
        <v>45839</v>
      </c>
      <c r="C295" t="s">
        <v>21</v>
      </c>
      <c r="D295" t="s">
        <v>22</v>
      </c>
      <c r="E295" t="s">
        <v>8</v>
      </c>
      <c r="F295" s="9">
        <v>2824310.49</v>
      </c>
      <c r="G295" s="9">
        <v>616573.18999999994</v>
      </c>
    </row>
    <row r="296" spans="1:7">
      <c r="A296" t="s">
        <v>1839</v>
      </c>
      <c r="B296" s="15">
        <v>45839</v>
      </c>
      <c r="C296" t="s">
        <v>21</v>
      </c>
      <c r="D296" t="s">
        <v>22</v>
      </c>
      <c r="E296" t="s">
        <v>11</v>
      </c>
      <c r="F296" s="9">
        <v>3011074.66</v>
      </c>
      <c r="G296" s="9">
        <v>506956.96</v>
      </c>
    </row>
    <row r="297" spans="1:7">
      <c r="A297" t="s">
        <v>1840</v>
      </c>
      <c r="B297" s="15">
        <v>45839</v>
      </c>
      <c r="C297" t="s">
        <v>21</v>
      </c>
      <c r="D297" t="s">
        <v>22</v>
      </c>
      <c r="E297" t="s">
        <v>14</v>
      </c>
      <c r="F297" s="9">
        <v>3249387.74</v>
      </c>
      <c r="G297" s="9">
        <v>569120.89</v>
      </c>
    </row>
    <row r="298" spans="1:7">
      <c r="A298" t="s">
        <v>1841</v>
      </c>
      <c r="B298" s="15">
        <v>45839</v>
      </c>
      <c r="C298" t="s">
        <v>23</v>
      </c>
      <c r="D298" t="s">
        <v>24</v>
      </c>
      <c r="E298" t="s">
        <v>5</v>
      </c>
      <c r="F298" s="9">
        <v>2778849.68</v>
      </c>
      <c r="G298" s="9">
        <v>508970.99</v>
      </c>
    </row>
    <row r="299" spans="1:7">
      <c r="A299" t="s">
        <v>1842</v>
      </c>
      <c r="B299" s="15">
        <v>45839</v>
      </c>
      <c r="C299" t="s">
        <v>23</v>
      </c>
      <c r="D299" t="s">
        <v>24</v>
      </c>
      <c r="E299" t="s">
        <v>8</v>
      </c>
      <c r="F299" s="9">
        <v>2918363.04</v>
      </c>
      <c r="G299" s="9">
        <v>579466.67000000004</v>
      </c>
    </row>
    <row r="300" spans="1:7">
      <c r="A300" t="s">
        <v>1843</v>
      </c>
      <c r="B300" s="15">
        <v>45839</v>
      </c>
      <c r="C300" t="s">
        <v>23</v>
      </c>
      <c r="D300" t="s">
        <v>24</v>
      </c>
      <c r="E300" t="s">
        <v>11</v>
      </c>
      <c r="F300" s="9">
        <v>3038696.11</v>
      </c>
      <c r="G300" s="9">
        <v>485400.91</v>
      </c>
    </row>
    <row r="301" spans="1:7">
      <c r="A301" t="s">
        <v>1844</v>
      </c>
      <c r="B301" s="15">
        <v>45839</v>
      </c>
      <c r="C301" t="s">
        <v>23</v>
      </c>
      <c r="D301" t="s">
        <v>24</v>
      </c>
      <c r="E301" t="s">
        <v>14</v>
      </c>
      <c r="F301" s="9">
        <v>3464993.85</v>
      </c>
      <c r="G301" s="9">
        <v>589531.76</v>
      </c>
    </row>
    <row r="302" spans="1:7">
      <c r="A302" t="s">
        <v>1845</v>
      </c>
      <c r="B302" s="15">
        <v>45839</v>
      </c>
      <c r="C302" t="s">
        <v>25</v>
      </c>
      <c r="D302" t="s">
        <v>26</v>
      </c>
      <c r="E302" t="s">
        <v>5</v>
      </c>
      <c r="F302" s="9">
        <v>2271755.67</v>
      </c>
      <c r="G302" s="9">
        <v>440634.84</v>
      </c>
    </row>
    <row r="303" spans="1:7">
      <c r="A303" t="s">
        <v>1846</v>
      </c>
      <c r="B303" s="15">
        <v>45839</v>
      </c>
      <c r="C303" t="s">
        <v>25</v>
      </c>
      <c r="D303" t="s">
        <v>26</v>
      </c>
      <c r="E303" t="s">
        <v>8</v>
      </c>
      <c r="F303" s="9">
        <v>2342074.65</v>
      </c>
      <c r="G303" s="9">
        <v>479438.71</v>
      </c>
    </row>
    <row r="304" spans="1:7">
      <c r="A304" t="s">
        <v>1847</v>
      </c>
      <c r="B304" s="15">
        <v>45839</v>
      </c>
      <c r="C304" t="s">
        <v>25</v>
      </c>
      <c r="D304" t="s">
        <v>26</v>
      </c>
      <c r="E304" t="s">
        <v>11</v>
      </c>
      <c r="F304" s="9">
        <v>2493992.1800000002</v>
      </c>
      <c r="G304" s="9">
        <v>399225.26</v>
      </c>
    </row>
    <row r="305" spans="1:7">
      <c r="A305" t="s">
        <v>1848</v>
      </c>
      <c r="B305" s="15">
        <v>45839</v>
      </c>
      <c r="C305" t="s">
        <v>25</v>
      </c>
      <c r="D305" t="s">
        <v>26</v>
      </c>
      <c r="E305" t="s">
        <v>14</v>
      </c>
      <c r="F305" s="9">
        <v>2735943.39</v>
      </c>
      <c r="G305" s="9">
        <v>472339.06</v>
      </c>
    </row>
    <row r="306" spans="1:7">
      <c r="A306" t="s">
        <v>1849</v>
      </c>
      <c r="B306" s="15">
        <v>45870</v>
      </c>
      <c r="C306" t="s">
        <v>19</v>
      </c>
      <c r="D306" t="s">
        <v>20</v>
      </c>
      <c r="E306" t="s">
        <v>5</v>
      </c>
      <c r="F306" s="9">
        <v>3423217.87</v>
      </c>
      <c r="G306" s="9">
        <v>650182.06000000006</v>
      </c>
    </row>
    <row r="307" spans="1:7">
      <c r="A307" t="s">
        <v>1850</v>
      </c>
      <c r="B307" s="15">
        <v>45870</v>
      </c>
      <c r="C307" t="s">
        <v>19</v>
      </c>
      <c r="D307" t="s">
        <v>20</v>
      </c>
      <c r="E307" t="s">
        <v>8</v>
      </c>
      <c r="F307" s="9">
        <v>3443598.4</v>
      </c>
      <c r="G307" s="9">
        <v>680112.3</v>
      </c>
    </row>
    <row r="308" spans="1:7">
      <c r="A308" t="s">
        <v>1851</v>
      </c>
      <c r="B308" s="15">
        <v>45870</v>
      </c>
      <c r="C308" t="s">
        <v>19</v>
      </c>
      <c r="D308" t="s">
        <v>20</v>
      </c>
      <c r="E308" t="s">
        <v>11</v>
      </c>
      <c r="F308" s="9">
        <v>4040865.85</v>
      </c>
      <c r="G308" s="9">
        <v>661722.65</v>
      </c>
    </row>
    <row r="309" spans="1:7">
      <c r="A309" t="s">
        <v>1852</v>
      </c>
      <c r="B309" s="15">
        <v>45870</v>
      </c>
      <c r="C309" t="s">
        <v>19</v>
      </c>
      <c r="D309" t="s">
        <v>20</v>
      </c>
      <c r="E309" t="s">
        <v>14</v>
      </c>
      <c r="F309" s="9">
        <v>4327157.4000000004</v>
      </c>
      <c r="G309" s="9">
        <v>736589.86</v>
      </c>
    </row>
    <row r="310" spans="1:7">
      <c r="A310" t="s">
        <v>1853</v>
      </c>
      <c r="B310" s="15">
        <v>45870</v>
      </c>
      <c r="C310" t="s">
        <v>21</v>
      </c>
      <c r="D310" t="s">
        <v>22</v>
      </c>
      <c r="E310" t="s">
        <v>5</v>
      </c>
      <c r="F310" s="9">
        <v>2630200.21</v>
      </c>
      <c r="G310" s="9">
        <v>533493.18999999994</v>
      </c>
    </row>
    <row r="311" spans="1:7">
      <c r="A311" t="s">
        <v>1854</v>
      </c>
      <c r="B311" s="15">
        <v>45870</v>
      </c>
      <c r="C311" t="s">
        <v>21</v>
      </c>
      <c r="D311" t="s">
        <v>22</v>
      </c>
      <c r="E311" t="s">
        <v>8</v>
      </c>
      <c r="F311" s="9">
        <v>2558966.4300000002</v>
      </c>
      <c r="G311" s="9">
        <v>523855.02</v>
      </c>
    </row>
    <row r="312" spans="1:7">
      <c r="A312" t="s">
        <v>1855</v>
      </c>
      <c r="B312" s="15">
        <v>45870</v>
      </c>
      <c r="C312" t="s">
        <v>21</v>
      </c>
      <c r="D312" t="s">
        <v>22</v>
      </c>
      <c r="E312" t="s">
        <v>11</v>
      </c>
      <c r="F312" s="9">
        <v>2825432.54</v>
      </c>
      <c r="G312" s="9">
        <v>484936.65</v>
      </c>
    </row>
    <row r="313" spans="1:7">
      <c r="A313" t="s">
        <v>1856</v>
      </c>
      <c r="B313" s="15">
        <v>45870</v>
      </c>
      <c r="C313" t="s">
        <v>21</v>
      </c>
      <c r="D313" t="s">
        <v>22</v>
      </c>
      <c r="E313" t="s">
        <v>14</v>
      </c>
      <c r="F313" s="9">
        <v>3249997.67</v>
      </c>
      <c r="G313" s="9">
        <v>581250.56999999995</v>
      </c>
    </row>
    <row r="314" spans="1:7">
      <c r="A314" t="s">
        <v>1857</v>
      </c>
      <c r="B314" s="15">
        <v>45870</v>
      </c>
      <c r="C314" t="s">
        <v>23</v>
      </c>
      <c r="D314" t="s">
        <v>24</v>
      </c>
      <c r="E314" t="s">
        <v>5</v>
      </c>
      <c r="F314" s="9">
        <v>2730491.49</v>
      </c>
      <c r="G314" s="9">
        <v>491164.63</v>
      </c>
    </row>
    <row r="315" spans="1:7">
      <c r="A315" t="s">
        <v>1858</v>
      </c>
      <c r="B315" s="15">
        <v>45870</v>
      </c>
      <c r="C315" t="s">
        <v>23</v>
      </c>
      <c r="D315" t="s">
        <v>24</v>
      </c>
      <c r="E315" t="s">
        <v>8</v>
      </c>
      <c r="F315" s="9">
        <v>2640717.4</v>
      </c>
      <c r="G315" s="9">
        <v>538459.36</v>
      </c>
    </row>
    <row r="316" spans="1:7">
      <c r="A316" t="s">
        <v>1859</v>
      </c>
      <c r="B316" s="15">
        <v>45870</v>
      </c>
      <c r="C316" t="s">
        <v>23</v>
      </c>
      <c r="D316" t="s">
        <v>24</v>
      </c>
      <c r="E316" t="s">
        <v>11</v>
      </c>
      <c r="F316" s="9">
        <v>3054697.76</v>
      </c>
      <c r="G316" s="9">
        <v>503585.42</v>
      </c>
    </row>
    <row r="317" spans="1:7">
      <c r="A317" t="s">
        <v>1860</v>
      </c>
      <c r="B317" s="15">
        <v>45870</v>
      </c>
      <c r="C317" t="s">
        <v>23</v>
      </c>
      <c r="D317" t="s">
        <v>24</v>
      </c>
      <c r="E317" t="s">
        <v>14</v>
      </c>
      <c r="F317" s="9">
        <v>3298897.37</v>
      </c>
      <c r="G317" s="9">
        <v>576293.05000000005</v>
      </c>
    </row>
    <row r="318" spans="1:7">
      <c r="A318" t="s">
        <v>1861</v>
      </c>
      <c r="B318" s="15">
        <v>45870</v>
      </c>
      <c r="C318" t="s">
        <v>25</v>
      </c>
      <c r="D318" t="s">
        <v>26</v>
      </c>
      <c r="E318" t="s">
        <v>5</v>
      </c>
      <c r="F318" s="9">
        <v>2248805</v>
      </c>
      <c r="G318" s="9">
        <v>434200.42</v>
      </c>
    </row>
    <row r="319" spans="1:7">
      <c r="A319" t="s">
        <v>1862</v>
      </c>
      <c r="B319" s="15">
        <v>45870</v>
      </c>
      <c r="C319" t="s">
        <v>25</v>
      </c>
      <c r="D319" t="s">
        <v>26</v>
      </c>
      <c r="E319" t="s">
        <v>8</v>
      </c>
      <c r="F319" s="9">
        <v>2375923.17</v>
      </c>
      <c r="G319" s="9">
        <v>493387.31</v>
      </c>
    </row>
    <row r="320" spans="1:7">
      <c r="A320" t="s">
        <v>1863</v>
      </c>
      <c r="B320" s="15">
        <v>45870</v>
      </c>
      <c r="C320" t="s">
        <v>25</v>
      </c>
      <c r="D320" t="s">
        <v>26</v>
      </c>
      <c r="E320" t="s">
        <v>11</v>
      </c>
      <c r="F320" s="9">
        <v>2480693.56</v>
      </c>
      <c r="G320" s="9">
        <v>400833.58</v>
      </c>
    </row>
    <row r="321" spans="1:7">
      <c r="A321" t="s">
        <v>1864</v>
      </c>
      <c r="B321" s="15">
        <v>45870</v>
      </c>
      <c r="C321" t="s">
        <v>25</v>
      </c>
      <c r="D321" t="s">
        <v>26</v>
      </c>
      <c r="E321" t="s">
        <v>14</v>
      </c>
      <c r="F321" s="9">
        <v>2927406.78</v>
      </c>
      <c r="G321" s="9">
        <v>501004.98</v>
      </c>
    </row>
    <row r="322" spans="1:7">
      <c r="A322" t="s">
        <v>1865</v>
      </c>
      <c r="B322" s="15">
        <v>45901</v>
      </c>
      <c r="C322" t="s">
        <v>19</v>
      </c>
      <c r="D322" t="s">
        <v>20</v>
      </c>
      <c r="E322" t="s">
        <v>5</v>
      </c>
      <c r="F322" s="9">
        <v>3927356.12</v>
      </c>
      <c r="G322" s="9">
        <v>721818.26</v>
      </c>
    </row>
    <row r="323" spans="1:7">
      <c r="A323" t="s">
        <v>1866</v>
      </c>
      <c r="B323" s="15">
        <v>45901</v>
      </c>
      <c r="C323" t="s">
        <v>19</v>
      </c>
      <c r="D323" t="s">
        <v>20</v>
      </c>
      <c r="E323" t="s">
        <v>8</v>
      </c>
      <c r="F323" s="9">
        <v>3968447.1</v>
      </c>
      <c r="G323" s="9">
        <v>837158.93</v>
      </c>
    </row>
    <row r="324" spans="1:7">
      <c r="A324" t="s">
        <v>1867</v>
      </c>
      <c r="B324" s="15">
        <v>45901</v>
      </c>
      <c r="C324" t="s">
        <v>19</v>
      </c>
      <c r="D324" t="s">
        <v>20</v>
      </c>
      <c r="E324" t="s">
        <v>11</v>
      </c>
      <c r="F324" s="9">
        <v>4417604.13</v>
      </c>
      <c r="G324" s="9">
        <v>687234.15</v>
      </c>
    </row>
    <row r="325" spans="1:7">
      <c r="A325" t="s">
        <v>1868</v>
      </c>
      <c r="B325" s="15">
        <v>45901</v>
      </c>
      <c r="C325" t="s">
        <v>19</v>
      </c>
      <c r="D325" t="s">
        <v>20</v>
      </c>
      <c r="E325" t="s">
        <v>14</v>
      </c>
      <c r="F325" s="9">
        <v>4438380.26</v>
      </c>
      <c r="G325" s="9">
        <v>791484.37</v>
      </c>
    </row>
    <row r="326" spans="1:7">
      <c r="A326" t="s">
        <v>1869</v>
      </c>
      <c r="B326" s="15">
        <v>45901</v>
      </c>
      <c r="C326" t="s">
        <v>21</v>
      </c>
      <c r="D326" t="s">
        <v>22</v>
      </c>
      <c r="E326" t="s">
        <v>5</v>
      </c>
      <c r="F326" s="9">
        <v>2744771.9</v>
      </c>
      <c r="G326" s="9">
        <v>558275.65</v>
      </c>
    </row>
    <row r="327" spans="1:7">
      <c r="A327" t="s">
        <v>1870</v>
      </c>
      <c r="B327" s="15">
        <v>45901</v>
      </c>
      <c r="C327" t="s">
        <v>21</v>
      </c>
      <c r="D327" t="s">
        <v>22</v>
      </c>
      <c r="E327" t="s">
        <v>8</v>
      </c>
      <c r="F327" s="9">
        <v>2971532.67</v>
      </c>
      <c r="G327" s="9">
        <v>597003.27</v>
      </c>
    </row>
    <row r="328" spans="1:7">
      <c r="A328" t="s">
        <v>1871</v>
      </c>
      <c r="B328" s="15">
        <v>45901</v>
      </c>
      <c r="C328" t="s">
        <v>21</v>
      </c>
      <c r="D328" t="s">
        <v>22</v>
      </c>
      <c r="E328" t="s">
        <v>11</v>
      </c>
      <c r="F328" s="9">
        <v>3177302.99</v>
      </c>
      <c r="G328" s="9">
        <v>547094.68000000005</v>
      </c>
    </row>
    <row r="329" spans="1:7">
      <c r="A329" t="s">
        <v>1872</v>
      </c>
      <c r="B329" s="15">
        <v>45901</v>
      </c>
      <c r="C329" t="s">
        <v>21</v>
      </c>
      <c r="D329" t="s">
        <v>22</v>
      </c>
      <c r="E329" t="s">
        <v>14</v>
      </c>
      <c r="F329" s="9">
        <v>3675075.17</v>
      </c>
      <c r="G329" s="9">
        <v>648688.32999999996</v>
      </c>
    </row>
    <row r="330" spans="1:7">
      <c r="A330" t="s">
        <v>1873</v>
      </c>
      <c r="B330" s="15">
        <v>45901</v>
      </c>
      <c r="C330" t="s">
        <v>23</v>
      </c>
      <c r="D330" t="s">
        <v>24</v>
      </c>
      <c r="E330" t="s">
        <v>5</v>
      </c>
      <c r="F330" s="9">
        <v>2785711.86</v>
      </c>
      <c r="G330" s="9">
        <v>503218.19</v>
      </c>
    </row>
    <row r="331" spans="1:7">
      <c r="A331" t="s">
        <v>1874</v>
      </c>
      <c r="B331" s="15">
        <v>45901</v>
      </c>
      <c r="C331" t="s">
        <v>23</v>
      </c>
      <c r="D331" t="s">
        <v>24</v>
      </c>
      <c r="E331" t="s">
        <v>8</v>
      </c>
      <c r="F331" s="9">
        <v>3030937.68</v>
      </c>
      <c r="G331" s="9">
        <v>617976.69999999995</v>
      </c>
    </row>
    <row r="332" spans="1:7">
      <c r="A332" t="s">
        <v>1875</v>
      </c>
      <c r="B332" s="15">
        <v>45901</v>
      </c>
      <c r="C332" t="s">
        <v>23</v>
      </c>
      <c r="D332" t="s">
        <v>24</v>
      </c>
      <c r="E332" t="s">
        <v>11</v>
      </c>
      <c r="F332" s="9">
        <v>3463936.65</v>
      </c>
      <c r="G332" s="9">
        <v>533248.93999999994</v>
      </c>
    </row>
    <row r="333" spans="1:7">
      <c r="A333" t="s">
        <v>1876</v>
      </c>
      <c r="B333" s="15">
        <v>45901</v>
      </c>
      <c r="C333" t="s">
        <v>23</v>
      </c>
      <c r="D333" t="s">
        <v>24</v>
      </c>
      <c r="E333" t="s">
        <v>14</v>
      </c>
      <c r="F333" s="9">
        <v>3579459.75</v>
      </c>
      <c r="G333" s="9">
        <v>610161.1</v>
      </c>
    </row>
    <row r="334" spans="1:7">
      <c r="A334" t="s">
        <v>1877</v>
      </c>
      <c r="B334" s="15">
        <v>45901</v>
      </c>
      <c r="C334" t="s">
        <v>25</v>
      </c>
      <c r="D334" t="s">
        <v>26</v>
      </c>
      <c r="E334" t="s">
        <v>5</v>
      </c>
      <c r="F334" s="9">
        <v>2387360.38</v>
      </c>
      <c r="G334" s="9">
        <v>449743.24</v>
      </c>
    </row>
    <row r="335" spans="1:7">
      <c r="A335" t="s">
        <v>1878</v>
      </c>
      <c r="B335" s="15">
        <v>45901</v>
      </c>
      <c r="C335" t="s">
        <v>25</v>
      </c>
      <c r="D335" t="s">
        <v>26</v>
      </c>
      <c r="E335" t="s">
        <v>8</v>
      </c>
      <c r="F335" s="9">
        <v>2578658.34</v>
      </c>
      <c r="G335" s="9">
        <v>521395.69</v>
      </c>
    </row>
    <row r="336" spans="1:7">
      <c r="A336" t="s">
        <v>1879</v>
      </c>
      <c r="B336" s="15">
        <v>45901</v>
      </c>
      <c r="C336" t="s">
        <v>25</v>
      </c>
      <c r="D336" t="s">
        <v>26</v>
      </c>
      <c r="E336" t="s">
        <v>11</v>
      </c>
      <c r="F336" s="9">
        <v>2713287.58</v>
      </c>
      <c r="G336" s="9">
        <v>427729.98</v>
      </c>
    </row>
    <row r="337" spans="1:7">
      <c r="A337" t="s">
        <v>1880</v>
      </c>
      <c r="B337" s="15">
        <v>45901</v>
      </c>
      <c r="C337" t="s">
        <v>25</v>
      </c>
      <c r="D337" t="s">
        <v>26</v>
      </c>
      <c r="E337" t="s">
        <v>14</v>
      </c>
      <c r="F337" s="9">
        <v>3130968.69</v>
      </c>
      <c r="G337" s="9">
        <v>567695.68999999994</v>
      </c>
    </row>
    <row r="338" spans="1:7">
      <c r="A338" t="s">
        <v>1881</v>
      </c>
      <c r="B338" s="15">
        <v>45931</v>
      </c>
      <c r="C338" t="s">
        <v>19</v>
      </c>
      <c r="D338" t="s">
        <v>20</v>
      </c>
      <c r="E338" t="s">
        <v>5</v>
      </c>
      <c r="F338" s="9">
        <v>3766912.89</v>
      </c>
      <c r="G338" s="9">
        <v>687727.08</v>
      </c>
    </row>
    <row r="339" spans="1:7">
      <c r="A339" t="s">
        <v>1882</v>
      </c>
      <c r="B339" s="15">
        <v>45931</v>
      </c>
      <c r="C339" t="s">
        <v>19</v>
      </c>
      <c r="D339" t="s">
        <v>20</v>
      </c>
      <c r="E339" t="s">
        <v>8</v>
      </c>
      <c r="F339" s="9">
        <v>3986092.34</v>
      </c>
      <c r="G339" s="9">
        <v>794145.2</v>
      </c>
    </row>
    <row r="340" spans="1:7">
      <c r="A340" t="s">
        <v>1883</v>
      </c>
      <c r="B340" s="15">
        <v>45931</v>
      </c>
      <c r="C340" t="s">
        <v>19</v>
      </c>
      <c r="D340" t="s">
        <v>20</v>
      </c>
      <c r="E340" t="s">
        <v>11</v>
      </c>
      <c r="F340" s="9">
        <v>4533438.8499999996</v>
      </c>
      <c r="G340" s="9">
        <v>758043.75</v>
      </c>
    </row>
    <row r="341" spans="1:7">
      <c r="A341" t="s">
        <v>1884</v>
      </c>
      <c r="B341" s="15">
        <v>45931</v>
      </c>
      <c r="C341" t="s">
        <v>19</v>
      </c>
      <c r="D341" t="s">
        <v>20</v>
      </c>
      <c r="E341" t="s">
        <v>14</v>
      </c>
      <c r="F341" s="9">
        <v>5012907.04</v>
      </c>
      <c r="G341" s="9">
        <v>878278.3</v>
      </c>
    </row>
    <row r="342" spans="1:7">
      <c r="A342" t="s">
        <v>1885</v>
      </c>
      <c r="B342" s="15">
        <v>45931</v>
      </c>
      <c r="C342" t="s">
        <v>21</v>
      </c>
      <c r="D342" t="s">
        <v>22</v>
      </c>
      <c r="E342" t="s">
        <v>5</v>
      </c>
      <c r="F342" s="9">
        <v>2882194.61</v>
      </c>
      <c r="G342" s="9">
        <v>564158.77</v>
      </c>
    </row>
    <row r="343" spans="1:7">
      <c r="A343" t="s">
        <v>1886</v>
      </c>
      <c r="B343" s="15">
        <v>45931</v>
      </c>
      <c r="C343" t="s">
        <v>21</v>
      </c>
      <c r="D343" t="s">
        <v>22</v>
      </c>
      <c r="E343" t="s">
        <v>8</v>
      </c>
      <c r="F343" s="9">
        <v>3050823.7</v>
      </c>
      <c r="G343" s="9">
        <v>645316.53</v>
      </c>
    </row>
    <row r="344" spans="1:7">
      <c r="A344" t="s">
        <v>1887</v>
      </c>
      <c r="B344" s="15">
        <v>45931</v>
      </c>
      <c r="C344" t="s">
        <v>21</v>
      </c>
      <c r="D344" t="s">
        <v>22</v>
      </c>
      <c r="E344" t="s">
        <v>11</v>
      </c>
      <c r="F344" s="9">
        <v>3429657.48</v>
      </c>
      <c r="G344" s="9">
        <v>581928.66</v>
      </c>
    </row>
    <row r="345" spans="1:7">
      <c r="A345" t="s">
        <v>1888</v>
      </c>
      <c r="B345" s="15">
        <v>45931</v>
      </c>
      <c r="C345" t="s">
        <v>21</v>
      </c>
      <c r="D345" t="s">
        <v>22</v>
      </c>
      <c r="E345" t="s">
        <v>14</v>
      </c>
      <c r="F345" s="9">
        <v>3613834.94</v>
      </c>
      <c r="G345" s="9">
        <v>604744.16</v>
      </c>
    </row>
    <row r="346" spans="1:7">
      <c r="A346" t="s">
        <v>1889</v>
      </c>
      <c r="B346" s="15">
        <v>45931</v>
      </c>
      <c r="C346" t="s">
        <v>23</v>
      </c>
      <c r="D346" t="s">
        <v>24</v>
      </c>
      <c r="E346" t="s">
        <v>5</v>
      </c>
      <c r="F346" s="9">
        <v>3069804.24</v>
      </c>
      <c r="G346" s="9">
        <v>559416.81999999995</v>
      </c>
    </row>
    <row r="347" spans="1:7">
      <c r="A347" t="s">
        <v>1890</v>
      </c>
      <c r="B347" s="15">
        <v>45931</v>
      </c>
      <c r="C347" t="s">
        <v>23</v>
      </c>
      <c r="D347" t="s">
        <v>24</v>
      </c>
      <c r="E347" t="s">
        <v>8</v>
      </c>
      <c r="F347" s="9">
        <v>3223542.42</v>
      </c>
      <c r="G347" s="9">
        <v>657097.4</v>
      </c>
    </row>
    <row r="348" spans="1:7">
      <c r="A348" t="s">
        <v>1891</v>
      </c>
      <c r="B348" s="15">
        <v>45931</v>
      </c>
      <c r="C348" t="s">
        <v>23</v>
      </c>
      <c r="D348" t="s">
        <v>24</v>
      </c>
      <c r="E348" t="s">
        <v>11</v>
      </c>
      <c r="F348" s="9">
        <v>3429167.11</v>
      </c>
      <c r="G348" s="9">
        <v>539043.13</v>
      </c>
    </row>
    <row r="349" spans="1:7">
      <c r="A349" t="s">
        <v>1892</v>
      </c>
      <c r="B349" s="15">
        <v>45931</v>
      </c>
      <c r="C349" t="s">
        <v>23</v>
      </c>
      <c r="D349" t="s">
        <v>24</v>
      </c>
      <c r="E349" t="s">
        <v>14</v>
      </c>
      <c r="F349" s="9">
        <v>3744640.79</v>
      </c>
      <c r="G349" s="9">
        <v>632567.25</v>
      </c>
    </row>
    <row r="350" spans="1:7">
      <c r="A350" t="s">
        <v>1893</v>
      </c>
      <c r="B350" s="15">
        <v>45931</v>
      </c>
      <c r="C350" t="s">
        <v>25</v>
      </c>
      <c r="D350" t="s">
        <v>26</v>
      </c>
      <c r="E350" t="s">
        <v>5</v>
      </c>
      <c r="F350" s="9">
        <v>2544880.59</v>
      </c>
      <c r="G350" s="9">
        <v>488009.31</v>
      </c>
    </row>
    <row r="351" spans="1:7">
      <c r="A351" t="s">
        <v>1894</v>
      </c>
      <c r="B351" s="15">
        <v>45931</v>
      </c>
      <c r="C351" t="s">
        <v>25</v>
      </c>
      <c r="D351" t="s">
        <v>26</v>
      </c>
      <c r="E351" t="s">
        <v>8</v>
      </c>
      <c r="F351" s="9">
        <v>2517484.12</v>
      </c>
      <c r="G351" s="9">
        <v>510790.44</v>
      </c>
    </row>
    <row r="352" spans="1:7">
      <c r="A352" t="s">
        <v>1895</v>
      </c>
      <c r="B352" s="15">
        <v>45931</v>
      </c>
      <c r="C352" t="s">
        <v>25</v>
      </c>
      <c r="D352" t="s">
        <v>26</v>
      </c>
      <c r="E352" t="s">
        <v>11</v>
      </c>
      <c r="F352" s="9">
        <v>2891555.54</v>
      </c>
      <c r="G352" s="9">
        <v>503822.12</v>
      </c>
    </row>
    <row r="353" spans="1:7">
      <c r="A353" t="s">
        <v>1896</v>
      </c>
      <c r="B353" s="15">
        <v>45931</v>
      </c>
      <c r="C353" t="s">
        <v>25</v>
      </c>
      <c r="D353" t="s">
        <v>26</v>
      </c>
      <c r="E353" t="s">
        <v>14</v>
      </c>
      <c r="F353" s="9">
        <v>3169160.04</v>
      </c>
      <c r="G353" s="9">
        <v>559880.12</v>
      </c>
    </row>
    <row r="354" spans="1:7">
      <c r="A354" t="s">
        <v>1897</v>
      </c>
      <c r="B354" s="15">
        <v>45962</v>
      </c>
      <c r="C354" t="s">
        <v>19</v>
      </c>
      <c r="D354" t="s">
        <v>20</v>
      </c>
      <c r="E354" t="s">
        <v>5</v>
      </c>
      <c r="F354" s="9">
        <v>3934633.85</v>
      </c>
      <c r="G354" s="9">
        <v>753964.34</v>
      </c>
    </row>
    <row r="355" spans="1:7">
      <c r="A355" t="s">
        <v>1898</v>
      </c>
      <c r="B355" s="15">
        <v>45962</v>
      </c>
      <c r="C355" t="s">
        <v>19</v>
      </c>
      <c r="D355" t="s">
        <v>20</v>
      </c>
      <c r="E355" t="s">
        <v>8</v>
      </c>
      <c r="F355" s="9">
        <v>4068978.32</v>
      </c>
      <c r="G355" s="9">
        <v>828730.99</v>
      </c>
    </row>
    <row r="356" spans="1:7">
      <c r="A356" t="s">
        <v>1899</v>
      </c>
      <c r="B356" s="15">
        <v>45962</v>
      </c>
      <c r="C356" t="s">
        <v>19</v>
      </c>
      <c r="D356" t="s">
        <v>20</v>
      </c>
      <c r="E356" t="s">
        <v>11</v>
      </c>
      <c r="F356" s="9">
        <v>4475656.45</v>
      </c>
      <c r="G356" s="9">
        <v>729486.38</v>
      </c>
    </row>
    <row r="357" spans="1:7">
      <c r="A357" t="s">
        <v>1900</v>
      </c>
      <c r="B357" s="15">
        <v>45962</v>
      </c>
      <c r="C357" t="s">
        <v>19</v>
      </c>
      <c r="D357" t="s">
        <v>20</v>
      </c>
      <c r="E357" t="s">
        <v>14</v>
      </c>
      <c r="F357" s="9">
        <v>4809497.63</v>
      </c>
      <c r="G357" s="9">
        <v>847901.89</v>
      </c>
    </row>
    <row r="358" spans="1:7">
      <c r="A358" t="s">
        <v>1901</v>
      </c>
      <c r="B358" s="15">
        <v>45962</v>
      </c>
      <c r="C358" t="s">
        <v>21</v>
      </c>
      <c r="D358" t="s">
        <v>22</v>
      </c>
      <c r="E358" t="s">
        <v>5</v>
      </c>
      <c r="F358" s="9">
        <v>3145588.8</v>
      </c>
      <c r="G358" s="9">
        <v>586276.82999999996</v>
      </c>
    </row>
    <row r="359" spans="1:7">
      <c r="A359" t="s">
        <v>1902</v>
      </c>
      <c r="B359" s="15">
        <v>45962</v>
      </c>
      <c r="C359" t="s">
        <v>21</v>
      </c>
      <c r="D359" t="s">
        <v>22</v>
      </c>
      <c r="E359" t="s">
        <v>8</v>
      </c>
      <c r="F359" s="9">
        <v>3151340.09</v>
      </c>
      <c r="G359" s="9">
        <v>676700.11</v>
      </c>
    </row>
    <row r="360" spans="1:7">
      <c r="A360" t="s">
        <v>1903</v>
      </c>
      <c r="B360" s="15">
        <v>45962</v>
      </c>
      <c r="C360" t="s">
        <v>21</v>
      </c>
      <c r="D360" t="s">
        <v>22</v>
      </c>
      <c r="E360" t="s">
        <v>11</v>
      </c>
      <c r="F360" s="9">
        <v>3261375.19</v>
      </c>
      <c r="G360" s="9">
        <v>535761.27</v>
      </c>
    </row>
    <row r="361" spans="1:7">
      <c r="A361" t="s">
        <v>1904</v>
      </c>
      <c r="B361" s="15">
        <v>45962</v>
      </c>
      <c r="C361" t="s">
        <v>21</v>
      </c>
      <c r="D361" t="s">
        <v>22</v>
      </c>
      <c r="E361" t="s">
        <v>14</v>
      </c>
      <c r="F361" s="9">
        <v>3791167.4</v>
      </c>
      <c r="G361" s="9">
        <v>658304.47</v>
      </c>
    </row>
    <row r="362" spans="1:7">
      <c r="A362" t="s">
        <v>1905</v>
      </c>
      <c r="B362" s="15">
        <v>45962</v>
      </c>
      <c r="C362" t="s">
        <v>23</v>
      </c>
      <c r="D362" t="s">
        <v>24</v>
      </c>
      <c r="E362" t="s">
        <v>5</v>
      </c>
      <c r="F362" s="9">
        <v>3025097.06</v>
      </c>
      <c r="G362" s="9">
        <v>582275.75</v>
      </c>
    </row>
    <row r="363" spans="1:7">
      <c r="A363" t="s">
        <v>1906</v>
      </c>
      <c r="B363" s="15">
        <v>45962</v>
      </c>
      <c r="C363" t="s">
        <v>23</v>
      </c>
      <c r="D363" t="s">
        <v>24</v>
      </c>
      <c r="E363" t="s">
        <v>8</v>
      </c>
      <c r="F363" s="9">
        <v>3091752.09</v>
      </c>
      <c r="G363" s="9">
        <v>661458.25</v>
      </c>
    </row>
    <row r="364" spans="1:7">
      <c r="A364" t="s">
        <v>1907</v>
      </c>
      <c r="B364" s="15">
        <v>45962</v>
      </c>
      <c r="C364" t="s">
        <v>23</v>
      </c>
      <c r="D364" t="s">
        <v>24</v>
      </c>
      <c r="E364" t="s">
        <v>11</v>
      </c>
      <c r="F364" s="9">
        <v>3535224.45</v>
      </c>
      <c r="G364" s="9">
        <v>574025.81999999995</v>
      </c>
    </row>
    <row r="365" spans="1:7">
      <c r="A365" t="s">
        <v>1908</v>
      </c>
      <c r="B365" s="15">
        <v>45962</v>
      </c>
      <c r="C365" t="s">
        <v>23</v>
      </c>
      <c r="D365" t="s">
        <v>24</v>
      </c>
      <c r="E365" t="s">
        <v>14</v>
      </c>
      <c r="F365" s="9">
        <v>3807497.36</v>
      </c>
      <c r="G365" s="9">
        <v>676640.33</v>
      </c>
    </row>
    <row r="366" spans="1:7">
      <c r="A366" t="s">
        <v>1909</v>
      </c>
      <c r="B366" s="15">
        <v>45962</v>
      </c>
      <c r="C366" t="s">
        <v>25</v>
      </c>
      <c r="D366" t="s">
        <v>26</v>
      </c>
      <c r="E366" t="s">
        <v>5</v>
      </c>
      <c r="F366" s="9">
        <v>2535549.39</v>
      </c>
      <c r="G366" s="9">
        <v>452828.83</v>
      </c>
    </row>
    <row r="367" spans="1:7">
      <c r="A367" t="s">
        <v>1910</v>
      </c>
      <c r="B367" s="15">
        <v>45962</v>
      </c>
      <c r="C367" t="s">
        <v>25</v>
      </c>
      <c r="D367" t="s">
        <v>26</v>
      </c>
      <c r="E367" t="s">
        <v>8</v>
      </c>
      <c r="F367" s="9">
        <v>2588369.06</v>
      </c>
      <c r="G367" s="9">
        <v>523185.65</v>
      </c>
    </row>
    <row r="368" spans="1:7">
      <c r="A368" t="s">
        <v>1911</v>
      </c>
      <c r="B368" s="15">
        <v>45962</v>
      </c>
      <c r="C368" t="s">
        <v>25</v>
      </c>
      <c r="D368" t="s">
        <v>26</v>
      </c>
      <c r="E368" t="s">
        <v>11</v>
      </c>
      <c r="F368" s="9">
        <v>2983027.56</v>
      </c>
      <c r="G368" s="9">
        <v>503493.27</v>
      </c>
    </row>
    <row r="369" spans="1:7">
      <c r="A369" t="s">
        <v>1912</v>
      </c>
      <c r="B369" s="15">
        <v>45962</v>
      </c>
      <c r="C369" t="s">
        <v>25</v>
      </c>
      <c r="D369" t="s">
        <v>26</v>
      </c>
      <c r="E369" t="s">
        <v>14</v>
      </c>
      <c r="F369" s="9">
        <v>3344381.94</v>
      </c>
      <c r="G369" s="9">
        <v>565903.61</v>
      </c>
    </row>
    <row r="370" spans="1:7">
      <c r="A370" t="s">
        <v>1913</v>
      </c>
      <c r="B370" s="15">
        <v>45992</v>
      </c>
      <c r="C370" t="s">
        <v>19</v>
      </c>
      <c r="D370" t="s">
        <v>20</v>
      </c>
      <c r="E370" t="s">
        <v>5</v>
      </c>
      <c r="F370" s="9">
        <v>3938232.25</v>
      </c>
      <c r="G370" s="9">
        <v>734826.25</v>
      </c>
    </row>
    <row r="371" spans="1:7">
      <c r="A371" t="s">
        <v>1914</v>
      </c>
      <c r="B371" s="15">
        <v>45992</v>
      </c>
      <c r="C371" t="s">
        <v>19</v>
      </c>
      <c r="D371" t="s">
        <v>20</v>
      </c>
      <c r="E371" t="s">
        <v>8</v>
      </c>
      <c r="F371" s="9">
        <v>4171382.56</v>
      </c>
      <c r="G371" s="9">
        <v>833248.69</v>
      </c>
    </row>
    <row r="372" spans="1:7">
      <c r="A372" t="s">
        <v>1915</v>
      </c>
      <c r="B372" s="15">
        <v>45992</v>
      </c>
      <c r="C372" t="s">
        <v>19</v>
      </c>
      <c r="D372" t="s">
        <v>20</v>
      </c>
      <c r="E372" t="s">
        <v>11</v>
      </c>
      <c r="F372" s="9">
        <v>4396884.37</v>
      </c>
      <c r="G372" s="9">
        <v>694351.29</v>
      </c>
    </row>
    <row r="373" spans="1:7">
      <c r="A373" t="s">
        <v>1916</v>
      </c>
      <c r="B373" s="15">
        <v>45992</v>
      </c>
      <c r="C373" t="s">
        <v>19</v>
      </c>
      <c r="D373" t="s">
        <v>20</v>
      </c>
      <c r="E373" t="s">
        <v>14</v>
      </c>
      <c r="F373" s="9">
        <v>5099762.8600000003</v>
      </c>
      <c r="G373" s="9">
        <v>897084.7</v>
      </c>
    </row>
    <row r="374" spans="1:7">
      <c r="A374" t="s">
        <v>1917</v>
      </c>
      <c r="B374" s="15">
        <v>45992</v>
      </c>
      <c r="C374" t="s">
        <v>21</v>
      </c>
      <c r="D374" t="s">
        <v>22</v>
      </c>
      <c r="E374" t="s">
        <v>5</v>
      </c>
      <c r="F374" s="9">
        <v>2958480.44</v>
      </c>
      <c r="G374" s="9">
        <v>560964.22</v>
      </c>
    </row>
    <row r="375" spans="1:7">
      <c r="A375" t="s">
        <v>1918</v>
      </c>
      <c r="B375" s="15">
        <v>45992</v>
      </c>
      <c r="C375" t="s">
        <v>21</v>
      </c>
      <c r="D375" t="s">
        <v>22</v>
      </c>
      <c r="E375" t="s">
        <v>8</v>
      </c>
      <c r="F375" s="9">
        <v>3100368.72</v>
      </c>
      <c r="G375" s="9">
        <v>649852</v>
      </c>
    </row>
    <row r="376" spans="1:7">
      <c r="A376" t="s">
        <v>1919</v>
      </c>
      <c r="B376" s="15">
        <v>45992</v>
      </c>
      <c r="C376" t="s">
        <v>21</v>
      </c>
      <c r="D376" t="s">
        <v>22</v>
      </c>
      <c r="E376" t="s">
        <v>11</v>
      </c>
      <c r="F376" s="9">
        <v>3503003.73</v>
      </c>
      <c r="G376" s="9">
        <v>569198.87</v>
      </c>
    </row>
    <row r="377" spans="1:7">
      <c r="A377" t="s">
        <v>1920</v>
      </c>
      <c r="B377" s="15">
        <v>45992</v>
      </c>
      <c r="C377" t="s">
        <v>21</v>
      </c>
      <c r="D377" t="s">
        <v>22</v>
      </c>
      <c r="E377" t="s">
        <v>14</v>
      </c>
      <c r="F377" s="9">
        <v>4014690.98</v>
      </c>
      <c r="G377" s="9">
        <v>678856.95</v>
      </c>
    </row>
    <row r="378" spans="1:7">
      <c r="A378" t="s">
        <v>1921</v>
      </c>
      <c r="B378" s="15">
        <v>45992</v>
      </c>
      <c r="C378" t="s">
        <v>23</v>
      </c>
      <c r="D378" t="s">
        <v>24</v>
      </c>
      <c r="E378" t="s">
        <v>5</v>
      </c>
      <c r="F378" s="9">
        <v>3176630.7</v>
      </c>
      <c r="G378" s="9">
        <v>586959.56000000006</v>
      </c>
    </row>
    <row r="379" spans="1:7">
      <c r="A379" t="s">
        <v>1922</v>
      </c>
      <c r="B379" s="15">
        <v>45992</v>
      </c>
      <c r="C379" t="s">
        <v>23</v>
      </c>
      <c r="D379" t="s">
        <v>24</v>
      </c>
      <c r="E379" t="s">
        <v>8</v>
      </c>
      <c r="F379" s="9">
        <v>3297251.08</v>
      </c>
      <c r="G379" s="9">
        <v>693990.33</v>
      </c>
    </row>
    <row r="380" spans="1:7">
      <c r="A380" t="s">
        <v>1923</v>
      </c>
      <c r="B380" s="15">
        <v>45992</v>
      </c>
      <c r="C380" t="s">
        <v>23</v>
      </c>
      <c r="D380" t="s">
        <v>24</v>
      </c>
      <c r="E380" t="s">
        <v>11</v>
      </c>
      <c r="F380" s="9">
        <v>3609340.59</v>
      </c>
      <c r="G380" s="9">
        <v>609610.67000000004</v>
      </c>
    </row>
    <row r="381" spans="1:7">
      <c r="A381" t="s">
        <v>1924</v>
      </c>
      <c r="B381" s="15">
        <v>45992</v>
      </c>
      <c r="C381" t="s">
        <v>23</v>
      </c>
      <c r="D381" t="s">
        <v>24</v>
      </c>
      <c r="E381" t="s">
        <v>14</v>
      </c>
      <c r="F381" s="9">
        <v>3929052.99</v>
      </c>
      <c r="G381" s="9">
        <v>672521.02</v>
      </c>
    </row>
    <row r="382" spans="1:7">
      <c r="A382" t="s">
        <v>1925</v>
      </c>
      <c r="B382" s="15">
        <v>45992</v>
      </c>
      <c r="C382" t="s">
        <v>25</v>
      </c>
      <c r="D382" t="s">
        <v>26</v>
      </c>
      <c r="E382" t="s">
        <v>5</v>
      </c>
      <c r="F382" s="9">
        <v>2528793.87</v>
      </c>
      <c r="G382" s="9">
        <v>470961.89</v>
      </c>
    </row>
    <row r="383" spans="1:7">
      <c r="A383" t="s">
        <v>1926</v>
      </c>
      <c r="B383" s="15">
        <v>45992</v>
      </c>
      <c r="C383" t="s">
        <v>25</v>
      </c>
      <c r="D383" t="s">
        <v>26</v>
      </c>
      <c r="E383" t="s">
        <v>8</v>
      </c>
      <c r="F383" s="9">
        <v>2823007.54</v>
      </c>
      <c r="G383" s="9">
        <v>570942.48</v>
      </c>
    </row>
    <row r="384" spans="1:7">
      <c r="A384" t="s">
        <v>1927</v>
      </c>
      <c r="B384" s="15">
        <v>45992</v>
      </c>
      <c r="C384" t="s">
        <v>25</v>
      </c>
      <c r="D384" t="s">
        <v>26</v>
      </c>
      <c r="E384" t="s">
        <v>11</v>
      </c>
      <c r="F384" s="9">
        <v>2961965.9</v>
      </c>
      <c r="G384" s="9">
        <v>472519.9</v>
      </c>
    </row>
    <row r="385" spans="1:7">
      <c r="A385" t="s">
        <v>1928</v>
      </c>
      <c r="B385" s="15">
        <v>45992</v>
      </c>
      <c r="C385" t="s">
        <v>25</v>
      </c>
      <c r="D385" t="s">
        <v>26</v>
      </c>
      <c r="E385" t="s">
        <v>14</v>
      </c>
      <c r="F385" s="9">
        <v>3211042.81</v>
      </c>
      <c r="G385" s="9">
        <v>550812.75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66"/>
  <sheetViews>
    <sheetView tabSelected="1" workbookViewId="0">
      <selection activeCell="M9" sqref="M9"/>
    </sheetView>
  </sheetViews>
  <sheetFormatPr defaultRowHeight="13.8"/>
  <cols>
    <col min="1" max="1" width="11" customWidth="1"/>
    <col min="2" max="2" width="13" style="16" customWidth="1"/>
    <col min="3" max="3" width="13" customWidth="1"/>
    <col min="4" max="5" width="11" customWidth="1"/>
    <col min="6" max="6" width="12" customWidth="1"/>
    <col min="7" max="8" width="11" customWidth="1"/>
    <col min="9" max="9" width="13" customWidth="1"/>
    <col min="10" max="10" width="17" customWidth="1"/>
    <col min="11" max="11" width="13" style="8" customWidth="1"/>
  </cols>
  <sheetData>
    <row r="1" spans="1:11">
      <c r="A1" s="1" t="s">
        <v>1929</v>
      </c>
      <c r="B1" s="14" t="s">
        <v>1930</v>
      </c>
      <c r="C1" s="1" t="s">
        <v>383</v>
      </c>
      <c r="D1" s="1" t="s">
        <v>27</v>
      </c>
      <c r="E1" s="1" t="s">
        <v>17</v>
      </c>
      <c r="F1" s="1" t="s">
        <v>29</v>
      </c>
      <c r="G1" s="1" t="s">
        <v>68</v>
      </c>
      <c r="H1" s="1" t="s">
        <v>1</v>
      </c>
      <c r="I1" s="1" t="s">
        <v>1931</v>
      </c>
      <c r="J1" s="1" t="s">
        <v>1932</v>
      </c>
      <c r="K1" s="7" t="s">
        <v>1933</v>
      </c>
    </row>
    <row r="2" spans="1:11">
      <c r="A2" t="s">
        <v>1934</v>
      </c>
      <c r="B2" s="15">
        <v>45304</v>
      </c>
      <c r="C2" s="4">
        <v>45292</v>
      </c>
      <c r="D2" t="s">
        <v>32</v>
      </c>
      <c r="E2" t="s">
        <v>19</v>
      </c>
      <c r="F2" t="s">
        <v>34</v>
      </c>
      <c r="G2" t="s">
        <v>142</v>
      </c>
      <c r="H2" t="s">
        <v>14</v>
      </c>
      <c r="I2" t="s">
        <v>1935</v>
      </c>
      <c r="J2" t="s">
        <v>1936</v>
      </c>
      <c r="K2" s="8">
        <v>34</v>
      </c>
    </row>
    <row r="3" spans="1:11">
      <c r="A3" t="s">
        <v>1937</v>
      </c>
      <c r="B3" s="15">
        <v>45317</v>
      </c>
      <c r="C3" s="4">
        <v>45292</v>
      </c>
      <c r="D3" t="s">
        <v>32</v>
      </c>
      <c r="E3" t="s">
        <v>19</v>
      </c>
      <c r="F3" t="s">
        <v>34</v>
      </c>
      <c r="G3" t="s">
        <v>148</v>
      </c>
      <c r="H3" t="s">
        <v>5</v>
      </c>
      <c r="I3" t="s">
        <v>1935</v>
      </c>
      <c r="J3" t="s">
        <v>1938</v>
      </c>
      <c r="K3" s="8">
        <v>19</v>
      </c>
    </row>
    <row r="4" spans="1:11">
      <c r="A4" t="s">
        <v>1939</v>
      </c>
      <c r="B4" s="15">
        <v>45297</v>
      </c>
      <c r="C4" s="4">
        <v>45292</v>
      </c>
      <c r="D4" t="s">
        <v>32</v>
      </c>
      <c r="E4" t="s">
        <v>19</v>
      </c>
      <c r="F4" t="s">
        <v>34</v>
      </c>
      <c r="G4" t="s">
        <v>105</v>
      </c>
      <c r="H4" t="s">
        <v>11</v>
      </c>
      <c r="I4" t="s">
        <v>1935</v>
      </c>
      <c r="J4" t="s">
        <v>1936</v>
      </c>
      <c r="K4" s="8">
        <v>10</v>
      </c>
    </row>
    <row r="5" spans="1:11">
      <c r="A5" t="s">
        <v>1940</v>
      </c>
      <c r="B5" s="15">
        <v>45304</v>
      </c>
      <c r="C5" s="4">
        <v>45292</v>
      </c>
      <c r="D5" t="s">
        <v>32</v>
      </c>
      <c r="E5" t="s">
        <v>19</v>
      </c>
      <c r="F5" t="s">
        <v>34</v>
      </c>
      <c r="G5" t="s">
        <v>154</v>
      </c>
      <c r="H5" t="s">
        <v>11</v>
      </c>
      <c r="I5" t="s">
        <v>1935</v>
      </c>
      <c r="J5" t="s">
        <v>1936</v>
      </c>
      <c r="K5" s="8">
        <v>19</v>
      </c>
    </row>
    <row r="6" spans="1:11">
      <c r="A6" t="s">
        <v>1941</v>
      </c>
      <c r="B6" s="15">
        <v>45299</v>
      </c>
      <c r="C6" s="4">
        <v>45292</v>
      </c>
      <c r="D6" t="s">
        <v>32</v>
      </c>
      <c r="E6" t="s">
        <v>19</v>
      </c>
      <c r="F6" t="s">
        <v>34</v>
      </c>
      <c r="G6" t="s">
        <v>75</v>
      </c>
      <c r="H6" t="s">
        <v>5</v>
      </c>
      <c r="I6" t="s">
        <v>1942</v>
      </c>
      <c r="J6" t="s">
        <v>1938</v>
      </c>
      <c r="K6" s="8">
        <v>8</v>
      </c>
    </row>
    <row r="7" spans="1:11">
      <c r="A7" t="s">
        <v>1943</v>
      </c>
      <c r="B7" s="15">
        <v>45299</v>
      </c>
      <c r="C7" s="4">
        <v>45292</v>
      </c>
      <c r="D7" t="s">
        <v>32</v>
      </c>
      <c r="E7" t="s">
        <v>19</v>
      </c>
      <c r="F7" t="s">
        <v>34</v>
      </c>
      <c r="G7" t="s">
        <v>99</v>
      </c>
      <c r="H7" t="s">
        <v>14</v>
      </c>
      <c r="I7" t="s">
        <v>1942</v>
      </c>
      <c r="J7" t="s">
        <v>1936</v>
      </c>
      <c r="K7" s="8">
        <v>6</v>
      </c>
    </row>
    <row r="8" spans="1:11">
      <c r="A8" t="s">
        <v>1944</v>
      </c>
      <c r="B8" s="15">
        <v>45317</v>
      </c>
      <c r="C8" s="4">
        <v>45292</v>
      </c>
      <c r="D8" t="s">
        <v>32</v>
      </c>
      <c r="E8" t="s">
        <v>19</v>
      </c>
      <c r="F8" t="s">
        <v>34</v>
      </c>
      <c r="G8" t="s">
        <v>124</v>
      </c>
      <c r="H8" t="s">
        <v>8</v>
      </c>
      <c r="I8" t="s">
        <v>1935</v>
      </c>
      <c r="J8" t="s">
        <v>1936</v>
      </c>
      <c r="K8" s="8">
        <v>17</v>
      </c>
    </row>
    <row r="9" spans="1:11">
      <c r="A9" t="s">
        <v>1945</v>
      </c>
      <c r="B9" s="15">
        <v>45318</v>
      </c>
      <c r="C9" s="4">
        <v>45292</v>
      </c>
      <c r="D9" t="s">
        <v>32</v>
      </c>
      <c r="E9" t="s">
        <v>19</v>
      </c>
      <c r="F9" t="s">
        <v>34</v>
      </c>
      <c r="G9" t="s">
        <v>136</v>
      </c>
      <c r="H9" t="s">
        <v>5</v>
      </c>
      <c r="I9" t="s">
        <v>1935</v>
      </c>
      <c r="J9" t="s">
        <v>1936</v>
      </c>
      <c r="K9" s="8">
        <v>20</v>
      </c>
    </row>
    <row r="10" spans="1:11">
      <c r="A10" t="s">
        <v>1946</v>
      </c>
      <c r="B10" s="15">
        <v>45321</v>
      </c>
      <c r="C10" s="4">
        <v>45292</v>
      </c>
      <c r="D10" t="s">
        <v>32</v>
      </c>
      <c r="E10" t="s">
        <v>19</v>
      </c>
      <c r="F10" t="s">
        <v>34</v>
      </c>
      <c r="G10" t="s">
        <v>130</v>
      </c>
      <c r="H10" t="s">
        <v>14</v>
      </c>
      <c r="I10" t="s">
        <v>1935</v>
      </c>
      <c r="J10" t="s">
        <v>1936</v>
      </c>
      <c r="K10" s="8">
        <v>17</v>
      </c>
    </row>
    <row r="11" spans="1:11">
      <c r="A11" t="s">
        <v>1947</v>
      </c>
      <c r="B11" s="15">
        <v>45297</v>
      </c>
      <c r="C11" s="4">
        <v>45292</v>
      </c>
      <c r="D11" t="s">
        <v>32</v>
      </c>
      <c r="E11" t="s">
        <v>19</v>
      </c>
      <c r="F11" t="s">
        <v>34</v>
      </c>
      <c r="G11" t="s">
        <v>148</v>
      </c>
      <c r="H11" t="s">
        <v>5</v>
      </c>
      <c r="I11" t="s">
        <v>1942</v>
      </c>
      <c r="J11" t="s">
        <v>1936</v>
      </c>
      <c r="K11" s="8">
        <v>8</v>
      </c>
    </row>
    <row r="12" spans="1:11">
      <c r="A12" t="s">
        <v>1948</v>
      </c>
      <c r="B12" s="15">
        <v>45300</v>
      </c>
      <c r="C12" s="4">
        <v>45292</v>
      </c>
      <c r="D12" t="s">
        <v>35</v>
      </c>
      <c r="E12" t="s">
        <v>19</v>
      </c>
      <c r="F12" t="s">
        <v>37</v>
      </c>
      <c r="G12" t="s">
        <v>101</v>
      </c>
      <c r="H12" t="s">
        <v>11</v>
      </c>
      <c r="I12" t="s">
        <v>1935</v>
      </c>
      <c r="J12" t="s">
        <v>1938</v>
      </c>
      <c r="K12" s="8">
        <v>35</v>
      </c>
    </row>
    <row r="13" spans="1:11">
      <c r="A13" t="s">
        <v>1949</v>
      </c>
      <c r="B13" s="15">
        <v>45320</v>
      </c>
      <c r="C13" s="4">
        <v>45292</v>
      </c>
      <c r="D13" t="s">
        <v>35</v>
      </c>
      <c r="E13" t="s">
        <v>19</v>
      </c>
      <c r="F13" t="s">
        <v>37</v>
      </c>
      <c r="G13" t="s">
        <v>101</v>
      </c>
      <c r="H13" t="s">
        <v>8</v>
      </c>
      <c r="I13" t="s">
        <v>1935</v>
      </c>
      <c r="J13" t="s">
        <v>1938</v>
      </c>
      <c r="K13" s="8">
        <v>12</v>
      </c>
    </row>
    <row r="14" spans="1:11">
      <c r="A14" t="s">
        <v>1950</v>
      </c>
      <c r="B14" s="15">
        <v>45316</v>
      </c>
      <c r="C14" s="4">
        <v>45292</v>
      </c>
      <c r="D14" t="s">
        <v>35</v>
      </c>
      <c r="E14" t="s">
        <v>19</v>
      </c>
      <c r="F14" t="s">
        <v>37</v>
      </c>
      <c r="G14" t="s">
        <v>101</v>
      </c>
      <c r="H14" t="s">
        <v>8</v>
      </c>
      <c r="I14" t="s">
        <v>1935</v>
      </c>
      <c r="J14" t="s">
        <v>1938</v>
      </c>
      <c r="K14" s="8">
        <v>35</v>
      </c>
    </row>
    <row r="15" spans="1:11">
      <c r="A15" t="s">
        <v>1951</v>
      </c>
      <c r="B15" s="15">
        <v>45312</v>
      </c>
      <c r="C15" s="4">
        <v>45292</v>
      </c>
      <c r="D15" t="s">
        <v>35</v>
      </c>
      <c r="E15" t="s">
        <v>19</v>
      </c>
      <c r="F15" t="s">
        <v>37</v>
      </c>
      <c r="G15" t="s">
        <v>107</v>
      </c>
      <c r="H15" t="s">
        <v>8</v>
      </c>
      <c r="I15" t="s">
        <v>1935</v>
      </c>
      <c r="J15" t="s">
        <v>1936</v>
      </c>
      <c r="K15" s="8">
        <v>8</v>
      </c>
    </row>
    <row r="16" spans="1:11">
      <c r="A16" t="s">
        <v>1952</v>
      </c>
      <c r="B16" s="15">
        <v>45312</v>
      </c>
      <c r="C16" s="4">
        <v>45292</v>
      </c>
      <c r="D16" t="s">
        <v>35</v>
      </c>
      <c r="E16" t="s">
        <v>19</v>
      </c>
      <c r="F16" t="s">
        <v>37</v>
      </c>
      <c r="G16" t="s">
        <v>101</v>
      </c>
      <c r="H16" t="s">
        <v>5</v>
      </c>
      <c r="I16" t="s">
        <v>1935</v>
      </c>
      <c r="J16" t="s">
        <v>1936</v>
      </c>
      <c r="K16" s="8">
        <v>10</v>
      </c>
    </row>
    <row r="17" spans="1:11">
      <c r="A17" t="s">
        <v>1953</v>
      </c>
      <c r="B17" s="15">
        <v>45311</v>
      </c>
      <c r="C17" s="4">
        <v>45292</v>
      </c>
      <c r="D17" t="s">
        <v>35</v>
      </c>
      <c r="E17" t="s">
        <v>19</v>
      </c>
      <c r="F17" t="s">
        <v>37</v>
      </c>
      <c r="G17" t="s">
        <v>107</v>
      </c>
      <c r="H17" t="s">
        <v>8</v>
      </c>
      <c r="I17" t="s">
        <v>1935</v>
      </c>
      <c r="J17" t="s">
        <v>1954</v>
      </c>
      <c r="K17" s="8">
        <v>26</v>
      </c>
    </row>
    <row r="18" spans="1:11">
      <c r="A18" t="s">
        <v>1955</v>
      </c>
      <c r="B18" s="15">
        <v>45314</v>
      </c>
      <c r="C18" s="4">
        <v>45292</v>
      </c>
      <c r="D18" t="s">
        <v>35</v>
      </c>
      <c r="E18" t="s">
        <v>19</v>
      </c>
      <c r="F18" t="s">
        <v>37</v>
      </c>
      <c r="G18" t="s">
        <v>78</v>
      </c>
      <c r="H18" t="s">
        <v>8</v>
      </c>
      <c r="I18" t="s">
        <v>1935</v>
      </c>
      <c r="J18" t="s">
        <v>1936</v>
      </c>
      <c r="K18" s="8">
        <v>8</v>
      </c>
    </row>
    <row r="19" spans="1:11">
      <c r="A19" t="s">
        <v>1956</v>
      </c>
      <c r="B19" s="15">
        <v>45317</v>
      </c>
      <c r="C19" s="4">
        <v>45292</v>
      </c>
      <c r="D19" t="s">
        <v>35</v>
      </c>
      <c r="E19" t="s">
        <v>19</v>
      </c>
      <c r="F19" t="s">
        <v>37</v>
      </c>
      <c r="G19" t="s">
        <v>107</v>
      </c>
      <c r="H19" t="s">
        <v>8</v>
      </c>
      <c r="I19" t="s">
        <v>1935</v>
      </c>
      <c r="J19" t="s">
        <v>1936</v>
      </c>
      <c r="K19" s="8">
        <v>33</v>
      </c>
    </row>
    <row r="20" spans="1:11">
      <c r="A20" t="s">
        <v>1957</v>
      </c>
      <c r="B20" s="15">
        <v>45315</v>
      </c>
      <c r="C20" s="4">
        <v>45292</v>
      </c>
      <c r="D20" t="s">
        <v>35</v>
      </c>
      <c r="E20" t="s">
        <v>19</v>
      </c>
      <c r="F20" t="s">
        <v>37</v>
      </c>
      <c r="G20" t="s">
        <v>78</v>
      </c>
      <c r="H20" t="s">
        <v>8</v>
      </c>
      <c r="I20" t="s">
        <v>1935</v>
      </c>
      <c r="J20" t="s">
        <v>1938</v>
      </c>
      <c r="K20" s="8">
        <v>26</v>
      </c>
    </row>
    <row r="21" spans="1:11">
      <c r="A21" t="s">
        <v>1958</v>
      </c>
      <c r="B21" s="15">
        <v>45302</v>
      </c>
      <c r="C21" s="4">
        <v>45292</v>
      </c>
      <c r="D21" t="s">
        <v>35</v>
      </c>
      <c r="E21" t="s">
        <v>19</v>
      </c>
      <c r="F21" t="s">
        <v>37</v>
      </c>
      <c r="G21" t="s">
        <v>101</v>
      </c>
      <c r="H21" t="s">
        <v>5</v>
      </c>
      <c r="I21" t="s">
        <v>1935</v>
      </c>
      <c r="J21" t="s">
        <v>1936</v>
      </c>
      <c r="K21" s="8">
        <v>26</v>
      </c>
    </row>
    <row r="22" spans="1:11">
      <c r="A22" t="s">
        <v>1959</v>
      </c>
      <c r="B22" s="15">
        <v>45311</v>
      </c>
      <c r="C22" s="4">
        <v>45292</v>
      </c>
      <c r="D22" t="s">
        <v>38</v>
      </c>
      <c r="E22" t="s">
        <v>19</v>
      </c>
      <c r="F22" t="s">
        <v>40</v>
      </c>
      <c r="G22" t="s">
        <v>158</v>
      </c>
      <c r="H22" t="s">
        <v>8</v>
      </c>
      <c r="I22" t="s">
        <v>1935</v>
      </c>
      <c r="J22" t="s">
        <v>1938</v>
      </c>
      <c r="K22" s="8">
        <v>20</v>
      </c>
    </row>
    <row r="23" spans="1:11">
      <c r="A23" t="s">
        <v>1960</v>
      </c>
      <c r="B23" s="15">
        <v>45294</v>
      </c>
      <c r="C23" s="4">
        <v>45292</v>
      </c>
      <c r="D23" t="s">
        <v>38</v>
      </c>
      <c r="E23" t="s">
        <v>19</v>
      </c>
      <c r="F23" t="s">
        <v>40</v>
      </c>
      <c r="G23" t="s">
        <v>122</v>
      </c>
      <c r="H23" t="s">
        <v>11</v>
      </c>
      <c r="I23" t="s">
        <v>1935</v>
      </c>
      <c r="J23" t="s">
        <v>1936</v>
      </c>
      <c r="K23" s="8">
        <v>24</v>
      </c>
    </row>
    <row r="24" spans="1:11">
      <c r="A24" t="s">
        <v>1961</v>
      </c>
      <c r="B24" s="15">
        <v>45299</v>
      </c>
      <c r="C24" s="4">
        <v>45292</v>
      </c>
      <c r="D24" t="s">
        <v>38</v>
      </c>
      <c r="E24" t="s">
        <v>19</v>
      </c>
      <c r="F24" t="s">
        <v>40</v>
      </c>
      <c r="G24" t="s">
        <v>109</v>
      </c>
      <c r="H24" t="s">
        <v>11</v>
      </c>
      <c r="I24" t="s">
        <v>1935</v>
      </c>
      <c r="J24" t="s">
        <v>1938</v>
      </c>
      <c r="K24" s="8">
        <v>15</v>
      </c>
    </row>
    <row r="25" spans="1:11">
      <c r="A25" t="s">
        <v>1962</v>
      </c>
      <c r="B25" s="15">
        <v>45293</v>
      </c>
      <c r="C25" s="4">
        <v>45292</v>
      </c>
      <c r="D25" t="s">
        <v>38</v>
      </c>
      <c r="E25" t="s">
        <v>19</v>
      </c>
      <c r="F25" t="s">
        <v>40</v>
      </c>
      <c r="G25" t="s">
        <v>96</v>
      </c>
      <c r="H25" t="s">
        <v>11</v>
      </c>
      <c r="I25" t="s">
        <v>1935</v>
      </c>
      <c r="J25" t="s">
        <v>1938</v>
      </c>
      <c r="K25" s="8">
        <v>29</v>
      </c>
    </row>
    <row r="26" spans="1:11">
      <c r="A26" t="s">
        <v>1963</v>
      </c>
      <c r="B26" s="15">
        <v>45299</v>
      </c>
      <c r="C26" s="4">
        <v>45292</v>
      </c>
      <c r="D26" t="s">
        <v>38</v>
      </c>
      <c r="E26" t="s">
        <v>19</v>
      </c>
      <c r="F26" t="s">
        <v>40</v>
      </c>
      <c r="G26" t="s">
        <v>82</v>
      </c>
      <c r="H26" t="s">
        <v>11</v>
      </c>
      <c r="I26" t="s">
        <v>1935</v>
      </c>
      <c r="J26" t="s">
        <v>1936</v>
      </c>
      <c r="K26" s="8">
        <v>8</v>
      </c>
    </row>
    <row r="27" spans="1:11">
      <c r="A27" t="s">
        <v>1964</v>
      </c>
      <c r="B27" s="15">
        <v>45320</v>
      </c>
      <c r="C27" s="4">
        <v>45292</v>
      </c>
      <c r="D27" t="s">
        <v>38</v>
      </c>
      <c r="E27" t="s">
        <v>19</v>
      </c>
      <c r="F27" t="s">
        <v>40</v>
      </c>
      <c r="G27" t="s">
        <v>164</v>
      </c>
      <c r="H27" t="s">
        <v>14</v>
      </c>
      <c r="I27" t="s">
        <v>1935</v>
      </c>
      <c r="J27" t="s">
        <v>1936</v>
      </c>
      <c r="K27" s="8">
        <v>26</v>
      </c>
    </row>
    <row r="28" spans="1:11">
      <c r="A28" t="s">
        <v>1965</v>
      </c>
      <c r="B28" s="15">
        <v>45312</v>
      </c>
      <c r="C28" s="4">
        <v>45292</v>
      </c>
      <c r="D28" t="s">
        <v>38</v>
      </c>
      <c r="E28" t="s">
        <v>19</v>
      </c>
      <c r="F28" t="s">
        <v>40</v>
      </c>
      <c r="G28" t="s">
        <v>146</v>
      </c>
      <c r="H28" t="s">
        <v>11</v>
      </c>
      <c r="I28" t="s">
        <v>1935</v>
      </c>
      <c r="J28" t="s">
        <v>1936</v>
      </c>
      <c r="K28" s="8">
        <v>15</v>
      </c>
    </row>
    <row r="29" spans="1:11">
      <c r="A29" t="s">
        <v>1966</v>
      </c>
      <c r="B29" s="15">
        <v>45318</v>
      </c>
      <c r="C29" s="4">
        <v>45292</v>
      </c>
      <c r="D29" t="s">
        <v>38</v>
      </c>
      <c r="E29" t="s">
        <v>19</v>
      </c>
      <c r="F29" t="s">
        <v>40</v>
      </c>
      <c r="G29" t="s">
        <v>109</v>
      </c>
      <c r="H29" t="s">
        <v>11</v>
      </c>
      <c r="I29" t="s">
        <v>1935</v>
      </c>
      <c r="J29" t="s">
        <v>1954</v>
      </c>
      <c r="K29" s="8">
        <v>27</v>
      </c>
    </row>
    <row r="30" spans="1:11">
      <c r="A30" t="s">
        <v>1967</v>
      </c>
      <c r="B30" s="15">
        <v>45316</v>
      </c>
      <c r="C30" s="4">
        <v>45292</v>
      </c>
      <c r="D30" t="s">
        <v>38</v>
      </c>
      <c r="E30" t="s">
        <v>19</v>
      </c>
      <c r="F30" t="s">
        <v>40</v>
      </c>
      <c r="G30" t="s">
        <v>164</v>
      </c>
      <c r="H30" t="s">
        <v>5</v>
      </c>
      <c r="I30" t="s">
        <v>1935</v>
      </c>
      <c r="J30" t="s">
        <v>1936</v>
      </c>
      <c r="K30" s="8">
        <v>13</v>
      </c>
    </row>
    <row r="31" spans="1:11">
      <c r="A31" t="s">
        <v>1968</v>
      </c>
      <c r="B31" s="15">
        <v>45316</v>
      </c>
      <c r="C31" s="4">
        <v>45292</v>
      </c>
      <c r="D31" t="s">
        <v>38</v>
      </c>
      <c r="E31" t="s">
        <v>19</v>
      </c>
      <c r="F31" t="s">
        <v>40</v>
      </c>
      <c r="G31" t="s">
        <v>140</v>
      </c>
      <c r="H31" t="s">
        <v>8</v>
      </c>
      <c r="I31" t="s">
        <v>1935</v>
      </c>
      <c r="J31" t="s">
        <v>1936</v>
      </c>
      <c r="K31" s="8">
        <v>8</v>
      </c>
    </row>
    <row r="32" spans="1:11">
      <c r="A32" t="s">
        <v>1969</v>
      </c>
      <c r="B32" s="15">
        <v>45305</v>
      </c>
      <c r="C32" s="4">
        <v>45292</v>
      </c>
      <c r="D32" t="s">
        <v>38</v>
      </c>
      <c r="E32" t="s">
        <v>19</v>
      </c>
      <c r="F32" t="s">
        <v>40</v>
      </c>
      <c r="G32" t="s">
        <v>134</v>
      </c>
      <c r="H32" t="s">
        <v>14</v>
      </c>
      <c r="I32" t="s">
        <v>1935</v>
      </c>
      <c r="J32" t="s">
        <v>1936</v>
      </c>
      <c r="K32" s="8">
        <v>10</v>
      </c>
    </row>
    <row r="33" spans="1:11">
      <c r="A33" t="s">
        <v>1970</v>
      </c>
      <c r="B33" s="15">
        <v>45301</v>
      </c>
      <c r="C33" s="4">
        <v>45292</v>
      </c>
      <c r="D33" t="s">
        <v>38</v>
      </c>
      <c r="E33" t="s">
        <v>19</v>
      </c>
      <c r="F33" t="s">
        <v>40</v>
      </c>
      <c r="G33" t="s">
        <v>122</v>
      </c>
      <c r="H33" t="s">
        <v>11</v>
      </c>
      <c r="I33" t="s">
        <v>1935</v>
      </c>
      <c r="J33" t="s">
        <v>1954</v>
      </c>
      <c r="K33" s="8">
        <v>16</v>
      </c>
    </row>
    <row r="34" spans="1:11">
      <c r="A34" t="s">
        <v>1971</v>
      </c>
      <c r="B34" s="15">
        <v>45314</v>
      </c>
      <c r="C34" s="4">
        <v>45292</v>
      </c>
      <c r="D34" t="s">
        <v>38</v>
      </c>
      <c r="E34" t="s">
        <v>19</v>
      </c>
      <c r="F34" t="s">
        <v>40</v>
      </c>
      <c r="G34" t="s">
        <v>140</v>
      </c>
      <c r="H34" t="s">
        <v>8</v>
      </c>
      <c r="I34" t="s">
        <v>1935</v>
      </c>
      <c r="J34" t="s">
        <v>1936</v>
      </c>
      <c r="K34" s="8">
        <v>33</v>
      </c>
    </row>
    <row r="35" spans="1:11">
      <c r="A35" t="s">
        <v>1972</v>
      </c>
      <c r="B35" s="15">
        <v>45305</v>
      </c>
      <c r="C35" s="4">
        <v>45292</v>
      </c>
      <c r="D35" t="s">
        <v>38</v>
      </c>
      <c r="E35" t="s">
        <v>19</v>
      </c>
      <c r="F35" t="s">
        <v>40</v>
      </c>
      <c r="G35" t="s">
        <v>152</v>
      </c>
      <c r="H35" t="s">
        <v>5</v>
      </c>
      <c r="I35" t="s">
        <v>1942</v>
      </c>
      <c r="J35" t="s">
        <v>1936</v>
      </c>
      <c r="K35" s="8">
        <v>8</v>
      </c>
    </row>
    <row r="36" spans="1:11">
      <c r="A36" t="s">
        <v>1973</v>
      </c>
      <c r="B36" s="15">
        <v>45313</v>
      </c>
      <c r="C36" s="4">
        <v>45292</v>
      </c>
      <c r="D36" t="s">
        <v>38</v>
      </c>
      <c r="E36" t="s">
        <v>19</v>
      </c>
      <c r="F36" t="s">
        <v>40</v>
      </c>
      <c r="G36" t="s">
        <v>109</v>
      </c>
      <c r="H36" t="s">
        <v>11</v>
      </c>
      <c r="I36" t="s">
        <v>1935</v>
      </c>
      <c r="J36" t="s">
        <v>1936</v>
      </c>
      <c r="K36" s="8">
        <v>10</v>
      </c>
    </row>
    <row r="37" spans="1:11">
      <c r="A37" t="s">
        <v>1974</v>
      </c>
      <c r="B37" s="15">
        <v>45320</v>
      </c>
      <c r="C37" s="4">
        <v>45292</v>
      </c>
      <c r="D37" t="s">
        <v>41</v>
      </c>
      <c r="E37" t="s">
        <v>21</v>
      </c>
      <c r="F37" t="s">
        <v>43</v>
      </c>
      <c r="G37" t="s">
        <v>214</v>
      </c>
      <c r="H37" t="s">
        <v>5</v>
      </c>
      <c r="I37" t="s">
        <v>1935</v>
      </c>
      <c r="J37" t="s">
        <v>1936</v>
      </c>
      <c r="K37" s="8">
        <v>25</v>
      </c>
    </row>
    <row r="38" spans="1:11">
      <c r="A38" t="s">
        <v>1975</v>
      </c>
      <c r="B38" s="15">
        <v>45303</v>
      </c>
      <c r="C38" s="4">
        <v>45292</v>
      </c>
      <c r="D38" t="s">
        <v>41</v>
      </c>
      <c r="E38" t="s">
        <v>21</v>
      </c>
      <c r="F38" t="s">
        <v>43</v>
      </c>
      <c r="G38" t="s">
        <v>232</v>
      </c>
      <c r="H38" t="s">
        <v>11</v>
      </c>
      <c r="I38" t="s">
        <v>1935</v>
      </c>
      <c r="J38" t="s">
        <v>1954</v>
      </c>
      <c r="K38" s="8">
        <v>13</v>
      </c>
    </row>
    <row r="39" spans="1:11">
      <c r="A39" t="s">
        <v>1976</v>
      </c>
      <c r="B39" s="15">
        <v>45317</v>
      </c>
      <c r="C39" s="4">
        <v>45292</v>
      </c>
      <c r="D39" t="s">
        <v>41</v>
      </c>
      <c r="E39" t="s">
        <v>21</v>
      </c>
      <c r="F39" t="s">
        <v>43</v>
      </c>
      <c r="G39" t="s">
        <v>214</v>
      </c>
      <c r="H39" t="s">
        <v>5</v>
      </c>
      <c r="I39" t="s">
        <v>1935</v>
      </c>
      <c r="J39" t="s">
        <v>1936</v>
      </c>
      <c r="K39" s="8">
        <v>11</v>
      </c>
    </row>
    <row r="40" spans="1:11">
      <c r="A40" t="s">
        <v>1977</v>
      </c>
      <c r="B40" s="15">
        <v>45294</v>
      </c>
      <c r="C40" s="4">
        <v>45292</v>
      </c>
      <c r="D40" t="s">
        <v>41</v>
      </c>
      <c r="E40" t="s">
        <v>21</v>
      </c>
      <c r="F40" t="s">
        <v>43</v>
      </c>
      <c r="G40" t="s">
        <v>196</v>
      </c>
      <c r="H40" t="s">
        <v>14</v>
      </c>
      <c r="I40" t="s">
        <v>1935</v>
      </c>
      <c r="J40" t="s">
        <v>1938</v>
      </c>
      <c r="K40" s="8">
        <v>16</v>
      </c>
    </row>
    <row r="41" spans="1:11">
      <c r="A41" t="s">
        <v>1978</v>
      </c>
      <c r="B41" s="15">
        <v>45321</v>
      </c>
      <c r="C41" s="4">
        <v>45292</v>
      </c>
      <c r="D41" t="s">
        <v>41</v>
      </c>
      <c r="E41" t="s">
        <v>21</v>
      </c>
      <c r="F41" t="s">
        <v>43</v>
      </c>
      <c r="G41" t="s">
        <v>208</v>
      </c>
      <c r="H41" t="s">
        <v>11</v>
      </c>
      <c r="I41" t="s">
        <v>1935</v>
      </c>
      <c r="J41" t="s">
        <v>1936</v>
      </c>
      <c r="K41" s="8">
        <v>25</v>
      </c>
    </row>
    <row r="42" spans="1:11">
      <c r="A42" t="s">
        <v>1979</v>
      </c>
      <c r="B42" s="15">
        <v>45299</v>
      </c>
      <c r="C42" s="4">
        <v>45292</v>
      </c>
      <c r="D42" t="s">
        <v>41</v>
      </c>
      <c r="E42" t="s">
        <v>21</v>
      </c>
      <c r="F42" t="s">
        <v>43</v>
      </c>
      <c r="G42" t="s">
        <v>166</v>
      </c>
      <c r="H42" t="s">
        <v>14</v>
      </c>
      <c r="I42" t="s">
        <v>1935</v>
      </c>
      <c r="J42" t="s">
        <v>1936</v>
      </c>
      <c r="K42" s="8">
        <v>16</v>
      </c>
    </row>
    <row r="43" spans="1:11">
      <c r="A43" t="s">
        <v>1980</v>
      </c>
      <c r="B43" s="15">
        <v>45302</v>
      </c>
      <c r="C43" s="4">
        <v>45292</v>
      </c>
      <c r="D43" t="s">
        <v>41</v>
      </c>
      <c r="E43" t="s">
        <v>21</v>
      </c>
      <c r="F43" t="s">
        <v>43</v>
      </c>
      <c r="G43" t="s">
        <v>172</v>
      </c>
      <c r="H43" t="s">
        <v>8</v>
      </c>
      <c r="I43" t="s">
        <v>1935</v>
      </c>
      <c r="J43" t="s">
        <v>1936</v>
      </c>
      <c r="K43" s="8">
        <v>26</v>
      </c>
    </row>
    <row r="44" spans="1:11">
      <c r="A44" t="s">
        <v>1981</v>
      </c>
      <c r="B44" s="15">
        <v>45309</v>
      </c>
      <c r="C44" s="4">
        <v>45292</v>
      </c>
      <c r="D44" t="s">
        <v>41</v>
      </c>
      <c r="E44" t="s">
        <v>21</v>
      </c>
      <c r="F44" t="s">
        <v>43</v>
      </c>
      <c r="G44" t="s">
        <v>172</v>
      </c>
      <c r="H44" t="s">
        <v>14</v>
      </c>
      <c r="I44" t="s">
        <v>1935</v>
      </c>
      <c r="J44" t="s">
        <v>1936</v>
      </c>
      <c r="K44" s="8">
        <v>8</v>
      </c>
    </row>
    <row r="45" spans="1:11">
      <c r="A45" t="s">
        <v>1982</v>
      </c>
      <c r="B45" s="15">
        <v>45303</v>
      </c>
      <c r="C45" s="4">
        <v>45292</v>
      </c>
      <c r="D45" t="s">
        <v>41</v>
      </c>
      <c r="E45" t="s">
        <v>21</v>
      </c>
      <c r="F45" t="s">
        <v>43</v>
      </c>
      <c r="G45" t="s">
        <v>166</v>
      </c>
      <c r="H45" t="s">
        <v>14</v>
      </c>
      <c r="I45" t="s">
        <v>1935</v>
      </c>
      <c r="J45" t="s">
        <v>1936</v>
      </c>
      <c r="K45" s="8">
        <v>25</v>
      </c>
    </row>
    <row r="46" spans="1:11">
      <c r="A46" t="s">
        <v>1983</v>
      </c>
      <c r="B46" s="15">
        <v>45294</v>
      </c>
      <c r="C46" s="4">
        <v>45292</v>
      </c>
      <c r="D46" t="s">
        <v>41</v>
      </c>
      <c r="E46" t="s">
        <v>21</v>
      </c>
      <c r="F46" t="s">
        <v>43</v>
      </c>
      <c r="G46" t="s">
        <v>220</v>
      </c>
      <c r="H46" t="s">
        <v>11</v>
      </c>
      <c r="I46" t="s">
        <v>1935</v>
      </c>
      <c r="J46" t="s">
        <v>1936</v>
      </c>
      <c r="K46" s="8">
        <v>14</v>
      </c>
    </row>
    <row r="47" spans="1:11">
      <c r="A47" t="s">
        <v>1984</v>
      </c>
      <c r="B47" s="15">
        <v>45301</v>
      </c>
      <c r="C47" s="4">
        <v>45292</v>
      </c>
      <c r="D47" t="s">
        <v>41</v>
      </c>
      <c r="E47" t="s">
        <v>21</v>
      </c>
      <c r="F47" t="s">
        <v>43</v>
      </c>
      <c r="G47" t="s">
        <v>226</v>
      </c>
      <c r="H47" t="s">
        <v>5</v>
      </c>
      <c r="I47" t="s">
        <v>1935</v>
      </c>
      <c r="J47" t="s">
        <v>1936</v>
      </c>
      <c r="K47" s="8">
        <v>18</v>
      </c>
    </row>
    <row r="48" spans="1:11">
      <c r="A48" t="s">
        <v>1985</v>
      </c>
      <c r="B48" s="15">
        <v>45294</v>
      </c>
      <c r="C48" s="4">
        <v>45292</v>
      </c>
      <c r="D48" t="s">
        <v>44</v>
      </c>
      <c r="E48" t="s">
        <v>21</v>
      </c>
      <c r="F48" t="s">
        <v>46</v>
      </c>
      <c r="G48" t="s">
        <v>234</v>
      </c>
      <c r="H48" t="s">
        <v>5</v>
      </c>
      <c r="I48" t="s">
        <v>1935</v>
      </c>
      <c r="J48" t="s">
        <v>1936</v>
      </c>
      <c r="K48" s="8">
        <v>16</v>
      </c>
    </row>
    <row r="49" spans="1:11">
      <c r="A49" t="s">
        <v>1986</v>
      </c>
      <c r="B49" s="15">
        <v>45308</v>
      </c>
      <c r="C49" s="4">
        <v>45292</v>
      </c>
      <c r="D49" t="s">
        <v>44</v>
      </c>
      <c r="E49" t="s">
        <v>21</v>
      </c>
      <c r="F49" t="s">
        <v>46</v>
      </c>
      <c r="G49" t="s">
        <v>198</v>
      </c>
      <c r="H49" t="s">
        <v>11</v>
      </c>
      <c r="I49" t="s">
        <v>1935</v>
      </c>
      <c r="J49" t="s">
        <v>1936</v>
      </c>
      <c r="K49" s="8">
        <v>35</v>
      </c>
    </row>
    <row r="50" spans="1:11">
      <c r="A50" t="s">
        <v>1987</v>
      </c>
      <c r="B50" s="15">
        <v>45306</v>
      </c>
      <c r="C50" s="4">
        <v>45292</v>
      </c>
      <c r="D50" t="s">
        <v>44</v>
      </c>
      <c r="E50" t="s">
        <v>21</v>
      </c>
      <c r="F50" t="s">
        <v>46</v>
      </c>
      <c r="G50" t="s">
        <v>198</v>
      </c>
      <c r="H50" t="s">
        <v>8</v>
      </c>
      <c r="I50" t="s">
        <v>1935</v>
      </c>
      <c r="J50" t="s">
        <v>1936</v>
      </c>
      <c r="K50" s="8">
        <v>23</v>
      </c>
    </row>
    <row r="51" spans="1:11">
      <c r="A51" t="s">
        <v>1988</v>
      </c>
      <c r="B51" s="15">
        <v>45294</v>
      </c>
      <c r="C51" s="4">
        <v>45292</v>
      </c>
      <c r="D51" t="s">
        <v>44</v>
      </c>
      <c r="E51" t="s">
        <v>21</v>
      </c>
      <c r="F51" t="s">
        <v>46</v>
      </c>
      <c r="G51" t="s">
        <v>222</v>
      </c>
      <c r="H51" t="s">
        <v>5</v>
      </c>
      <c r="I51" t="s">
        <v>1935</v>
      </c>
      <c r="J51" t="s">
        <v>1954</v>
      </c>
      <c r="K51" s="8">
        <v>35</v>
      </c>
    </row>
    <row r="52" spans="1:11">
      <c r="A52" t="s">
        <v>1989</v>
      </c>
      <c r="B52" s="15">
        <v>45317</v>
      </c>
      <c r="C52" s="4">
        <v>45292</v>
      </c>
      <c r="D52" t="s">
        <v>44</v>
      </c>
      <c r="E52" t="s">
        <v>21</v>
      </c>
      <c r="F52" t="s">
        <v>46</v>
      </c>
      <c r="G52" t="s">
        <v>174</v>
      </c>
      <c r="H52" t="s">
        <v>14</v>
      </c>
      <c r="I52" t="s">
        <v>1935</v>
      </c>
      <c r="J52" t="s">
        <v>1936</v>
      </c>
      <c r="K52" s="8">
        <v>29</v>
      </c>
    </row>
    <row r="53" spans="1:11">
      <c r="A53" t="s">
        <v>1990</v>
      </c>
      <c r="B53" s="15">
        <v>45314</v>
      </c>
      <c r="C53" s="4">
        <v>45292</v>
      </c>
      <c r="D53" t="s">
        <v>44</v>
      </c>
      <c r="E53" t="s">
        <v>21</v>
      </c>
      <c r="F53" t="s">
        <v>46</v>
      </c>
      <c r="G53" t="s">
        <v>174</v>
      </c>
      <c r="H53" t="s">
        <v>8</v>
      </c>
      <c r="I53" t="s">
        <v>1935</v>
      </c>
      <c r="J53" t="s">
        <v>1938</v>
      </c>
      <c r="K53" s="8">
        <v>24</v>
      </c>
    </row>
    <row r="54" spans="1:11">
      <c r="A54" t="s">
        <v>1991</v>
      </c>
      <c r="B54" s="15">
        <v>45313</v>
      </c>
      <c r="C54" s="4">
        <v>45292</v>
      </c>
      <c r="D54" t="s">
        <v>44</v>
      </c>
      <c r="E54" t="s">
        <v>21</v>
      </c>
      <c r="F54" t="s">
        <v>46</v>
      </c>
      <c r="G54" t="s">
        <v>210</v>
      </c>
      <c r="H54" t="s">
        <v>11</v>
      </c>
      <c r="I54" t="s">
        <v>1935</v>
      </c>
      <c r="J54" t="s">
        <v>1936</v>
      </c>
      <c r="K54" s="8">
        <v>35</v>
      </c>
    </row>
    <row r="55" spans="1:11">
      <c r="A55" t="s">
        <v>1992</v>
      </c>
      <c r="B55" s="15">
        <v>45320</v>
      </c>
      <c r="C55" s="4">
        <v>45292</v>
      </c>
      <c r="D55" t="s">
        <v>44</v>
      </c>
      <c r="E55" t="s">
        <v>21</v>
      </c>
      <c r="F55" t="s">
        <v>46</v>
      </c>
      <c r="G55" t="s">
        <v>234</v>
      </c>
      <c r="H55" t="s">
        <v>5</v>
      </c>
      <c r="I55" t="s">
        <v>1935</v>
      </c>
      <c r="J55" t="s">
        <v>1936</v>
      </c>
      <c r="K55" s="8">
        <v>18</v>
      </c>
    </row>
    <row r="56" spans="1:11">
      <c r="A56" t="s">
        <v>1993</v>
      </c>
      <c r="B56" s="15">
        <v>45293</v>
      </c>
      <c r="C56" s="4">
        <v>45292</v>
      </c>
      <c r="D56" t="s">
        <v>44</v>
      </c>
      <c r="E56" t="s">
        <v>21</v>
      </c>
      <c r="F56" t="s">
        <v>46</v>
      </c>
      <c r="G56" t="s">
        <v>186</v>
      </c>
      <c r="H56" t="s">
        <v>14</v>
      </c>
      <c r="I56" t="s">
        <v>1935</v>
      </c>
      <c r="J56" t="s">
        <v>1936</v>
      </c>
      <c r="K56" s="8">
        <v>15</v>
      </c>
    </row>
    <row r="57" spans="1:11">
      <c r="A57" t="s">
        <v>1994</v>
      </c>
      <c r="B57" s="15">
        <v>45312</v>
      </c>
      <c r="C57" s="4">
        <v>45292</v>
      </c>
      <c r="D57" t="s">
        <v>44</v>
      </c>
      <c r="E57" t="s">
        <v>21</v>
      </c>
      <c r="F57" t="s">
        <v>46</v>
      </c>
      <c r="G57" t="s">
        <v>228</v>
      </c>
      <c r="H57" t="s">
        <v>11</v>
      </c>
      <c r="I57" t="s">
        <v>1995</v>
      </c>
      <c r="J57" t="s">
        <v>1954</v>
      </c>
      <c r="K57" s="8">
        <v>2</v>
      </c>
    </row>
    <row r="58" spans="1:11">
      <c r="A58" t="s">
        <v>1996</v>
      </c>
      <c r="B58" s="15">
        <v>45298</v>
      </c>
      <c r="C58" s="4">
        <v>45292</v>
      </c>
      <c r="D58" t="s">
        <v>47</v>
      </c>
      <c r="E58" t="s">
        <v>21</v>
      </c>
      <c r="F58" t="s">
        <v>49</v>
      </c>
      <c r="G58" t="s">
        <v>212</v>
      </c>
      <c r="H58" t="s">
        <v>14</v>
      </c>
      <c r="I58" t="s">
        <v>1935</v>
      </c>
      <c r="J58" t="s">
        <v>1936</v>
      </c>
      <c r="K58" s="8">
        <v>29</v>
      </c>
    </row>
    <row r="59" spans="1:11">
      <c r="A59" t="s">
        <v>1997</v>
      </c>
      <c r="B59" s="15">
        <v>45304</v>
      </c>
      <c r="C59" s="4">
        <v>45292</v>
      </c>
      <c r="D59" t="s">
        <v>47</v>
      </c>
      <c r="E59" t="s">
        <v>21</v>
      </c>
      <c r="F59" t="s">
        <v>49</v>
      </c>
      <c r="G59" t="s">
        <v>176</v>
      </c>
      <c r="H59" t="s">
        <v>11</v>
      </c>
      <c r="I59" t="s">
        <v>1935</v>
      </c>
      <c r="J59" t="s">
        <v>1936</v>
      </c>
      <c r="K59" s="8">
        <v>8</v>
      </c>
    </row>
    <row r="60" spans="1:11">
      <c r="A60" t="s">
        <v>1998</v>
      </c>
      <c r="B60" s="15">
        <v>45305</v>
      </c>
      <c r="C60" s="4">
        <v>45292</v>
      </c>
      <c r="D60" t="s">
        <v>47</v>
      </c>
      <c r="E60" t="s">
        <v>21</v>
      </c>
      <c r="F60" t="s">
        <v>49</v>
      </c>
      <c r="G60" t="s">
        <v>194</v>
      </c>
      <c r="H60" t="s">
        <v>14</v>
      </c>
      <c r="I60" t="s">
        <v>1935</v>
      </c>
      <c r="J60" t="s">
        <v>1936</v>
      </c>
      <c r="K60" s="8">
        <v>27</v>
      </c>
    </row>
    <row r="61" spans="1:11">
      <c r="A61" t="s">
        <v>1999</v>
      </c>
      <c r="B61" s="15">
        <v>45312</v>
      </c>
      <c r="C61" s="4">
        <v>45292</v>
      </c>
      <c r="D61" t="s">
        <v>47</v>
      </c>
      <c r="E61" t="s">
        <v>21</v>
      </c>
      <c r="F61" t="s">
        <v>49</v>
      </c>
      <c r="G61" t="s">
        <v>236</v>
      </c>
      <c r="H61" t="s">
        <v>11</v>
      </c>
      <c r="I61" t="s">
        <v>1935</v>
      </c>
      <c r="J61" t="s">
        <v>1936</v>
      </c>
      <c r="K61" s="8">
        <v>19</v>
      </c>
    </row>
    <row r="62" spans="1:11">
      <c r="A62" t="s">
        <v>2000</v>
      </c>
      <c r="B62" s="15">
        <v>45298</v>
      </c>
      <c r="C62" s="4">
        <v>45292</v>
      </c>
      <c r="D62" t="s">
        <v>47</v>
      </c>
      <c r="E62" t="s">
        <v>21</v>
      </c>
      <c r="F62" t="s">
        <v>49</v>
      </c>
      <c r="G62" t="s">
        <v>218</v>
      </c>
      <c r="H62" t="s">
        <v>5</v>
      </c>
      <c r="I62" t="s">
        <v>1935</v>
      </c>
      <c r="J62" t="s">
        <v>1938</v>
      </c>
      <c r="K62" s="8">
        <v>28</v>
      </c>
    </row>
    <row r="63" spans="1:11">
      <c r="A63" t="s">
        <v>2001</v>
      </c>
      <c r="B63" s="15">
        <v>45314</v>
      </c>
      <c r="C63" s="4">
        <v>45292</v>
      </c>
      <c r="D63" t="s">
        <v>47</v>
      </c>
      <c r="E63" t="s">
        <v>21</v>
      </c>
      <c r="F63" t="s">
        <v>49</v>
      </c>
      <c r="G63" t="s">
        <v>212</v>
      </c>
      <c r="H63" t="s">
        <v>14</v>
      </c>
      <c r="I63" t="s">
        <v>1935</v>
      </c>
      <c r="J63" t="s">
        <v>1936</v>
      </c>
      <c r="K63" s="8">
        <v>17</v>
      </c>
    </row>
    <row r="64" spans="1:11">
      <c r="A64" t="s">
        <v>2002</v>
      </c>
      <c r="B64" s="15">
        <v>45306</v>
      </c>
      <c r="C64" s="4">
        <v>45292</v>
      </c>
      <c r="D64" t="s">
        <v>47</v>
      </c>
      <c r="E64" t="s">
        <v>21</v>
      </c>
      <c r="F64" t="s">
        <v>49</v>
      </c>
      <c r="G64" t="s">
        <v>230</v>
      </c>
      <c r="H64" t="s">
        <v>11</v>
      </c>
      <c r="I64" t="s">
        <v>1935</v>
      </c>
      <c r="J64" t="s">
        <v>1936</v>
      </c>
      <c r="K64" s="8">
        <v>19</v>
      </c>
    </row>
    <row r="65" spans="1:11">
      <c r="A65" t="s">
        <v>2003</v>
      </c>
      <c r="B65" s="15">
        <v>45309</v>
      </c>
      <c r="C65" s="4">
        <v>45292</v>
      </c>
      <c r="D65" t="s">
        <v>47</v>
      </c>
      <c r="E65" t="s">
        <v>21</v>
      </c>
      <c r="F65" t="s">
        <v>49</v>
      </c>
      <c r="G65" t="s">
        <v>218</v>
      </c>
      <c r="H65" t="s">
        <v>14</v>
      </c>
      <c r="I65" t="s">
        <v>1935</v>
      </c>
      <c r="J65" t="s">
        <v>1936</v>
      </c>
      <c r="K65" s="8">
        <v>24</v>
      </c>
    </row>
    <row r="66" spans="1:11">
      <c r="A66" t="s">
        <v>2004</v>
      </c>
      <c r="B66" s="15">
        <v>45312</v>
      </c>
      <c r="C66" s="4">
        <v>45292</v>
      </c>
      <c r="D66" t="s">
        <v>47</v>
      </c>
      <c r="E66" t="s">
        <v>21</v>
      </c>
      <c r="F66" t="s">
        <v>49</v>
      </c>
      <c r="G66" t="s">
        <v>218</v>
      </c>
      <c r="H66" t="s">
        <v>14</v>
      </c>
      <c r="I66" t="s">
        <v>1935</v>
      </c>
      <c r="J66" t="s">
        <v>1936</v>
      </c>
      <c r="K66" s="8">
        <v>19</v>
      </c>
    </row>
    <row r="67" spans="1:11">
      <c r="A67" t="s">
        <v>2005</v>
      </c>
      <c r="B67" s="15">
        <v>45298</v>
      </c>
      <c r="C67" s="4">
        <v>45292</v>
      </c>
      <c r="D67" t="s">
        <v>50</v>
      </c>
      <c r="E67" t="s">
        <v>23</v>
      </c>
      <c r="F67" t="s">
        <v>52</v>
      </c>
      <c r="G67" t="s">
        <v>298</v>
      </c>
      <c r="H67" t="s">
        <v>5</v>
      </c>
      <c r="I67" t="s">
        <v>1935</v>
      </c>
      <c r="J67" t="s">
        <v>1936</v>
      </c>
      <c r="K67" s="8">
        <v>9</v>
      </c>
    </row>
    <row r="68" spans="1:11">
      <c r="A68" t="s">
        <v>2006</v>
      </c>
      <c r="B68" s="15">
        <v>45307</v>
      </c>
      <c r="C68" s="4">
        <v>45292</v>
      </c>
      <c r="D68" t="s">
        <v>50</v>
      </c>
      <c r="E68" t="s">
        <v>23</v>
      </c>
      <c r="F68" t="s">
        <v>52</v>
      </c>
      <c r="G68" t="s">
        <v>298</v>
      </c>
      <c r="H68" t="s">
        <v>5</v>
      </c>
      <c r="I68" t="s">
        <v>1935</v>
      </c>
      <c r="J68" t="s">
        <v>1954</v>
      </c>
      <c r="K68" s="8">
        <v>14</v>
      </c>
    </row>
    <row r="69" spans="1:11">
      <c r="A69" t="s">
        <v>2007</v>
      </c>
      <c r="B69" s="15">
        <v>45316</v>
      </c>
      <c r="C69" s="4">
        <v>45292</v>
      </c>
      <c r="D69" t="s">
        <v>50</v>
      </c>
      <c r="E69" t="s">
        <v>23</v>
      </c>
      <c r="F69" t="s">
        <v>52</v>
      </c>
      <c r="G69" t="s">
        <v>292</v>
      </c>
      <c r="H69" t="s">
        <v>11</v>
      </c>
      <c r="I69" t="s">
        <v>1935</v>
      </c>
      <c r="J69" t="s">
        <v>1936</v>
      </c>
      <c r="K69" s="8">
        <v>28</v>
      </c>
    </row>
    <row r="70" spans="1:11">
      <c r="A70" t="s">
        <v>2008</v>
      </c>
      <c r="B70" s="15">
        <v>45296</v>
      </c>
      <c r="C70" s="4">
        <v>45292</v>
      </c>
      <c r="D70" t="s">
        <v>50</v>
      </c>
      <c r="E70" t="s">
        <v>23</v>
      </c>
      <c r="F70" t="s">
        <v>52</v>
      </c>
      <c r="G70" t="s">
        <v>274</v>
      </c>
      <c r="H70" t="s">
        <v>14</v>
      </c>
      <c r="I70" t="s">
        <v>1935</v>
      </c>
      <c r="J70" t="s">
        <v>1936</v>
      </c>
      <c r="K70" s="8">
        <v>30</v>
      </c>
    </row>
    <row r="71" spans="1:11">
      <c r="A71" t="s">
        <v>2009</v>
      </c>
      <c r="B71" s="15">
        <v>45305</v>
      </c>
      <c r="C71" s="4">
        <v>45292</v>
      </c>
      <c r="D71" t="s">
        <v>50</v>
      </c>
      <c r="E71" t="s">
        <v>23</v>
      </c>
      <c r="F71" t="s">
        <v>52</v>
      </c>
      <c r="G71" t="s">
        <v>268</v>
      </c>
      <c r="H71" t="s">
        <v>5</v>
      </c>
      <c r="I71" t="s">
        <v>1935</v>
      </c>
      <c r="J71" t="s">
        <v>1938</v>
      </c>
      <c r="K71" s="8">
        <v>20</v>
      </c>
    </row>
    <row r="72" spans="1:11">
      <c r="A72" t="s">
        <v>2010</v>
      </c>
      <c r="B72" s="15">
        <v>45306</v>
      </c>
      <c r="C72" s="4">
        <v>45292</v>
      </c>
      <c r="D72" t="s">
        <v>50</v>
      </c>
      <c r="E72" t="s">
        <v>23</v>
      </c>
      <c r="F72" t="s">
        <v>52</v>
      </c>
      <c r="G72" t="s">
        <v>238</v>
      </c>
      <c r="H72" t="s">
        <v>8</v>
      </c>
      <c r="I72" t="s">
        <v>1935</v>
      </c>
      <c r="J72" t="s">
        <v>1936</v>
      </c>
      <c r="K72" s="8">
        <v>22</v>
      </c>
    </row>
    <row r="73" spans="1:11">
      <c r="A73" t="s">
        <v>2011</v>
      </c>
      <c r="B73" s="15">
        <v>45313</v>
      </c>
      <c r="C73" s="4">
        <v>45292</v>
      </c>
      <c r="D73" t="s">
        <v>50</v>
      </c>
      <c r="E73" t="s">
        <v>23</v>
      </c>
      <c r="F73" t="s">
        <v>52</v>
      </c>
      <c r="G73" t="s">
        <v>298</v>
      </c>
      <c r="H73" t="s">
        <v>5</v>
      </c>
      <c r="I73" t="s">
        <v>1935</v>
      </c>
      <c r="J73" t="s">
        <v>1936</v>
      </c>
      <c r="K73" s="8">
        <v>9</v>
      </c>
    </row>
    <row r="74" spans="1:11">
      <c r="A74" t="s">
        <v>2012</v>
      </c>
      <c r="B74" s="15">
        <v>45315</v>
      </c>
      <c r="C74" s="4">
        <v>45292</v>
      </c>
      <c r="D74" t="s">
        <v>50</v>
      </c>
      <c r="E74" t="s">
        <v>23</v>
      </c>
      <c r="F74" t="s">
        <v>52</v>
      </c>
      <c r="G74" t="s">
        <v>274</v>
      </c>
      <c r="H74" t="s">
        <v>5</v>
      </c>
      <c r="I74" t="s">
        <v>1935</v>
      </c>
      <c r="J74" t="s">
        <v>1936</v>
      </c>
      <c r="K74" s="8">
        <v>13</v>
      </c>
    </row>
    <row r="75" spans="1:11">
      <c r="A75" t="s">
        <v>2013</v>
      </c>
      <c r="B75" s="15">
        <v>45302</v>
      </c>
      <c r="C75" s="4">
        <v>45292</v>
      </c>
      <c r="D75" t="s">
        <v>50</v>
      </c>
      <c r="E75" t="s">
        <v>23</v>
      </c>
      <c r="F75" t="s">
        <v>52</v>
      </c>
      <c r="G75" t="s">
        <v>274</v>
      </c>
      <c r="H75" t="s">
        <v>14</v>
      </c>
      <c r="I75" t="s">
        <v>1935</v>
      </c>
      <c r="J75" t="s">
        <v>1936</v>
      </c>
      <c r="K75" s="8">
        <v>19</v>
      </c>
    </row>
    <row r="76" spans="1:11">
      <c r="A76" t="s">
        <v>2014</v>
      </c>
      <c r="B76" s="15">
        <v>45299</v>
      </c>
      <c r="C76" s="4">
        <v>45292</v>
      </c>
      <c r="D76" t="s">
        <v>50</v>
      </c>
      <c r="E76" t="s">
        <v>23</v>
      </c>
      <c r="F76" t="s">
        <v>52</v>
      </c>
      <c r="G76" t="s">
        <v>280</v>
      </c>
      <c r="H76" t="s">
        <v>11</v>
      </c>
      <c r="I76" t="s">
        <v>1935</v>
      </c>
      <c r="J76" t="s">
        <v>1936</v>
      </c>
      <c r="K76" s="8">
        <v>14</v>
      </c>
    </row>
    <row r="77" spans="1:11">
      <c r="A77" t="s">
        <v>2015</v>
      </c>
      <c r="B77" s="15">
        <v>45297</v>
      </c>
      <c r="C77" s="4">
        <v>45292</v>
      </c>
      <c r="D77" t="s">
        <v>50</v>
      </c>
      <c r="E77" t="s">
        <v>23</v>
      </c>
      <c r="F77" t="s">
        <v>52</v>
      </c>
      <c r="G77" t="s">
        <v>292</v>
      </c>
      <c r="H77" t="s">
        <v>11</v>
      </c>
      <c r="I77" t="s">
        <v>1935</v>
      </c>
      <c r="J77" t="s">
        <v>1936</v>
      </c>
      <c r="K77" s="8">
        <v>26</v>
      </c>
    </row>
    <row r="78" spans="1:11">
      <c r="A78" t="s">
        <v>2016</v>
      </c>
      <c r="B78" s="15">
        <v>45321</v>
      </c>
      <c r="C78" s="4">
        <v>45292</v>
      </c>
      <c r="D78" t="s">
        <v>50</v>
      </c>
      <c r="E78" t="s">
        <v>23</v>
      </c>
      <c r="F78" t="s">
        <v>52</v>
      </c>
      <c r="G78" t="s">
        <v>292</v>
      </c>
      <c r="H78" t="s">
        <v>11</v>
      </c>
      <c r="I78" t="s">
        <v>1942</v>
      </c>
      <c r="J78" t="s">
        <v>1936</v>
      </c>
      <c r="K78" s="8">
        <v>8</v>
      </c>
    </row>
    <row r="79" spans="1:11">
      <c r="A79" t="s">
        <v>2017</v>
      </c>
      <c r="B79" s="15">
        <v>45298</v>
      </c>
      <c r="C79" s="4">
        <v>45292</v>
      </c>
      <c r="D79" t="s">
        <v>53</v>
      </c>
      <c r="E79" t="s">
        <v>23</v>
      </c>
      <c r="F79" t="s">
        <v>55</v>
      </c>
      <c r="G79" t="s">
        <v>312</v>
      </c>
      <c r="H79" t="s">
        <v>5</v>
      </c>
      <c r="I79" t="s">
        <v>1935</v>
      </c>
      <c r="J79" t="s">
        <v>1954</v>
      </c>
      <c r="K79" s="8">
        <v>26</v>
      </c>
    </row>
    <row r="80" spans="1:11">
      <c r="A80" t="s">
        <v>2018</v>
      </c>
      <c r="B80" s="15">
        <v>45292</v>
      </c>
      <c r="C80" s="4">
        <v>45292</v>
      </c>
      <c r="D80" t="s">
        <v>53</v>
      </c>
      <c r="E80" t="s">
        <v>23</v>
      </c>
      <c r="F80" t="s">
        <v>55</v>
      </c>
      <c r="G80" t="s">
        <v>282</v>
      </c>
      <c r="H80" t="s">
        <v>8</v>
      </c>
      <c r="I80" t="s">
        <v>1935</v>
      </c>
      <c r="J80" t="s">
        <v>1936</v>
      </c>
      <c r="K80" s="8">
        <v>10</v>
      </c>
    </row>
    <row r="81" spans="1:11">
      <c r="A81" t="s">
        <v>2019</v>
      </c>
      <c r="B81" s="15">
        <v>45300</v>
      </c>
      <c r="C81" s="4">
        <v>45292</v>
      </c>
      <c r="D81" t="s">
        <v>53</v>
      </c>
      <c r="E81" t="s">
        <v>23</v>
      </c>
      <c r="F81" t="s">
        <v>55</v>
      </c>
      <c r="G81" t="s">
        <v>240</v>
      </c>
      <c r="H81" t="s">
        <v>14</v>
      </c>
      <c r="I81" t="s">
        <v>1935</v>
      </c>
      <c r="J81" t="s">
        <v>1936</v>
      </c>
      <c r="K81" s="8">
        <v>14</v>
      </c>
    </row>
    <row r="82" spans="1:11">
      <c r="A82" t="s">
        <v>2020</v>
      </c>
      <c r="B82" s="15">
        <v>45310</v>
      </c>
      <c r="C82" s="4">
        <v>45292</v>
      </c>
      <c r="D82" t="s">
        <v>53</v>
      </c>
      <c r="E82" t="s">
        <v>23</v>
      </c>
      <c r="F82" t="s">
        <v>55</v>
      </c>
      <c r="G82" t="s">
        <v>258</v>
      </c>
      <c r="H82" t="s">
        <v>11</v>
      </c>
      <c r="I82" t="s">
        <v>1935</v>
      </c>
      <c r="J82" t="s">
        <v>1936</v>
      </c>
      <c r="K82" s="8">
        <v>35</v>
      </c>
    </row>
    <row r="83" spans="1:11">
      <c r="A83" t="s">
        <v>2021</v>
      </c>
      <c r="B83" s="15">
        <v>45305</v>
      </c>
      <c r="C83" s="4">
        <v>45292</v>
      </c>
      <c r="D83" t="s">
        <v>53</v>
      </c>
      <c r="E83" t="s">
        <v>23</v>
      </c>
      <c r="F83" t="s">
        <v>55</v>
      </c>
      <c r="G83" t="s">
        <v>264</v>
      </c>
      <c r="H83" t="s">
        <v>11</v>
      </c>
      <c r="I83" t="s">
        <v>1935</v>
      </c>
      <c r="J83" t="s">
        <v>1936</v>
      </c>
      <c r="K83" s="8">
        <v>15</v>
      </c>
    </row>
    <row r="84" spans="1:11">
      <c r="A84" t="s">
        <v>2022</v>
      </c>
      <c r="B84" s="15">
        <v>45296</v>
      </c>
      <c r="C84" s="4">
        <v>45292</v>
      </c>
      <c r="D84" t="s">
        <v>53</v>
      </c>
      <c r="E84" t="s">
        <v>23</v>
      </c>
      <c r="F84" t="s">
        <v>55</v>
      </c>
      <c r="G84" t="s">
        <v>294</v>
      </c>
      <c r="H84" t="s">
        <v>8</v>
      </c>
      <c r="I84" t="s">
        <v>1935</v>
      </c>
      <c r="J84" t="s">
        <v>1936</v>
      </c>
      <c r="K84" s="8">
        <v>16</v>
      </c>
    </row>
    <row r="85" spans="1:11">
      <c r="A85" t="s">
        <v>2023</v>
      </c>
      <c r="B85" s="15">
        <v>45297</v>
      </c>
      <c r="C85" s="4">
        <v>45292</v>
      </c>
      <c r="D85" t="s">
        <v>53</v>
      </c>
      <c r="E85" t="s">
        <v>23</v>
      </c>
      <c r="F85" t="s">
        <v>55</v>
      </c>
      <c r="G85" t="s">
        <v>264</v>
      </c>
      <c r="H85" t="s">
        <v>14</v>
      </c>
      <c r="I85" t="s">
        <v>1935</v>
      </c>
      <c r="J85" t="s">
        <v>1936</v>
      </c>
      <c r="K85" s="8">
        <v>9</v>
      </c>
    </row>
    <row r="86" spans="1:11">
      <c r="A86" t="s">
        <v>2024</v>
      </c>
      <c r="B86" s="15">
        <v>45296</v>
      </c>
      <c r="C86" s="4">
        <v>45292</v>
      </c>
      <c r="D86" t="s">
        <v>53</v>
      </c>
      <c r="E86" t="s">
        <v>23</v>
      </c>
      <c r="F86" t="s">
        <v>55</v>
      </c>
      <c r="G86" t="s">
        <v>270</v>
      </c>
      <c r="H86" t="s">
        <v>8</v>
      </c>
      <c r="I86" t="s">
        <v>1935</v>
      </c>
      <c r="J86" t="s">
        <v>1938</v>
      </c>
      <c r="K86" s="8">
        <v>32</v>
      </c>
    </row>
    <row r="87" spans="1:11">
      <c r="A87" t="s">
        <v>2025</v>
      </c>
      <c r="B87" s="15">
        <v>45296</v>
      </c>
      <c r="C87" s="4">
        <v>45292</v>
      </c>
      <c r="D87" t="s">
        <v>53</v>
      </c>
      <c r="E87" t="s">
        <v>23</v>
      </c>
      <c r="F87" t="s">
        <v>55</v>
      </c>
      <c r="G87" t="s">
        <v>276</v>
      </c>
      <c r="H87" t="s">
        <v>14</v>
      </c>
      <c r="I87" t="s">
        <v>1942</v>
      </c>
      <c r="J87" t="s">
        <v>1936</v>
      </c>
      <c r="K87" s="8">
        <v>0</v>
      </c>
    </row>
    <row r="88" spans="1:11">
      <c r="A88" t="s">
        <v>2026</v>
      </c>
      <c r="B88" s="15">
        <v>45317</v>
      </c>
      <c r="C88" s="4">
        <v>45292</v>
      </c>
      <c r="D88" t="s">
        <v>53</v>
      </c>
      <c r="E88" t="s">
        <v>23</v>
      </c>
      <c r="F88" t="s">
        <v>55</v>
      </c>
      <c r="G88" t="s">
        <v>264</v>
      </c>
      <c r="H88" t="s">
        <v>14</v>
      </c>
      <c r="I88" t="s">
        <v>1935</v>
      </c>
      <c r="J88" t="s">
        <v>1936</v>
      </c>
      <c r="K88" s="8">
        <v>33</v>
      </c>
    </row>
    <row r="89" spans="1:11">
      <c r="A89" t="s">
        <v>2027</v>
      </c>
      <c r="B89" s="15">
        <v>45298</v>
      </c>
      <c r="C89" s="4">
        <v>45292</v>
      </c>
      <c r="D89" t="s">
        <v>53</v>
      </c>
      <c r="E89" t="s">
        <v>23</v>
      </c>
      <c r="F89" t="s">
        <v>55</v>
      </c>
      <c r="G89" t="s">
        <v>246</v>
      </c>
      <c r="H89" t="s">
        <v>14</v>
      </c>
      <c r="I89" t="s">
        <v>1935</v>
      </c>
      <c r="J89" t="s">
        <v>1936</v>
      </c>
      <c r="K89" s="8">
        <v>26</v>
      </c>
    </row>
    <row r="90" spans="1:11">
      <c r="A90" t="s">
        <v>2028</v>
      </c>
      <c r="B90" s="15">
        <v>45292</v>
      </c>
      <c r="C90" s="4">
        <v>45292</v>
      </c>
      <c r="D90" t="s">
        <v>53</v>
      </c>
      <c r="E90" t="s">
        <v>23</v>
      </c>
      <c r="F90" t="s">
        <v>55</v>
      </c>
      <c r="G90" t="s">
        <v>294</v>
      </c>
      <c r="H90" t="s">
        <v>8</v>
      </c>
      <c r="I90" t="s">
        <v>1995</v>
      </c>
      <c r="J90" t="s">
        <v>1936</v>
      </c>
      <c r="K90" s="8">
        <v>3</v>
      </c>
    </row>
    <row r="91" spans="1:11">
      <c r="A91" t="s">
        <v>2029</v>
      </c>
      <c r="B91" s="15">
        <v>45293</v>
      </c>
      <c r="C91" s="4">
        <v>45292</v>
      </c>
      <c r="D91" t="s">
        <v>56</v>
      </c>
      <c r="E91" t="s">
        <v>23</v>
      </c>
      <c r="F91" t="s">
        <v>58</v>
      </c>
      <c r="G91" t="s">
        <v>308</v>
      </c>
      <c r="H91" t="s">
        <v>11</v>
      </c>
      <c r="I91" t="s">
        <v>1935</v>
      </c>
      <c r="J91" t="s">
        <v>1936</v>
      </c>
      <c r="K91" s="8">
        <v>25</v>
      </c>
    </row>
    <row r="92" spans="1:11">
      <c r="A92" t="s">
        <v>2030</v>
      </c>
      <c r="B92" s="15">
        <v>45292</v>
      </c>
      <c r="C92" s="4">
        <v>45292</v>
      </c>
      <c r="D92" t="s">
        <v>56</v>
      </c>
      <c r="E92" t="s">
        <v>23</v>
      </c>
      <c r="F92" t="s">
        <v>58</v>
      </c>
      <c r="G92" t="s">
        <v>248</v>
      </c>
      <c r="H92" t="s">
        <v>14</v>
      </c>
      <c r="I92" t="s">
        <v>1935</v>
      </c>
      <c r="J92" t="s">
        <v>1938</v>
      </c>
      <c r="K92" s="8">
        <v>27</v>
      </c>
    </row>
    <row r="93" spans="1:11">
      <c r="A93" t="s">
        <v>2031</v>
      </c>
      <c r="B93" s="15">
        <v>45294</v>
      </c>
      <c r="C93" s="4">
        <v>45292</v>
      </c>
      <c r="D93" t="s">
        <v>56</v>
      </c>
      <c r="E93" t="s">
        <v>23</v>
      </c>
      <c r="F93" t="s">
        <v>58</v>
      </c>
      <c r="G93" t="s">
        <v>242</v>
      </c>
      <c r="H93" t="s">
        <v>8</v>
      </c>
      <c r="I93" t="s">
        <v>1935</v>
      </c>
      <c r="J93" t="s">
        <v>1954</v>
      </c>
      <c r="K93" s="8">
        <v>29</v>
      </c>
    </row>
    <row r="94" spans="1:11">
      <c r="A94" t="s">
        <v>2032</v>
      </c>
      <c r="B94" s="15">
        <v>45304</v>
      </c>
      <c r="C94" s="4">
        <v>45292</v>
      </c>
      <c r="D94" t="s">
        <v>56</v>
      </c>
      <c r="E94" t="s">
        <v>23</v>
      </c>
      <c r="F94" t="s">
        <v>58</v>
      </c>
      <c r="G94" t="s">
        <v>278</v>
      </c>
      <c r="H94" t="s">
        <v>14</v>
      </c>
      <c r="I94" t="s">
        <v>1935</v>
      </c>
      <c r="J94" t="s">
        <v>1938</v>
      </c>
      <c r="K94" s="8">
        <v>19</v>
      </c>
    </row>
    <row r="95" spans="1:11">
      <c r="A95" t="s">
        <v>2033</v>
      </c>
      <c r="B95" s="15">
        <v>45297</v>
      </c>
      <c r="C95" s="4">
        <v>45292</v>
      </c>
      <c r="D95" t="s">
        <v>56</v>
      </c>
      <c r="E95" t="s">
        <v>23</v>
      </c>
      <c r="F95" t="s">
        <v>58</v>
      </c>
      <c r="G95" t="s">
        <v>308</v>
      </c>
      <c r="H95" t="s">
        <v>11</v>
      </c>
      <c r="I95" t="s">
        <v>1935</v>
      </c>
      <c r="J95" t="s">
        <v>1936</v>
      </c>
      <c r="K95" s="8">
        <v>34</v>
      </c>
    </row>
    <row r="96" spans="1:11">
      <c r="A96" t="s">
        <v>2034</v>
      </c>
      <c r="B96" s="15">
        <v>45314</v>
      </c>
      <c r="C96" s="4">
        <v>45292</v>
      </c>
      <c r="D96" t="s">
        <v>56</v>
      </c>
      <c r="E96" t="s">
        <v>23</v>
      </c>
      <c r="F96" t="s">
        <v>58</v>
      </c>
      <c r="G96" t="s">
        <v>248</v>
      </c>
      <c r="H96" t="s">
        <v>11</v>
      </c>
      <c r="I96" t="s">
        <v>1935</v>
      </c>
      <c r="J96" t="s">
        <v>1954</v>
      </c>
      <c r="K96" s="8">
        <v>27</v>
      </c>
    </row>
    <row r="97" spans="1:11">
      <c r="A97" t="s">
        <v>2035</v>
      </c>
      <c r="B97" s="15">
        <v>45299</v>
      </c>
      <c r="C97" s="4">
        <v>45292</v>
      </c>
      <c r="D97" t="s">
        <v>56</v>
      </c>
      <c r="E97" t="s">
        <v>23</v>
      </c>
      <c r="F97" t="s">
        <v>58</v>
      </c>
      <c r="G97" t="s">
        <v>284</v>
      </c>
      <c r="H97" t="s">
        <v>14</v>
      </c>
      <c r="I97" t="s">
        <v>1935</v>
      </c>
      <c r="J97" t="s">
        <v>1936</v>
      </c>
      <c r="K97" s="8">
        <v>34</v>
      </c>
    </row>
    <row r="98" spans="1:11">
      <c r="A98" t="s">
        <v>2036</v>
      </c>
      <c r="B98" s="15">
        <v>45317</v>
      </c>
      <c r="C98" s="4">
        <v>45292</v>
      </c>
      <c r="D98" t="s">
        <v>56</v>
      </c>
      <c r="E98" t="s">
        <v>23</v>
      </c>
      <c r="F98" t="s">
        <v>58</v>
      </c>
      <c r="G98" t="s">
        <v>308</v>
      </c>
      <c r="H98" t="s">
        <v>14</v>
      </c>
      <c r="I98" t="s">
        <v>1935</v>
      </c>
      <c r="J98" t="s">
        <v>1936</v>
      </c>
      <c r="K98" s="8">
        <v>16</v>
      </c>
    </row>
    <row r="99" spans="1:11">
      <c r="A99" t="s">
        <v>2037</v>
      </c>
      <c r="B99" s="15">
        <v>45302</v>
      </c>
      <c r="C99" s="4">
        <v>45292</v>
      </c>
      <c r="D99" t="s">
        <v>56</v>
      </c>
      <c r="E99" t="s">
        <v>23</v>
      </c>
      <c r="F99" t="s">
        <v>58</v>
      </c>
      <c r="G99" t="s">
        <v>302</v>
      </c>
      <c r="H99" t="s">
        <v>5</v>
      </c>
      <c r="I99" t="s">
        <v>1995</v>
      </c>
      <c r="J99" t="s">
        <v>1936</v>
      </c>
      <c r="K99" s="8">
        <v>7</v>
      </c>
    </row>
    <row r="100" spans="1:11">
      <c r="A100" t="s">
        <v>2038</v>
      </c>
      <c r="B100" s="15">
        <v>45297</v>
      </c>
      <c r="C100" s="4">
        <v>45292</v>
      </c>
      <c r="D100" t="s">
        <v>56</v>
      </c>
      <c r="E100" t="s">
        <v>23</v>
      </c>
      <c r="F100" t="s">
        <v>58</v>
      </c>
      <c r="G100" t="s">
        <v>278</v>
      </c>
      <c r="H100" t="s">
        <v>14</v>
      </c>
      <c r="I100" t="s">
        <v>1935</v>
      </c>
      <c r="J100" t="s">
        <v>1936</v>
      </c>
      <c r="K100" s="8">
        <v>20</v>
      </c>
    </row>
    <row r="101" spans="1:11">
      <c r="A101" t="s">
        <v>2039</v>
      </c>
      <c r="B101" s="15">
        <v>45304</v>
      </c>
      <c r="C101" s="4">
        <v>45292</v>
      </c>
      <c r="D101" t="s">
        <v>56</v>
      </c>
      <c r="E101" t="s">
        <v>23</v>
      </c>
      <c r="F101" t="s">
        <v>58</v>
      </c>
      <c r="G101" t="s">
        <v>242</v>
      </c>
      <c r="H101" t="s">
        <v>8</v>
      </c>
      <c r="I101" t="s">
        <v>1935</v>
      </c>
      <c r="J101" t="s">
        <v>1938</v>
      </c>
      <c r="K101" s="8">
        <v>25</v>
      </c>
    </row>
    <row r="102" spans="1:11">
      <c r="A102" t="s">
        <v>2040</v>
      </c>
      <c r="B102" s="15">
        <v>45305</v>
      </c>
      <c r="C102" s="4">
        <v>45292</v>
      </c>
      <c r="D102" t="s">
        <v>59</v>
      </c>
      <c r="E102" t="s">
        <v>25</v>
      </c>
      <c r="F102" t="s">
        <v>61</v>
      </c>
      <c r="G102" t="s">
        <v>320</v>
      </c>
      <c r="H102" t="s">
        <v>11</v>
      </c>
      <c r="I102" t="s">
        <v>1935</v>
      </c>
      <c r="J102" t="s">
        <v>1936</v>
      </c>
      <c r="K102" s="8">
        <v>23</v>
      </c>
    </row>
    <row r="103" spans="1:11">
      <c r="A103" t="s">
        <v>2041</v>
      </c>
      <c r="B103" s="15">
        <v>45296</v>
      </c>
      <c r="C103" s="4">
        <v>45292</v>
      </c>
      <c r="D103" t="s">
        <v>59</v>
      </c>
      <c r="E103" t="s">
        <v>25</v>
      </c>
      <c r="F103" t="s">
        <v>61</v>
      </c>
      <c r="G103" t="s">
        <v>380</v>
      </c>
      <c r="H103" t="s">
        <v>11</v>
      </c>
      <c r="I103" t="s">
        <v>1935</v>
      </c>
      <c r="J103" t="s">
        <v>1936</v>
      </c>
      <c r="K103" s="8">
        <v>16</v>
      </c>
    </row>
    <row r="104" spans="1:11">
      <c r="A104" t="s">
        <v>2042</v>
      </c>
      <c r="B104" s="15">
        <v>45303</v>
      </c>
      <c r="C104" s="4">
        <v>45292</v>
      </c>
      <c r="D104" t="s">
        <v>59</v>
      </c>
      <c r="E104" t="s">
        <v>25</v>
      </c>
      <c r="F104" t="s">
        <v>61</v>
      </c>
      <c r="G104" t="s">
        <v>314</v>
      </c>
      <c r="H104" t="s">
        <v>5</v>
      </c>
      <c r="I104" t="s">
        <v>1935</v>
      </c>
      <c r="J104" t="s">
        <v>1936</v>
      </c>
      <c r="K104" s="8">
        <v>18</v>
      </c>
    </row>
    <row r="105" spans="1:11">
      <c r="A105" t="s">
        <v>2043</v>
      </c>
      <c r="B105" s="15">
        <v>45311</v>
      </c>
      <c r="C105" s="4">
        <v>45292</v>
      </c>
      <c r="D105" t="s">
        <v>59</v>
      </c>
      <c r="E105" t="s">
        <v>25</v>
      </c>
      <c r="F105" t="s">
        <v>61</v>
      </c>
      <c r="G105" t="s">
        <v>332</v>
      </c>
      <c r="H105" t="s">
        <v>8</v>
      </c>
      <c r="I105" t="s">
        <v>1935</v>
      </c>
      <c r="J105" t="s">
        <v>1936</v>
      </c>
      <c r="K105" s="8">
        <v>11</v>
      </c>
    </row>
    <row r="106" spans="1:11">
      <c r="A106" t="s">
        <v>2044</v>
      </c>
      <c r="B106" s="15">
        <v>45293</v>
      </c>
      <c r="C106" s="4">
        <v>45292</v>
      </c>
      <c r="D106" t="s">
        <v>59</v>
      </c>
      <c r="E106" t="s">
        <v>25</v>
      </c>
      <c r="F106" t="s">
        <v>61</v>
      </c>
      <c r="G106" t="s">
        <v>320</v>
      </c>
      <c r="H106" t="s">
        <v>11</v>
      </c>
      <c r="I106" t="s">
        <v>1935</v>
      </c>
      <c r="J106" t="s">
        <v>1936</v>
      </c>
      <c r="K106" s="8">
        <v>15</v>
      </c>
    </row>
    <row r="107" spans="1:11">
      <c r="A107" t="s">
        <v>2045</v>
      </c>
      <c r="B107" s="15">
        <v>45313</v>
      </c>
      <c r="C107" s="4">
        <v>45292</v>
      </c>
      <c r="D107" t="s">
        <v>59</v>
      </c>
      <c r="E107" t="s">
        <v>25</v>
      </c>
      <c r="F107" t="s">
        <v>61</v>
      </c>
      <c r="G107" t="s">
        <v>362</v>
      </c>
      <c r="H107" t="s">
        <v>14</v>
      </c>
      <c r="I107" t="s">
        <v>1935</v>
      </c>
      <c r="J107" t="s">
        <v>1936</v>
      </c>
      <c r="K107" s="8">
        <v>23</v>
      </c>
    </row>
    <row r="108" spans="1:11">
      <c r="A108" t="s">
        <v>2046</v>
      </c>
      <c r="B108" s="15">
        <v>45295</v>
      </c>
      <c r="C108" s="4">
        <v>45292</v>
      </c>
      <c r="D108" t="s">
        <v>59</v>
      </c>
      <c r="E108" t="s">
        <v>25</v>
      </c>
      <c r="F108" t="s">
        <v>61</v>
      </c>
      <c r="G108" t="s">
        <v>368</v>
      </c>
      <c r="H108" t="s">
        <v>14</v>
      </c>
      <c r="I108" t="s">
        <v>1935</v>
      </c>
      <c r="J108" t="s">
        <v>1936</v>
      </c>
      <c r="K108" s="8">
        <v>23</v>
      </c>
    </row>
    <row r="109" spans="1:11">
      <c r="A109" t="s">
        <v>2047</v>
      </c>
      <c r="B109" s="15">
        <v>45297</v>
      </c>
      <c r="C109" s="4">
        <v>45292</v>
      </c>
      <c r="D109" t="s">
        <v>59</v>
      </c>
      <c r="E109" t="s">
        <v>25</v>
      </c>
      <c r="F109" t="s">
        <v>61</v>
      </c>
      <c r="G109" t="s">
        <v>362</v>
      </c>
      <c r="H109" t="s">
        <v>14</v>
      </c>
      <c r="I109" t="s">
        <v>1935</v>
      </c>
      <c r="J109" t="s">
        <v>1936</v>
      </c>
      <c r="K109" s="8">
        <v>33</v>
      </c>
    </row>
    <row r="110" spans="1:11">
      <c r="A110" t="s">
        <v>2048</v>
      </c>
      <c r="B110" s="15">
        <v>45322</v>
      </c>
      <c r="C110" s="4">
        <v>45292</v>
      </c>
      <c r="D110" t="s">
        <v>59</v>
      </c>
      <c r="E110" t="s">
        <v>25</v>
      </c>
      <c r="F110" t="s">
        <v>61</v>
      </c>
      <c r="G110" t="s">
        <v>326</v>
      </c>
      <c r="H110" t="s">
        <v>5</v>
      </c>
      <c r="I110" t="s">
        <v>1935</v>
      </c>
      <c r="J110" t="s">
        <v>1936</v>
      </c>
      <c r="K110" s="8">
        <v>11</v>
      </c>
    </row>
    <row r="111" spans="1:11">
      <c r="A111" t="s">
        <v>2049</v>
      </c>
      <c r="B111" s="15">
        <v>45297</v>
      </c>
      <c r="C111" s="4">
        <v>45292</v>
      </c>
      <c r="D111" t="s">
        <v>59</v>
      </c>
      <c r="E111" t="s">
        <v>25</v>
      </c>
      <c r="F111" t="s">
        <v>61</v>
      </c>
      <c r="G111" t="s">
        <v>368</v>
      </c>
      <c r="H111" t="s">
        <v>14</v>
      </c>
      <c r="I111" t="s">
        <v>1935</v>
      </c>
      <c r="J111" t="s">
        <v>1938</v>
      </c>
      <c r="K111" s="8">
        <v>24</v>
      </c>
    </row>
    <row r="112" spans="1:11">
      <c r="A112" t="s">
        <v>2050</v>
      </c>
      <c r="B112" s="15">
        <v>45299</v>
      </c>
      <c r="C112" s="4">
        <v>45292</v>
      </c>
      <c r="D112" t="s">
        <v>62</v>
      </c>
      <c r="E112" t="s">
        <v>25</v>
      </c>
      <c r="F112" t="s">
        <v>64</v>
      </c>
      <c r="G112" t="s">
        <v>364</v>
      </c>
      <c r="H112" t="s">
        <v>14</v>
      </c>
      <c r="I112" t="s">
        <v>1942</v>
      </c>
      <c r="J112" t="s">
        <v>1936</v>
      </c>
      <c r="K112" s="8">
        <v>7</v>
      </c>
    </row>
    <row r="113" spans="1:11">
      <c r="A113" t="s">
        <v>2051</v>
      </c>
      <c r="B113" s="15">
        <v>45294</v>
      </c>
      <c r="C113" s="4">
        <v>45292</v>
      </c>
      <c r="D113" t="s">
        <v>62</v>
      </c>
      <c r="E113" t="s">
        <v>25</v>
      </c>
      <c r="F113" t="s">
        <v>64</v>
      </c>
      <c r="G113" t="s">
        <v>322</v>
      </c>
      <c r="H113" t="s">
        <v>14</v>
      </c>
      <c r="I113" t="s">
        <v>1935</v>
      </c>
      <c r="J113" t="s">
        <v>1936</v>
      </c>
      <c r="K113" s="8">
        <v>29</v>
      </c>
    </row>
    <row r="114" spans="1:11">
      <c r="A114" t="s">
        <v>2052</v>
      </c>
      <c r="B114" s="15">
        <v>45319</v>
      </c>
      <c r="C114" s="4">
        <v>45292</v>
      </c>
      <c r="D114" t="s">
        <v>62</v>
      </c>
      <c r="E114" t="s">
        <v>25</v>
      </c>
      <c r="F114" t="s">
        <v>64</v>
      </c>
      <c r="G114" t="s">
        <v>364</v>
      </c>
      <c r="H114" t="s">
        <v>14</v>
      </c>
      <c r="I114" t="s">
        <v>1935</v>
      </c>
      <c r="J114" t="s">
        <v>1938</v>
      </c>
      <c r="K114" s="8">
        <v>16</v>
      </c>
    </row>
    <row r="115" spans="1:11">
      <c r="A115" t="s">
        <v>2053</v>
      </c>
      <c r="B115" s="15">
        <v>45320</v>
      </c>
      <c r="C115" s="4">
        <v>45292</v>
      </c>
      <c r="D115" t="s">
        <v>62</v>
      </c>
      <c r="E115" t="s">
        <v>25</v>
      </c>
      <c r="F115" t="s">
        <v>64</v>
      </c>
      <c r="G115" t="s">
        <v>346</v>
      </c>
      <c r="H115" t="s">
        <v>14</v>
      </c>
      <c r="I115" t="s">
        <v>1935</v>
      </c>
      <c r="J115" t="s">
        <v>1954</v>
      </c>
      <c r="K115" s="8">
        <v>17</v>
      </c>
    </row>
    <row r="116" spans="1:11">
      <c r="A116" t="s">
        <v>2054</v>
      </c>
      <c r="B116" s="15">
        <v>45317</v>
      </c>
      <c r="C116" s="4">
        <v>45292</v>
      </c>
      <c r="D116" t="s">
        <v>62</v>
      </c>
      <c r="E116" t="s">
        <v>25</v>
      </c>
      <c r="F116" t="s">
        <v>64</v>
      </c>
      <c r="G116" t="s">
        <v>370</v>
      </c>
      <c r="H116" t="s">
        <v>5</v>
      </c>
      <c r="I116" t="s">
        <v>1935</v>
      </c>
      <c r="J116" t="s">
        <v>1936</v>
      </c>
      <c r="K116" s="8">
        <v>15</v>
      </c>
    </row>
    <row r="117" spans="1:11">
      <c r="A117" t="s">
        <v>2055</v>
      </c>
      <c r="B117" s="15">
        <v>45304</v>
      </c>
      <c r="C117" s="4">
        <v>45292</v>
      </c>
      <c r="D117" t="s">
        <v>62</v>
      </c>
      <c r="E117" t="s">
        <v>25</v>
      </c>
      <c r="F117" t="s">
        <v>64</v>
      </c>
      <c r="G117" t="s">
        <v>370</v>
      </c>
      <c r="H117" t="s">
        <v>8</v>
      </c>
      <c r="I117" t="s">
        <v>1935</v>
      </c>
      <c r="J117" t="s">
        <v>1938</v>
      </c>
      <c r="K117" s="8">
        <v>13</v>
      </c>
    </row>
    <row r="118" spans="1:11">
      <c r="A118" t="s">
        <v>2056</v>
      </c>
      <c r="B118" s="15">
        <v>45306</v>
      </c>
      <c r="C118" s="4">
        <v>45292</v>
      </c>
      <c r="D118" t="s">
        <v>62</v>
      </c>
      <c r="E118" t="s">
        <v>25</v>
      </c>
      <c r="F118" t="s">
        <v>64</v>
      </c>
      <c r="G118" t="s">
        <v>370</v>
      </c>
      <c r="H118" t="s">
        <v>8</v>
      </c>
      <c r="I118" t="s">
        <v>1935</v>
      </c>
      <c r="J118" t="s">
        <v>1936</v>
      </c>
      <c r="K118" s="8">
        <v>31</v>
      </c>
    </row>
    <row r="119" spans="1:11">
      <c r="A119" t="s">
        <v>2057</v>
      </c>
      <c r="B119" s="15">
        <v>45310</v>
      </c>
      <c r="C119" s="4">
        <v>45292</v>
      </c>
      <c r="D119" t="s">
        <v>62</v>
      </c>
      <c r="E119" t="s">
        <v>25</v>
      </c>
      <c r="F119" t="s">
        <v>64</v>
      </c>
      <c r="G119" t="s">
        <v>340</v>
      </c>
      <c r="H119" t="s">
        <v>8</v>
      </c>
      <c r="I119" t="s">
        <v>1935</v>
      </c>
      <c r="J119" t="s">
        <v>1936</v>
      </c>
      <c r="K119" s="8">
        <v>30</v>
      </c>
    </row>
    <row r="120" spans="1:11">
      <c r="A120" t="s">
        <v>2058</v>
      </c>
      <c r="B120" s="15">
        <v>45295</v>
      </c>
      <c r="C120" s="4">
        <v>45292</v>
      </c>
      <c r="D120" t="s">
        <v>62</v>
      </c>
      <c r="E120" t="s">
        <v>25</v>
      </c>
      <c r="F120" t="s">
        <v>64</v>
      </c>
      <c r="G120" t="s">
        <v>370</v>
      </c>
      <c r="H120" t="s">
        <v>11</v>
      </c>
      <c r="I120" t="s">
        <v>1995</v>
      </c>
      <c r="J120" t="s">
        <v>1938</v>
      </c>
      <c r="K120" s="8">
        <v>3</v>
      </c>
    </row>
    <row r="121" spans="1:11">
      <c r="A121" t="s">
        <v>2059</v>
      </c>
      <c r="B121" s="15">
        <v>45313</v>
      </c>
      <c r="C121" s="4">
        <v>45292</v>
      </c>
      <c r="D121" t="s">
        <v>62</v>
      </c>
      <c r="E121" t="s">
        <v>25</v>
      </c>
      <c r="F121" t="s">
        <v>64</v>
      </c>
      <c r="G121" t="s">
        <v>316</v>
      </c>
      <c r="H121" t="s">
        <v>8</v>
      </c>
      <c r="I121" t="s">
        <v>1935</v>
      </c>
      <c r="J121" t="s">
        <v>1938</v>
      </c>
      <c r="K121" s="8">
        <v>25</v>
      </c>
    </row>
    <row r="122" spans="1:11">
      <c r="A122" t="s">
        <v>2060</v>
      </c>
      <c r="B122" s="15">
        <v>45301</v>
      </c>
      <c r="C122" s="4">
        <v>45292</v>
      </c>
      <c r="D122" t="s">
        <v>65</v>
      </c>
      <c r="E122" t="s">
        <v>25</v>
      </c>
      <c r="F122" t="s">
        <v>67</v>
      </c>
      <c r="G122" t="s">
        <v>372</v>
      </c>
      <c r="H122" t="s">
        <v>5</v>
      </c>
      <c r="I122" t="s">
        <v>1935</v>
      </c>
      <c r="J122" t="s">
        <v>1954</v>
      </c>
      <c r="K122" s="8">
        <v>29</v>
      </c>
    </row>
    <row r="123" spans="1:11">
      <c r="A123" t="s">
        <v>2061</v>
      </c>
      <c r="B123" s="15">
        <v>45322</v>
      </c>
      <c r="C123" s="4">
        <v>45292</v>
      </c>
      <c r="D123" t="s">
        <v>65</v>
      </c>
      <c r="E123" t="s">
        <v>25</v>
      </c>
      <c r="F123" t="s">
        <v>67</v>
      </c>
      <c r="G123" t="s">
        <v>318</v>
      </c>
      <c r="H123" t="s">
        <v>14</v>
      </c>
      <c r="I123" t="s">
        <v>1935</v>
      </c>
      <c r="J123" t="s">
        <v>1936</v>
      </c>
      <c r="K123" s="8">
        <v>23</v>
      </c>
    </row>
    <row r="124" spans="1:11">
      <c r="A124" t="s">
        <v>2062</v>
      </c>
      <c r="B124" s="15">
        <v>45322</v>
      </c>
      <c r="C124" s="4">
        <v>45292</v>
      </c>
      <c r="D124" t="s">
        <v>65</v>
      </c>
      <c r="E124" t="s">
        <v>25</v>
      </c>
      <c r="F124" t="s">
        <v>67</v>
      </c>
      <c r="G124" t="s">
        <v>348</v>
      </c>
      <c r="H124" t="s">
        <v>11</v>
      </c>
      <c r="I124" t="s">
        <v>1935</v>
      </c>
      <c r="J124" t="s">
        <v>1954</v>
      </c>
      <c r="K124" s="8">
        <v>31</v>
      </c>
    </row>
    <row r="125" spans="1:11">
      <c r="A125" t="s">
        <v>2063</v>
      </c>
      <c r="B125" s="15">
        <v>45292</v>
      </c>
      <c r="C125" s="4">
        <v>45292</v>
      </c>
      <c r="D125" t="s">
        <v>65</v>
      </c>
      <c r="E125" t="s">
        <v>25</v>
      </c>
      <c r="F125" t="s">
        <v>67</v>
      </c>
      <c r="G125" t="s">
        <v>324</v>
      </c>
      <c r="H125" t="s">
        <v>8</v>
      </c>
      <c r="I125" t="s">
        <v>1935</v>
      </c>
      <c r="J125" t="s">
        <v>1936</v>
      </c>
      <c r="K125" s="8">
        <v>18</v>
      </c>
    </row>
    <row r="126" spans="1:11">
      <c r="A126" t="s">
        <v>2064</v>
      </c>
      <c r="B126" s="15">
        <v>45295</v>
      </c>
      <c r="C126" s="4">
        <v>45292</v>
      </c>
      <c r="D126" t="s">
        <v>65</v>
      </c>
      <c r="E126" t="s">
        <v>25</v>
      </c>
      <c r="F126" t="s">
        <v>67</v>
      </c>
      <c r="G126" t="s">
        <v>318</v>
      </c>
      <c r="H126" t="s">
        <v>14</v>
      </c>
      <c r="I126" t="s">
        <v>1935</v>
      </c>
      <c r="J126" t="s">
        <v>1938</v>
      </c>
      <c r="K126" s="8">
        <v>25</v>
      </c>
    </row>
    <row r="127" spans="1:11">
      <c r="A127" t="s">
        <v>2065</v>
      </c>
      <c r="B127" s="15">
        <v>45294</v>
      </c>
      <c r="C127" s="4">
        <v>45292</v>
      </c>
      <c r="D127" t="s">
        <v>65</v>
      </c>
      <c r="E127" t="s">
        <v>25</v>
      </c>
      <c r="F127" t="s">
        <v>67</v>
      </c>
      <c r="G127" t="s">
        <v>348</v>
      </c>
      <c r="H127" t="s">
        <v>11</v>
      </c>
      <c r="I127" t="s">
        <v>1935</v>
      </c>
      <c r="J127" t="s">
        <v>1936</v>
      </c>
      <c r="K127" s="8">
        <v>15</v>
      </c>
    </row>
    <row r="128" spans="1:11">
      <c r="A128" t="s">
        <v>2066</v>
      </c>
      <c r="B128" s="15">
        <v>45299</v>
      </c>
      <c r="C128" s="4">
        <v>45292</v>
      </c>
      <c r="D128" t="s">
        <v>65</v>
      </c>
      <c r="E128" t="s">
        <v>25</v>
      </c>
      <c r="F128" t="s">
        <v>67</v>
      </c>
      <c r="G128" t="s">
        <v>372</v>
      </c>
      <c r="H128" t="s">
        <v>5</v>
      </c>
      <c r="I128" t="s">
        <v>1935</v>
      </c>
      <c r="J128" t="s">
        <v>1936</v>
      </c>
      <c r="K128" s="8">
        <v>25</v>
      </c>
    </row>
    <row r="129" spans="1:11">
      <c r="A129" t="s">
        <v>2067</v>
      </c>
      <c r="B129" s="15">
        <v>45317</v>
      </c>
      <c r="C129" s="4">
        <v>45292</v>
      </c>
      <c r="D129" t="s">
        <v>65</v>
      </c>
      <c r="E129" t="s">
        <v>25</v>
      </c>
      <c r="F129" t="s">
        <v>67</v>
      </c>
      <c r="G129" t="s">
        <v>318</v>
      </c>
      <c r="H129" t="s">
        <v>8</v>
      </c>
      <c r="I129" t="s">
        <v>1935</v>
      </c>
      <c r="J129" t="s">
        <v>1954</v>
      </c>
      <c r="K129" s="8">
        <v>24</v>
      </c>
    </row>
    <row r="130" spans="1:11">
      <c r="A130" t="s">
        <v>2068</v>
      </c>
      <c r="B130" s="15">
        <v>45293</v>
      </c>
      <c r="C130" s="4">
        <v>45292</v>
      </c>
      <c r="D130" t="s">
        <v>65</v>
      </c>
      <c r="E130" t="s">
        <v>25</v>
      </c>
      <c r="F130" t="s">
        <v>67</v>
      </c>
      <c r="G130" t="s">
        <v>318</v>
      </c>
      <c r="H130" t="s">
        <v>14</v>
      </c>
      <c r="I130" t="s">
        <v>1935</v>
      </c>
      <c r="J130" t="s">
        <v>1938</v>
      </c>
      <c r="K130" s="8">
        <v>11</v>
      </c>
    </row>
    <row r="131" spans="1:11">
      <c r="A131" t="s">
        <v>2069</v>
      </c>
      <c r="B131" s="15">
        <v>45305</v>
      </c>
      <c r="C131" s="4">
        <v>45292</v>
      </c>
      <c r="D131" t="s">
        <v>65</v>
      </c>
      <c r="E131" t="s">
        <v>25</v>
      </c>
      <c r="F131" t="s">
        <v>67</v>
      </c>
      <c r="G131" t="s">
        <v>318</v>
      </c>
      <c r="H131" t="s">
        <v>14</v>
      </c>
      <c r="I131" t="s">
        <v>1942</v>
      </c>
      <c r="J131" t="s">
        <v>1938</v>
      </c>
      <c r="K131" s="8">
        <v>7</v>
      </c>
    </row>
    <row r="132" spans="1:11">
      <c r="A132" t="s">
        <v>2070</v>
      </c>
      <c r="B132" s="15">
        <v>45309</v>
      </c>
      <c r="C132" s="4">
        <v>45292</v>
      </c>
      <c r="D132" t="s">
        <v>65</v>
      </c>
      <c r="E132" t="s">
        <v>25</v>
      </c>
      <c r="F132" t="s">
        <v>67</v>
      </c>
      <c r="G132" t="s">
        <v>342</v>
      </c>
      <c r="H132" t="s">
        <v>11</v>
      </c>
      <c r="I132" t="s">
        <v>1935</v>
      </c>
      <c r="J132" t="s">
        <v>1936</v>
      </c>
      <c r="K132" s="8">
        <v>28</v>
      </c>
    </row>
    <row r="133" spans="1:11">
      <c r="A133" t="s">
        <v>2071</v>
      </c>
      <c r="B133" s="15">
        <v>45306</v>
      </c>
      <c r="C133" s="4">
        <v>45292</v>
      </c>
      <c r="D133" t="s">
        <v>65</v>
      </c>
      <c r="E133" t="s">
        <v>25</v>
      </c>
      <c r="F133" t="s">
        <v>67</v>
      </c>
      <c r="G133" t="s">
        <v>354</v>
      </c>
      <c r="H133" t="s">
        <v>11</v>
      </c>
      <c r="I133" t="s">
        <v>1935</v>
      </c>
      <c r="J133" t="s">
        <v>1936</v>
      </c>
      <c r="K133" s="8">
        <v>30</v>
      </c>
    </row>
    <row r="134" spans="1:11">
      <c r="A134" t="s">
        <v>2072</v>
      </c>
      <c r="B134" s="15">
        <v>45334</v>
      </c>
      <c r="C134" s="4">
        <v>45323</v>
      </c>
      <c r="D134" t="s">
        <v>32</v>
      </c>
      <c r="E134" t="s">
        <v>19</v>
      </c>
      <c r="F134" t="s">
        <v>34</v>
      </c>
      <c r="G134" t="s">
        <v>99</v>
      </c>
      <c r="H134" t="s">
        <v>14</v>
      </c>
      <c r="I134" t="s">
        <v>1935</v>
      </c>
      <c r="J134" t="s">
        <v>1936</v>
      </c>
      <c r="K134" s="8">
        <v>17</v>
      </c>
    </row>
    <row r="135" spans="1:11">
      <c r="A135" t="s">
        <v>2073</v>
      </c>
      <c r="B135" s="15">
        <v>45335</v>
      </c>
      <c r="C135" s="4">
        <v>45323</v>
      </c>
      <c r="D135" t="s">
        <v>32</v>
      </c>
      <c r="E135" t="s">
        <v>19</v>
      </c>
      <c r="F135" t="s">
        <v>34</v>
      </c>
      <c r="G135" t="s">
        <v>124</v>
      </c>
      <c r="H135" t="s">
        <v>8</v>
      </c>
      <c r="I135" t="s">
        <v>1935</v>
      </c>
      <c r="J135" t="s">
        <v>1936</v>
      </c>
      <c r="K135" s="8">
        <v>30</v>
      </c>
    </row>
    <row r="136" spans="1:11">
      <c r="A136" t="s">
        <v>2074</v>
      </c>
      <c r="B136" s="15">
        <v>45333</v>
      </c>
      <c r="C136" s="4">
        <v>45323</v>
      </c>
      <c r="D136" t="s">
        <v>32</v>
      </c>
      <c r="E136" t="s">
        <v>19</v>
      </c>
      <c r="F136" t="s">
        <v>34</v>
      </c>
      <c r="G136" t="s">
        <v>75</v>
      </c>
      <c r="H136" t="s">
        <v>5</v>
      </c>
      <c r="I136" t="s">
        <v>1935</v>
      </c>
      <c r="J136" t="s">
        <v>1936</v>
      </c>
      <c r="K136" s="8">
        <v>9</v>
      </c>
    </row>
    <row r="137" spans="1:11">
      <c r="A137" t="s">
        <v>2075</v>
      </c>
      <c r="B137" s="15">
        <v>45329</v>
      </c>
      <c r="C137" s="4">
        <v>45323</v>
      </c>
      <c r="D137" t="s">
        <v>32</v>
      </c>
      <c r="E137" t="s">
        <v>19</v>
      </c>
      <c r="F137" t="s">
        <v>34</v>
      </c>
      <c r="G137" t="s">
        <v>130</v>
      </c>
      <c r="H137" t="s">
        <v>14</v>
      </c>
      <c r="I137" t="s">
        <v>1935</v>
      </c>
      <c r="J137" t="s">
        <v>1936</v>
      </c>
      <c r="K137" s="8">
        <v>14</v>
      </c>
    </row>
    <row r="138" spans="1:11">
      <c r="A138" t="s">
        <v>2076</v>
      </c>
      <c r="B138" s="15">
        <v>45335</v>
      </c>
      <c r="C138" s="4">
        <v>45323</v>
      </c>
      <c r="D138" t="s">
        <v>32</v>
      </c>
      <c r="E138" t="s">
        <v>19</v>
      </c>
      <c r="F138" t="s">
        <v>34</v>
      </c>
      <c r="G138" t="s">
        <v>142</v>
      </c>
      <c r="H138" t="s">
        <v>8</v>
      </c>
      <c r="I138" t="s">
        <v>1935</v>
      </c>
      <c r="J138" t="s">
        <v>1936</v>
      </c>
      <c r="K138" s="8">
        <v>15</v>
      </c>
    </row>
    <row r="139" spans="1:11">
      <c r="A139" t="s">
        <v>2077</v>
      </c>
      <c r="B139" s="15">
        <v>45330</v>
      </c>
      <c r="C139" s="4">
        <v>45323</v>
      </c>
      <c r="D139" t="s">
        <v>32</v>
      </c>
      <c r="E139" t="s">
        <v>19</v>
      </c>
      <c r="F139" t="s">
        <v>34</v>
      </c>
      <c r="G139" t="s">
        <v>92</v>
      </c>
      <c r="H139" t="s">
        <v>8</v>
      </c>
      <c r="I139" t="s">
        <v>1995</v>
      </c>
      <c r="J139" t="s">
        <v>1936</v>
      </c>
      <c r="K139" s="8">
        <v>5</v>
      </c>
    </row>
    <row r="140" spans="1:11">
      <c r="A140" t="s">
        <v>2078</v>
      </c>
      <c r="B140" s="15">
        <v>45334</v>
      </c>
      <c r="C140" s="4">
        <v>45323</v>
      </c>
      <c r="D140" t="s">
        <v>32</v>
      </c>
      <c r="E140" t="s">
        <v>19</v>
      </c>
      <c r="F140" t="s">
        <v>34</v>
      </c>
      <c r="G140" t="s">
        <v>99</v>
      </c>
      <c r="H140" t="s">
        <v>5</v>
      </c>
      <c r="I140" t="s">
        <v>1935</v>
      </c>
      <c r="J140" t="s">
        <v>1938</v>
      </c>
      <c r="K140" s="8">
        <v>17</v>
      </c>
    </row>
    <row r="141" spans="1:11">
      <c r="A141" t="s">
        <v>2079</v>
      </c>
      <c r="B141" s="15">
        <v>45331</v>
      </c>
      <c r="C141" s="4">
        <v>45323</v>
      </c>
      <c r="D141" t="s">
        <v>32</v>
      </c>
      <c r="E141" t="s">
        <v>19</v>
      </c>
      <c r="F141" t="s">
        <v>34</v>
      </c>
      <c r="G141" t="s">
        <v>75</v>
      </c>
      <c r="H141" t="s">
        <v>5</v>
      </c>
      <c r="I141" t="s">
        <v>1935</v>
      </c>
      <c r="J141" t="s">
        <v>1936</v>
      </c>
      <c r="K141" s="8">
        <v>24</v>
      </c>
    </row>
    <row r="142" spans="1:11">
      <c r="A142" t="s">
        <v>2080</v>
      </c>
      <c r="B142" s="15">
        <v>45329</v>
      </c>
      <c r="C142" s="4">
        <v>45323</v>
      </c>
      <c r="D142" t="s">
        <v>32</v>
      </c>
      <c r="E142" t="s">
        <v>19</v>
      </c>
      <c r="F142" t="s">
        <v>34</v>
      </c>
      <c r="G142" t="s">
        <v>105</v>
      </c>
      <c r="H142" t="s">
        <v>5</v>
      </c>
      <c r="I142" t="s">
        <v>1935</v>
      </c>
      <c r="J142" t="s">
        <v>1936</v>
      </c>
      <c r="K142" s="8">
        <v>35</v>
      </c>
    </row>
    <row r="143" spans="1:11">
      <c r="A143" t="s">
        <v>2081</v>
      </c>
      <c r="B143" s="15">
        <v>45350</v>
      </c>
      <c r="C143" s="4">
        <v>45323</v>
      </c>
      <c r="D143" t="s">
        <v>35</v>
      </c>
      <c r="E143" t="s">
        <v>19</v>
      </c>
      <c r="F143" t="s">
        <v>37</v>
      </c>
      <c r="G143" t="s">
        <v>144</v>
      </c>
      <c r="H143" t="s">
        <v>5</v>
      </c>
      <c r="I143" t="s">
        <v>1935</v>
      </c>
      <c r="J143" t="s">
        <v>1936</v>
      </c>
      <c r="K143" s="8">
        <v>27</v>
      </c>
    </row>
    <row r="144" spans="1:11">
      <c r="A144" t="s">
        <v>2082</v>
      </c>
      <c r="B144" s="15">
        <v>45342</v>
      </c>
      <c r="C144" s="4">
        <v>45323</v>
      </c>
      <c r="D144" t="s">
        <v>35</v>
      </c>
      <c r="E144" t="s">
        <v>19</v>
      </c>
      <c r="F144" t="s">
        <v>37</v>
      </c>
      <c r="G144" t="s">
        <v>101</v>
      </c>
      <c r="H144" t="s">
        <v>11</v>
      </c>
      <c r="I144" t="s">
        <v>1935</v>
      </c>
      <c r="J144" t="s">
        <v>1938</v>
      </c>
      <c r="K144" s="8">
        <v>29</v>
      </c>
    </row>
    <row r="145" spans="1:11">
      <c r="A145" t="s">
        <v>2083</v>
      </c>
      <c r="B145" s="15">
        <v>45337</v>
      </c>
      <c r="C145" s="4">
        <v>45323</v>
      </c>
      <c r="D145" t="s">
        <v>35</v>
      </c>
      <c r="E145" t="s">
        <v>19</v>
      </c>
      <c r="F145" t="s">
        <v>37</v>
      </c>
      <c r="G145" t="s">
        <v>107</v>
      </c>
      <c r="H145" t="s">
        <v>8</v>
      </c>
      <c r="I145" t="s">
        <v>1935</v>
      </c>
      <c r="J145" t="s">
        <v>1936</v>
      </c>
      <c r="K145" s="8">
        <v>31</v>
      </c>
    </row>
    <row r="146" spans="1:11">
      <c r="A146" t="s">
        <v>2084</v>
      </c>
      <c r="B146" s="15">
        <v>45323</v>
      </c>
      <c r="C146" s="4">
        <v>45323</v>
      </c>
      <c r="D146" t="s">
        <v>35</v>
      </c>
      <c r="E146" t="s">
        <v>19</v>
      </c>
      <c r="F146" t="s">
        <v>37</v>
      </c>
      <c r="G146" t="s">
        <v>101</v>
      </c>
      <c r="H146" t="s">
        <v>11</v>
      </c>
      <c r="I146" t="s">
        <v>1942</v>
      </c>
      <c r="J146" t="s">
        <v>1936</v>
      </c>
      <c r="K146" s="8">
        <v>0</v>
      </c>
    </row>
    <row r="147" spans="1:11">
      <c r="A147" t="s">
        <v>2085</v>
      </c>
      <c r="B147" s="15">
        <v>45337</v>
      </c>
      <c r="C147" s="4">
        <v>45323</v>
      </c>
      <c r="D147" t="s">
        <v>35</v>
      </c>
      <c r="E147" t="s">
        <v>19</v>
      </c>
      <c r="F147" t="s">
        <v>37</v>
      </c>
      <c r="G147" t="s">
        <v>107</v>
      </c>
      <c r="H147" t="s">
        <v>8</v>
      </c>
      <c r="I147" t="s">
        <v>1935</v>
      </c>
      <c r="J147" t="s">
        <v>1936</v>
      </c>
      <c r="K147" s="8">
        <v>32</v>
      </c>
    </row>
    <row r="148" spans="1:11">
      <c r="A148" t="s">
        <v>2086</v>
      </c>
      <c r="B148" s="15">
        <v>45346</v>
      </c>
      <c r="C148" s="4">
        <v>45323</v>
      </c>
      <c r="D148" t="s">
        <v>35</v>
      </c>
      <c r="E148" t="s">
        <v>19</v>
      </c>
      <c r="F148" t="s">
        <v>37</v>
      </c>
      <c r="G148" t="s">
        <v>101</v>
      </c>
      <c r="H148" t="s">
        <v>11</v>
      </c>
      <c r="I148" t="s">
        <v>1935</v>
      </c>
      <c r="J148" t="s">
        <v>1938</v>
      </c>
      <c r="K148" s="8">
        <v>31</v>
      </c>
    </row>
    <row r="149" spans="1:11">
      <c r="A149" t="s">
        <v>2087</v>
      </c>
      <c r="B149" s="15">
        <v>45340</v>
      </c>
      <c r="C149" s="4">
        <v>45323</v>
      </c>
      <c r="D149" t="s">
        <v>35</v>
      </c>
      <c r="E149" t="s">
        <v>19</v>
      </c>
      <c r="F149" t="s">
        <v>37</v>
      </c>
      <c r="G149" t="s">
        <v>78</v>
      </c>
      <c r="H149" t="s">
        <v>5</v>
      </c>
      <c r="I149" t="s">
        <v>1935</v>
      </c>
      <c r="J149" t="s">
        <v>1936</v>
      </c>
      <c r="K149" s="8">
        <v>24</v>
      </c>
    </row>
    <row r="150" spans="1:11">
      <c r="A150" t="s">
        <v>2088</v>
      </c>
      <c r="B150" s="15">
        <v>45339</v>
      </c>
      <c r="C150" s="4">
        <v>45323</v>
      </c>
      <c r="D150" t="s">
        <v>35</v>
      </c>
      <c r="E150" t="s">
        <v>19</v>
      </c>
      <c r="F150" t="s">
        <v>37</v>
      </c>
      <c r="G150" t="s">
        <v>101</v>
      </c>
      <c r="H150" t="s">
        <v>8</v>
      </c>
      <c r="I150" t="s">
        <v>1935</v>
      </c>
      <c r="J150" t="s">
        <v>1936</v>
      </c>
      <c r="K150" s="8">
        <v>28</v>
      </c>
    </row>
    <row r="151" spans="1:11">
      <c r="A151" t="s">
        <v>2089</v>
      </c>
      <c r="B151" s="15">
        <v>45338</v>
      </c>
      <c r="C151" s="4">
        <v>45323</v>
      </c>
      <c r="D151" t="s">
        <v>35</v>
      </c>
      <c r="E151" t="s">
        <v>19</v>
      </c>
      <c r="F151" t="s">
        <v>37</v>
      </c>
      <c r="G151" t="s">
        <v>107</v>
      </c>
      <c r="H151" t="s">
        <v>8</v>
      </c>
      <c r="I151" t="s">
        <v>1935</v>
      </c>
      <c r="J151" t="s">
        <v>1936</v>
      </c>
      <c r="K151" s="8">
        <v>14</v>
      </c>
    </row>
    <row r="152" spans="1:11">
      <c r="A152" t="s">
        <v>2090</v>
      </c>
      <c r="B152" s="15">
        <v>45349</v>
      </c>
      <c r="C152" s="4">
        <v>45323</v>
      </c>
      <c r="D152" t="s">
        <v>35</v>
      </c>
      <c r="E152" t="s">
        <v>19</v>
      </c>
      <c r="F152" t="s">
        <v>37</v>
      </c>
      <c r="G152" t="s">
        <v>101</v>
      </c>
      <c r="H152" t="s">
        <v>5</v>
      </c>
      <c r="I152" t="s">
        <v>1935</v>
      </c>
      <c r="J152" t="s">
        <v>1936</v>
      </c>
      <c r="K152" s="8">
        <v>29</v>
      </c>
    </row>
    <row r="153" spans="1:11">
      <c r="A153" t="s">
        <v>2091</v>
      </c>
      <c r="B153" s="15">
        <v>45335</v>
      </c>
      <c r="C153" s="4">
        <v>45323</v>
      </c>
      <c r="D153" t="s">
        <v>35</v>
      </c>
      <c r="E153" t="s">
        <v>19</v>
      </c>
      <c r="F153" t="s">
        <v>37</v>
      </c>
      <c r="G153" t="s">
        <v>78</v>
      </c>
      <c r="H153" t="s">
        <v>11</v>
      </c>
      <c r="I153" t="s">
        <v>1935</v>
      </c>
      <c r="J153" t="s">
        <v>1938</v>
      </c>
      <c r="K153" s="8">
        <v>28</v>
      </c>
    </row>
    <row r="154" spans="1:11">
      <c r="A154" t="s">
        <v>2092</v>
      </c>
      <c r="B154" s="15">
        <v>45337</v>
      </c>
      <c r="C154" s="4">
        <v>45323</v>
      </c>
      <c r="D154" t="s">
        <v>38</v>
      </c>
      <c r="E154" t="s">
        <v>19</v>
      </c>
      <c r="F154" t="s">
        <v>40</v>
      </c>
      <c r="G154" t="s">
        <v>152</v>
      </c>
      <c r="H154" t="s">
        <v>5</v>
      </c>
      <c r="I154" t="s">
        <v>1935</v>
      </c>
      <c r="J154" t="s">
        <v>1938</v>
      </c>
      <c r="K154" s="8">
        <v>16</v>
      </c>
    </row>
    <row r="155" spans="1:11">
      <c r="A155" t="s">
        <v>2093</v>
      </c>
      <c r="B155" s="15">
        <v>45335</v>
      </c>
      <c r="C155" s="4">
        <v>45323</v>
      </c>
      <c r="D155" t="s">
        <v>38</v>
      </c>
      <c r="E155" t="s">
        <v>19</v>
      </c>
      <c r="F155" t="s">
        <v>40</v>
      </c>
      <c r="G155" t="s">
        <v>146</v>
      </c>
      <c r="H155" t="s">
        <v>11</v>
      </c>
      <c r="I155" t="s">
        <v>1935</v>
      </c>
      <c r="J155" t="s">
        <v>1936</v>
      </c>
      <c r="K155" s="8">
        <v>15</v>
      </c>
    </row>
    <row r="156" spans="1:11">
      <c r="A156" t="s">
        <v>2094</v>
      </c>
      <c r="B156" s="15">
        <v>45341</v>
      </c>
      <c r="C156" s="4">
        <v>45323</v>
      </c>
      <c r="D156" t="s">
        <v>38</v>
      </c>
      <c r="E156" t="s">
        <v>19</v>
      </c>
      <c r="F156" t="s">
        <v>40</v>
      </c>
      <c r="G156" t="s">
        <v>134</v>
      </c>
      <c r="H156" t="s">
        <v>14</v>
      </c>
      <c r="I156" t="s">
        <v>1935</v>
      </c>
      <c r="J156" t="s">
        <v>1954</v>
      </c>
      <c r="K156" s="8">
        <v>13</v>
      </c>
    </row>
    <row r="157" spans="1:11">
      <c r="A157" t="s">
        <v>2095</v>
      </c>
      <c r="B157" s="15">
        <v>45347</v>
      </c>
      <c r="C157" s="4">
        <v>45323</v>
      </c>
      <c r="D157" t="s">
        <v>38</v>
      </c>
      <c r="E157" t="s">
        <v>19</v>
      </c>
      <c r="F157" t="s">
        <v>40</v>
      </c>
      <c r="G157" t="s">
        <v>115</v>
      </c>
      <c r="H157" t="s">
        <v>8</v>
      </c>
      <c r="I157" t="s">
        <v>1935</v>
      </c>
      <c r="J157" t="s">
        <v>1938</v>
      </c>
      <c r="K157" s="8">
        <v>21</v>
      </c>
    </row>
    <row r="158" spans="1:11">
      <c r="A158" t="s">
        <v>2096</v>
      </c>
      <c r="B158" s="15">
        <v>45326</v>
      </c>
      <c r="C158" s="4">
        <v>45323</v>
      </c>
      <c r="D158" t="s">
        <v>38</v>
      </c>
      <c r="E158" t="s">
        <v>19</v>
      </c>
      <c r="F158" t="s">
        <v>40</v>
      </c>
      <c r="G158" t="s">
        <v>140</v>
      </c>
      <c r="H158" t="s">
        <v>14</v>
      </c>
      <c r="I158" t="s">
        <v>1935</v>
      </c>
      <c r="J158" t="s">
        <v>1936</v>
      </c>
      <c r="K158" s="8">
        <v>23</v>
      </c>
    </row>
    <row r="159" spans="1:11">
      <c r="A159" t="s">
        <v>2097</v>
      </c>
      <c r="B159" s="15">
        <v>45344</v>
      </c>
      <c r="C159" s="4">
        <v>45323</v>
      </c>
      <c r="D159" t="s">
        <v>38</v>
      </c>
      <c r="E159" t="s">
        <v>19</v>
      </c>
      <c r="F159" t="s">
        <v>40</v>
      </c>
      <c r="G159" t="s">
        <v>90</v>
      </c>
      <c r="H159" t="s">
        <v>5</v>
      </c>
      <c r="I159" t="s">
        <v>1935</v>
      </c>
      <c r="J159" t="s">
        <v>1938</v>
      </c>
      <c r="K159" s="8">
        <v>16</v>
      </c>
    </row>
    <row r="160" spans="1:11">
      <c r="A160" t="s">
        <v>2098</v>
      </c>
      <c r="B160" s="15">
        <v>45326</v>
      </c>
      <c r="C160" s="4">
        <v>45323</v>
      </c>
      <c r="D160" t="s">
        <v>38</v>
      </c>
      <c r="E160" t="s">
        <v>19</v>
      </c>
      <c r="F160" t="s">
        <v>40</v>
      </c>
      <c r="G160" t="s">
        <v>164</v>
      </c>
      <c r="H160" t="s">
        <v>5</v>
      </c>
      <c r="I160" t="s">
        <v>1935</v>
      </c>
      <c r="J160" t="s">
        <v>1936</v>
      </c>
      <c r="K160" s="8">
        <v>22</v>
      </c>
    </row>
    <row r="161" spans="1:11">
      <c r="A161" t="s">
        <v>2099</v>
      </c>
      <c r="B161" s="15">
        <v>45351</v>
      </c>
      <c r="C161" s="4">
        <v>45323</v>
      </c>
      <c r="D161" t="s">
        <v>38</v>
      </c>
      <c r="E161" t="s">
        <v>19</v>
      </c>
      <c r="F161" t="s">
        <v>40</v>
      </c>
      <c r="G161" t="s">
        <v>140</v>
      </c>
      <c r="H161" t="s">
        <v>5</v>
      </c>
      <c r="I161" t="s">
        <v>1935</v>
      </c>
      <c r="J161" t="s">
        <v>1938</v>
      </c>
      <c r="K161" s="8">
        <v>18</v>
      </c>
    </row>
    <row r="162" spans="1:11">
      <c r="A162" t="s">
        <v>2100</v>
      </c>
      <c r="B162" s="15">
        <v>45351</v>
      </c>
      <c r="C162" s="4">
        <v>45323</v>
      </c>
      <c r="D162" t="s">
        <v>38</v>
      </c>
      <c r="E162" t="s">
        <v>19</v>
      </c>
      <c r="F162" t="s">
        <v>40</v>
      </c>
      <c r="G162" t="s">
        <v>140</v>
      </c>
      <c r="H162" t="s">
        <v>8</v>
      </c>
      <c r="I162" t="s">
        <v>1935</v>
      </c>
      <c r="J162" t="s">
        <v>1938</v>
      </c>
      <c r="K162" s="8">
        <v>32</v>
      </c>
    </row>
    <row r="163" spans="1:11">
      <c r="A163" t="s">
        <v>2101</v>
      </c>
      <c r="B163" s="15">
        <v>45336</v>
      </c>
      <c r="C163" s="4">
        <v>45323</v>
      </c>
      <c r="D163" t="s">
        <v>38</v>
      </c>
      <c r="E163" t="s">
        <v>19</v>
      </c>
      <c r="F163" t="s">
        <v>40</v>
      </c>
      <c r="G163" t="s">
        <v>122</v>
      </c>
      <c r="H163" t="s">
        <v>11</v>
      </c>
      <c r="I163" t="s">
        <v>1935</v>
      </c>
      <c r="J163" t="s">
        <v>1954</v>
      </c>
      <c r="K163" s="8">
        <v>22</v>
      </c>
    </row>
    <row r="164" spans="1:11">
      <c r="A164" t="s">
        <v>2102</v>
      </c>
      <c r="B164" s="15">
        <v>45340</v>
      </c>
      <c r="C164" s="4">
        <v>45323</v>
      </c>
      <c r="D164" t="s">
        <v>41</v>
      </c>
      <c r="E164" t="s">
        <v>21</v>
      </c>
      <c r="F164" t="s">
        <v>43</v>
      </c>
      <c r="G164" t="s">
        <v>214</v>
      </c>
      <c r="H164" t="s">
        <v>5</v>
      </c>
      <c r="I164" t="s">
        <v>1935</v>
      </c>
      <c r="J164" t="s">
        <v>1936</v>
      </c>
      <c r="K164" s="8">
        <v>25</v>
      </c>
    </row>
    <row r="165" spans="1:11">
      <c r="A165" t="s">
        <v>2103</v>
      </c>
      <c r="B165" s="15">
        <v>45327</v>
      </c>
      <c r="C165" s="4">
        <v>45323</v>
      </c>
      <c r="D165" t="s">
        <v>41</v>
      </c>
      <c r="E165" t="s">
        <v>21</v>
      </c>
      <c r="F165" t="s">
        <v>43</v>
      </c>
      <c r="G165" t="s">
        <v>172</v>
      </c>
      <c r="H165" t="s">
        <v>8</v>
      </c>
      <c r="I165" t="s">
        <v>1935</v>
      </c>
      <c r="J165" t="s">
        <v>1954</v>
      </c>
      <c r="K165" s="8">
        <v>23</v>
      </c>
    </row>
    <row r="166" spans="1:11">
      <c r="A166" t="s">
        <v>2104</v>
      </c>
      <c r="B166" s="15">
        <v>45333</v>
      </c>
      <c r="C166" s="4">
        <v>45323</v>
      </c>
      <c r="D166" t="s">
        <v>41</v>
      </c>
      <c r="E166" t="s">
        <v>21</v>
      </c>
      <c r="F166" t="s">
        <v>43</v>
      </c>
      <c r="G166" t="s">
        <v>214</v>
      </c>
      <c r="H166" t="s">
        <v>8</v>
      </c>
      <c r="I166" t="s">
        <v>1935</v>
      </c>
      <c r="J166" t="s">
        <v>1938</v>
      </c>
      <c r="K166" s="8">
        <v>35</v>
      </c>
    </row>
    <row r="167" spans="1:11">
      <c r="A167" t="s">
        <v>2105</v>
      </c>
      <c r="B167" s="15">
        <v>45326</v>
      </c>
      <c r="C167" s="4">
        <v>45323</v>
      </c>
      <c r="D167" t="s">
        <v>41</v>
      </c>
      <c r="E167" t="s">
        <v>21</v>
      </c>
      <c r="F167" t="s">
        <v>43</v>
      </c>
      <c r="G167" t="s">
        <v>202</v>
      </c>
      <c r="H167" t="s">
        <v>11</v>
      </c>
      <c r="I167" t="s">
        <v>1935</v>
      </c>
      <c r="J167" t="s">
        <v>1938</v>
      </c>
      <c r="K167" s="8">
        <v>19</v>
      </c>
    </row>
    <row r="168" spans="1:11">
      <c r="A168" t="s">
        <v>2106</v>
      </c>
      <c r="B168" s="15">
        <v>45337</v>
      </c>
      <c r="C168" s="4">
        <v>45323</v>
      </c>
      <c r="D168" t="s">
        <v>41</v>
      </c>
      <c r="E168" t="s">
        <v>21</v>
      </c>
      <c r="F168" t="s">
        <v>43</v>
      </c>
      <c r="G168" t="s">
        <v>208</v>
      </c>
      <c r="H168" t="s">
        <v>11</v>
      </c>
      <c r="I168" t="s">
        <v>1935</v>
      </c>
      <c r="J168" t="s">
        <v>1936</v>
      </c>
      <c r="K168" s="8">
        <v>27</v>
      </c>
    </row>
    <row r="169" spans="1:11">
      <c r="A169" t="s">
        <v>2107</v>
      </c>
      <c r="B169" s="15">
        <v>45334</v>
      </c>
      <c r="C169" s="4">
        <v>45323</v>
      </c>
      <c r="D169" t="s">
        <v>41</v>
      </c>
      <c r="E169" t="s">
        <v>21</v>
      </c>
      <c r="F169" t="s">
        <v>43</v>
      </c>
      <c r="G169" t="s">
        <v>172</v>
      </c>
      <c r="H169" t="s">
        <v>11</v>
      </c>
      <c r="I169" t="s">
        <v>1935</v>
      </c>
      <c r="J169" t="s">
        <v>1954</v>
      </c>
      <c r="K169" s="8">
        <v>29</v>
      </c>
    </row>
    <row r="170" spans="1:11">
      <c r="A170" t="s">
        <v>2108</v>
      </c>
      <c r="B170" s="15">
        <v>45327</v>
      </c>
      <c r="C170" s="4">
        <v>45323</v>
      </c>
      <c r="D170" t="s">
        <v>41</v>
      </c>
      <c r="E170" t="s">
        <v>21</v>
      </c>
      <c r="F170" t="s">
        <v>43</v>
      </c>
      <c r="G170" t="s">
        <v>178</v>
      </c>
      <c r="H170" t="s">
        <v>11</v>
      </c>
      <c r="I170" t="s">
        <v>1935</v>
      </c>
      <c r="J170" t="s">
        <v>1936</v>
      </c>
      <c r="K170" s="8">
        <v>21</v>
      </c>
    </row>
    <row r="171" spans="1:11">
      <c r="A171" t="s">
        <v>2109</v>
      </c>
      <c r="B171" s="15">
        <v>45336</v>
      </c>
      <c r="C171" s="4">
        <v>45323</v>
      </c>
      <c r="D171" t="s">
        <v>41</v>
      </c>
      <c r="E171" t="s">
        <v>21</v>
      </c>
      <c r="F171" t="s">
        <v>43</v>
      </c>
      <c r="G171" t="s">
        <v>196</v>
      </c>
      <c r="H171" t="s">
        <v>14</v>
      </c>
      <c r="I171" t="s">
        <v>1935</v>
      </c>
      <c r="J171" t="s">
        <v>1936</v>
      </c>
      <c r="K171" s="8">
        <v>24</v>
      </c>
    </row>
    <row r="172" spans="1:11">
      <c r="A172" t="s">
        <v>2110</v>
      </c>
      <c r="B172" s="15">
        <v>45337</v>
      </c>
      <c r="C172" s="4">
        <v>45323</v>
      </c>
      <c r="D172" t="s">
        <v>41</v>
      </c>
      <c r="E172" t="s">
        <v>21</v>
      </c>
      <c r="F172" t="s">
        <v>43</v>
      </c>
      <c r="G172" t="s">
        <v>172</v>
      </c>
      <c r="H172" t="s">
        <v>8</v>
      </c>
      <c r="I172" t="s">
        <v>1935</v>
      </c>
      <c r="J172" t="s">
        <v>1936</v>
      </c>
      <c r="K172" s="8">
        <v>33</v>
      </c>
    </row>
    <row r="173" spans="1:11">
      <c r="A173" t="s">
        <v>2111</v>
      </c>
      <c r="B173" s="15">
        <v>45351</v>
      </c>
      <c r="C173" s="4">
        <v>45323</v>
      </c>
      <c r="D173" t="s">
        <v>41</v>
      </c>
      <c r="E173" t="s">
        <v>21</v>
      </c>
      <c r="F173" t="s">
        <v>43</v>
      </c>
      <c r="G173" t="s">
        <v>196</v>
      </c>
      <c r="H173" t="s">
        <v>14</v>
      </c>
      <c r="I173" t="s">
        <v>1935</v>
      </c>
      <c r="J173" t="s">
        <v>1938</v>
      </c>
      <c r="K173" s="8">
        <v>23</v>
      </c>
    </row>
    <row r="174" spans="1:11">
      <c r="A174" t="s">
        <v>2112</v>
      </c>
      <c r="B174" s="15">
        <v>45343</v>
      </c>
      <c r="C174" s="4">
        <v>45323</v>
      </c>
      <c r="D174" t="s">
        <v>44</v>
      </c>
      <c r="E174" t="s">
        <v>21</v>
      </c>
      <c r="F174" t="s">
        <v>46</v>
      </c>
      <c r="G174" t="s">
        <v>198</v>
      </c>
      <c r="H174" t="s">
        <v>11</v>
      </c>
      <c r="I174" t="s">
        <v>1935</v>
      </c>
      <c r="J174" t="s">
        <v>1936</v>
      </c>
      <c r="K174" s="8">
        <v>23</v>
      </c>
    </row>
    <row r="175" spans="1:11">
      <c r="A175" t="s">
        <v>2113</v>
      </c>
      <c r="B175" s="15">
        <v>45351</v>
      </c>
      <c r="C175" s="4">
        <v>45323</v>
      </c>
      <c r="D175" t="s">
        <v>44</v>
      </c>
      <c r="E175" t="s">
        <v>21</v>
      </c>
      <c r="F175" t="s">
        <v>46</v>
      </c>
      <c r="G175" t="s">
        <v>210</v>
      </c>
      <c r="H175" t="s">
        <v>11</v>
      </c>
      <c r="I175" t="s">
        <v>1935</v>
      </c>
      <c r="J175" t="s">
        <v>1936</v>
      </c>
      <c r="K175" s="8">
        <v>24</v>
      </c>
    </row>
    <row r="176" spans="1:11">
      <c r="A176" t="s">
        <v>2114</v>
      </c>
      <c r="B176" s="15">
        <v>45335</v>
      </c>
      <c r="C176" s="4">
        <v>45323</v>
      </c>
      <c r="D176" t="s">
        <v>44</v>
      </c>
      <c r="E176" t="s">
        <v>21</v>
      </c>
      <c r="F176" t="s">
        <v>46</v>
      </c>
      <c r="G176" t="s">
        <v>210</v>
      </c>
      <c r="H176" t="s">
        <v>8</v>
      </c>
      <c r="I176" t="s">
        <v>1935</v>
      </c>
      <c r="J176" t="s">
        <v>1936</v>
      </c>
      <c r="K176" s="8">
        <v>13</v>
      </c>
    </row>
    <row r="177" spans="1:11">
      <c r="A177" t="s">
        <v>2115</v>
      </c>
      <c r="B177" s="15">
        <v>45347</v>
      </c>
      <c r="C177" s="4">
        <v>45323</v>
      </c>
      <c r="D177" t="s">
        <v>44</v>
      </c>
      <c r="E177" t="s">
        <v>21</v>
      </c>
      <c r="F177" t="s">
        <v>46</v>
      </c>
      <c r="G177" t="s">
        <v>198</v>
      </c>
      <c r="H177" t="s">
        <v>14</v>
      </c>
      <c r="I177" t="s">
        <v>1935</v>
      </c>
      <c r="J177" t="s">
        <v>1936</v>
      </c>
      <c r="K177" s="8">
        <v>8</v>
      </c>
    </row>
    <row r="178" spans="1:11">
      <c r="A178" t="s">
        <v>2116</v>
      </c>
      <c r="B178" s="15">
        <v>45325</v>
      </c>
      <c r="C178" s="4">
        <v>45323</v>
      </c>
      <c r="D178" t="s">
        <v>44</v>
      </c>
      <c r="E178" t="s">
        <v>21</v>
      </c>
      <c r="F178" t="s">
        <v>46</v>
      </c>
      <c r="G178" t="s">
        <v>192</v>
      </c>
      <c r="H178" t="s">
        <v>8</v>
      </c>
      <c r="I178" t="s">
        <v>1935</v>
      </c>
      <c r="J178" t="s">
        <v>1936</v>
      </c>
      <c r="K178" s="8">
        <v>13</v>
      </c>
    </row>
    <row r="179" spans="1:11">
      <c r="A179" t="s">
        <v>2117</v>
      </c>
      <c r="B179" s="15">
        <v>45340</v>
      </c>
      <c r="C179" s="4">
        <v>45323</v>
      </c>
      <c r="D179" t="s">
        <v>44</v>
      </c>
      <c r="E179" t="s">
        <v>21</v>
      </c>
      <c r="F179" t="s">
        <v>46</v>
      </c>
      <c r="G179" t="s">
        <v>168</v>
      </c>
      <c r="H179" t="s">
        <v>5</v>
      </c>
      <c r="I179" t="s">
        <v>1935</v>
      </c>
      <c r="J179" t="s">
        <v>1936</v>
      </c>
      <c r="K179" s="8">
        <v>27</v>
      </c>
    </row>
    <row r="180" spans="1:11">
      <c r="A180" t="s">
        <v>2118</v>
      </c>
      <c r="B180" s="15">
        <v>45344</v>
      </c>
      <c r="C180" s="4">
        <v>45323</v>
      </c>
      <c r="D180" t="s">
        <v>44</v>
      </c>
      <c r="E180" t="s">
        <v>21</v>
      </c>
      <c r="F180" t="s">
        <v>46</v>
      </c>
      <c r="G180" t="s">
        <v>210</v>
      </c>
      <c r="H180" t="s">
        <v>8</v>
      </c>
      <c r="I180" t="s">
        <v>1935</v>
      </c>
      <c r="J180" t="s">
        <v>1936</v>
      </c>
      <c r="K180" s="8">
        <v>28</v>
      </c>
    </row>
    <row r="181" spans="1:11">
      <c r="A181" t="s">
        <v>2119</v>
      </c>
      <c r="B181" s="15">
        <v>45334</v>
      </c>
      <c r="C181" s="4">
        <v>45323</v>
      </c>
      <c r="D181" t="s">
        <v>44</v>
      </c>
      <c r="E181" t="s">
        <v>21</v>
      </c>
      <c r="F181" t="s">
        <v>46</v>
      </c>
      <c r="G181" t="s">
        <v>216</v>
      </c>
      <c r="H181" t="s">
        <v>14</v>
      </c>
      <c r="I181" t="s">
        <v>1995</v>
      </c>
      <c r="J181" t="s">
        <v>1936</v>
      </c>
      <c r="K181" s="8">
        <v>7</v>
      </c>
    </row>
    <row r="182" spans="1:11">
      <c r="A182" t="s">
        <v>2120</v>
      </c>
      <c r="B182" s="15">
        <v>45330</v>
      </c>
      <c r="C182" s="4">
        <v>45323</v>
      </c>
      <c r="D182" t="s">
        <v>44</v>
      </c>
      <c r="E182" t="s">
        <v>21</v>
      </c>
      <c r="F182" t="s">
        <v>46</v>
      </c>
      <c r="G182" t="s">
        <v>234</v>
      </c>
      <c r="H182" t="s">
        <v>5</v>
      </c>
      <c r="I182" t="s">
        <v>1935</v>
      </c>
      <c r="J182" t="s">
        <v>1936</v>
      </c>
      <c r="K182" s="8">
        <v>9</v>
      </c>
    </row>
    <row r="183" spans="1:11">
      <c r="A183" t="s">
        <v>2121</v>
      </c>
      <c r="B183" s="15">
        <v>45333</v>
      </c>
      <c r="C183" s="4">
        <v>45323</v>
      </c>
      <c r="D183" t="s">
        <v>44</v>
      </c>
      <c r="E183" t="s">
        <v>21</v>
      </c>
      <c r="F183" t="s">
        <v>46</v>
      </c>
      <c r="G183" t="s">
        <v>216</v>
      </c>
      <c r="H183" t="s">
        <v>14</v>
      </c>
      <c r="I183" t="s">
        <v>1942</v>
      </c>
      <c r="J183" t="s">
        <v>1938</v>
      </c>
      <c r="K183" s="8">
        <v>7</v>
      </c>
    </row>
    <row r="184" spans="1:11">
      <c r="A184" t="s">
        <v>2122</v>
      </c>
      <c r="B184" s="15">
        <v>45330</v>
      </c>
      <c r="C184" s="4">
        <v>45323</v>
      </c>
      <c r="D184" t="s">
        <v>47</v>
      </c>
      <c r="E184" t="s">
        <v>21</v>
      </c>
      <c r="F184" t="s">
        <v>49</v>
      </c>
      <c r="G184" t="s">
        <v>236</v>
      </c>
      <c r="H184" t="s">
        <v>11</v>
      </c>
      <c r="I184" t="s">
        <v>1935</v>
      </c>
      <c r="J184" t="s">
        <v>1954</v>
      </c>
      <c r="K184" s="8">
        <v>13</v>
      </c>
    </row>
    <row r="185" spans="1:11">
      <c r="A185" t="s">
        <v>2123</v>
      </c>
      <c r="B185" s="15">
        <v>45345</v>
      </c>
      <c r="C185" s="4">
        <v>45323</v>
      </c>
      <c r="D185" t="s">
        <v>47</v>
      </c>
      <c r="E185" t="s">
        <v>21</v>
      </c>
      <c r="F185" t="s">
        <v>49</v>
      </c>
      <c r="G185" t="s">
        <v>212</v>
      </c>
      <c r="H185" t="s">
        <v>14</v>
      </c>
      <c r="I185" t="s">
        <v>1935</v>
      </c>
      <c r="J185" t="s">
        <v>1936</v>
      </c>
      <c r="K185" s="8">
        <v>21</v>
      </c>
    </row>
    <row r="186" spans="1:11">
      <c r="A186" t="s">
        <v>2124</v>
      </c>
      <c r="B186" s="15">
        <v>45343</v>
      </c>
      <c r="C186" s="4">
        <v>45323</v>
      </c>
      <c r="D186" t="s">
        <v>47</v>
      </c>
      <c r="E186" t="s">
        <v>21</v>
      </c>
      <c r="F186" t="s">
        <v>49</v>
      </c>
      <c r="G186" t="s">
        <v>236</v>
      </c>
      <c r="H186" t="s">
        <v>5</v>
      </c>
      <c r="I186" t="s">
        <v>1935</v>
      </c>
      <c r="J186" t="s">
        <v>1936</v>
      </c>
      <c r="K186" s="8">
        <v>24</v>
      </c>
    </row>
    <row r="187" spans="1:11">
      <c r="A187" t="s">
        <v>2125</v>
      </c>
      <c r="B187" s="15">
        <v>45335</v>
      </c>
      <c r="C187" s="4">
        <v>45323</v>
      </c>
      <c r="D187" t="s">
        <v>47</v>
      </c>
      <c r="E187" t="s">
        <v>21</v>
      </c>
      <c r="F187" t="s">
        <v>49</v>
      </c>
      <c r="G187" t="s">
        <v>230</v>
      </c>
      <c r="H187" t="s">
        <v>5</v>
      </c>
      <c r="I187" t="s">
        <v>1935</v>
      </c>
      <c r="J187" t="s">
        <v>1938</v>
      </c>
      <c r="K187" s="8">
        <v>8</v>
      </c>
    </row>
    <row r="188" spans="1:11">
      <c r="A188" t="s">
        <v>2126</v>
      </c>
      <c r="B188" s="15">
        <v>45337</v>
      </c>
      <c r="C188" s="4">
        <v>45323</v>
      </c>
      <c r="D188" t="s">
        <v>47</v>
      </c>
      <c r="E188" t="s">
        <v>21</v>
      </c>
      <c r="F188" t="s">
        <v>49</v>
      </c>
      <c r="G188" t="s">
        <v>236</v>
      </c>
      <c r="H188" t="s">
        <v>14</v>
      </c>
      <c r="I188" t="s">
        <v>1935</v>
      </c>
      <c r="J188" t="s">
        <v>1936</v>
      </c>
      <c r="K188" s="8">
        <v>22</v>
      </c>
    </row>
    <row r="189" spans="1:11">
      <c r="A189" t="s">
        <v>2127</v>
      </c>
      <c r="B189" s="15">
        <v>45328</v>
      </c>
      <c r="C189" s="4">
        <v>45323</v>
      </c>
      <c r="D189" t="s">
        <v>47</v>
      </c>
      <c r="E189" t="s">
        <v>21</v>
      </c>
      <c r="F189" t="s">
        <v>49</v>
      </c>
      <c r="G189" t="s">
        <v>188</v>
      </c>
      <c r="H189" t="s">
        <v>14</v>
      </c>
      <c r="I189" t="s">
        <v>1935</v>
      </c>
      <c r="J189" t="s">
        <v>1936</v>
      </c>
      <c r="K189" s="8">
        <v>31</v>
      </c>
    </row>
    <row r="190" spans="1:11">
      <c r="A190" t="s">
        <v>2128</v>
      </c>
      <c r="B190" s="15">
        <v>45339</v>
      </c>
      <c r="C190" s="4">
        <v>45323</v>
      </c>
      <c r="D190" t="s">
        <v>47</v>
      </c>
      <c r="E190" t="s">
        <v>21</v>
      </c>
      <c r="F190" t="s">
        <v>49</v>
      </c>
      <c r="G190" t="s">
        <v>182</v>
      </c>
      <c r="H190" t="s">
        <v>11</v>
      </c>
      <c r="I190" t="s">
        <v>1935</v>
      </c>
      <c r="J190" t="s">
        <v>1936</v>
      </c>
      <c r="K190" s="8">
        <v>23</v>
      </c>
    </row>
    <row r="191" spans="1:11">
      <c r="A191" t="s">
        <v>2129</v>
      </c>
      <c r="B191" s="15">
        <v>45350</v>
      </c>
      <c r="C191" s="4">
        <v>45323</v>
      </c>
      <c r="D191" t="s">
        <v>47</v>
      </c>
      <c r="E191" t="s">
        <v>21</v>
      </c>
      <c r="F191" t="s">
        <v>49</v>
      </c>
      <c r="G191" t="s">
        <v>206</v>
      </c>
      <c r="H191" t="s">
        <v>14</v>
      </c>
      <c r="I191" t="s">
        <v>1935</v>
      </c>
      <c r="J191" t="s">
        <v>1936</v>
      </c>
      <c r="K191" s="8">
        <v>32</v>
      </c>
    </row>
    <row r="192" spans="1:11">
      <c r="A192" t="s">
        <v>2130</v>
      </c>
      <c r="B192" s="15">
        <v>45324</v>
      </c>
      <c r="C192" s="4">
        <v>45323</v>
      </c>
      <c r="D192" t="s">
        <v>47</v>
      </c>
      <c r="E192" t="s">
        <v>21</v>
      </c>
      <c r="F192" t="s">
        <v>49</v>
      </c>
      <c r="G192" t="s">
        <v>212</v>
      </c>
      <c r="H192" t="s">
        <v>14</v>
      </c>
      <c r="I192" t="s">
        <v>1935</v>
      </c>
      <c r="J192" t="s">
        <v>1938</v>
      </c>
      <c r="K192" s="8">
        <v>26</v>
      </c>
    </row>
    <row r="193" spans="1:11">
      <c r="A193" t="s">
        <v>2131</v>
      </c>
      <c r="B193" s="15">
        <v>45330</v>
      </c>
      <c r="C193" s="4">
        <v>45323</v>
      </c>
      <c r="D193" t="s">
        <v>50</v>
      </c>
      <c r="E193" t="s">
        <v>23</v>
      </c>
      <c r="F193" t="s">
        <v>52</v>
      </c>
      <c r="G193" t="s">
        <v>238</v>
      </c>
      <c r="H193" t="s">
        <v>8</v>
      </c>
      <c r="I193" t="s">
        <v>1942</v>
      </c>
      <c r="J193" t="s">
        <v>1936</v>
      </c>
      <c r="K193" s="8">
        <v>0</v>
      </c>
    </row>
    <row r="194" spans="1:11">
      <c r="A194" t="s">
        <v>2132</v>
      </c>
      <c r="B194" s="15">
        <v>45331</v>
      </c>
      <c r="C194" s="4">
        <v>45323</v>
      </c>
      <c r="D194" t="s">
        <v>50</v>
      </c>
      <c r="E194" t="s">
        <v>23</v>
      </c>
      <c r="F194" t="s">
        <v>52</v>
      </c>
      <c r="G194" t="s">
        <v>280</v>
      </c>
      <c r="H194" t="s">
        <v>11</v>
      </c>
      <c r="I194" t="s">
        <v>1935</v>
      </c>
      <c r="J194" t="s">
        <v>1936</v>
      </c>
      <c r="K194" s="8">
        <v>22</v>
      </c>
    </row>
    <row r="195" spans="1:11">
      <c r="A195" t="s">
        <v>2133</v>
      </c>
      <c r="B195" s="15">
        <v>45334</v>
      </c>
      <c r="C195" s="4">
        <v>45323</v>
      </c>
      <c r="D195" t="s">
        <v>50</v>
      </c>
      <c r="E195" t="s">
        <v>23</v>
      </c>
      <c r="F195" t="s">
        <v>52</v>
      </c>
      <c r="G195" t="s">
        <v>262</v>
      </c>
      <c r="H195" t="s">
        <v>14</v>
      </c>
      <c r="I195" t="s">
        <v>1935</v>
      </c>
      <c r="J195" t="s">
        <v>1954</v>
      </c>
      <c r="K195" s="8">
        <v>18</v>
      </c>
    </row>
    <row r="196" spans="1:11">
      <c r="A196" t="s">
        <v>2134</v>
      </c>
      <c r="B196" s="15">
        <v>45338</v>
      </c>
      <c r="C196" s="4">
        <v>45323</v>
      </c>
      <c r="D196" t="s">
        <v>50</v>
      </c>
      <c r="E196" t="s">
        <v>23</v>
      </c>
      <c r="F196" t="s">
        <v>52</v>
      </c>
      <c r="G196" t="s">
        <v>274</v>
      </c>
      <c r="H196" t="s">
        <v>14</v>
      </c>
      <c r="I196" t="s">
        <v>1935</v>
      </c>
      <c r="J196" t="s">
        <v>1936</v>
      </c>
      <c r="K196" s="8">
        <v>31</v>
      </c>
    </row>
    <row r="197" spans="1:11">
      <c r="A197" t="s">
        <v>2135</v>
      </c>
      <c r="B197" s="15">
        <v>45335</v>
      </c>
      <c r="C197" s="4">
        <v>45323</v>
      </c>
      <c r="D197" t="s">
        <v>50</v>
      </c>
      <c r="E197" t="s">
        <v>23</v>
      </c>
      <c r="F197" t="s">
        <v>52</v>
      </c>
      <c r="G197" t="s">
        <v>262</v>
      </c>
      <c r="H197" t="s">
        <v>11</v>
      </c>
      <c r="I197" t="s">
        <v>1942</v>
      </c>
      <c r="J197" t="s">
        <v>1936</v>
      </c>
      <c r="K197" s="8">
        <v>3</v>
      </c>
    </row>
    <row r="198" spans="1:11">
      <c r="A198" t="s">
        <v>2136</v>
      </c>
      <c r="B198" s="15">
        <v>45332</v>
      </c>
      <c r="C198" s="4">
        <v>45323</v>
      </c>
      <c r="D198" t="s">
        <v>50</v>
      </c>
      <c r="E198" t="s">
        <v>23</v>
      </c>
      <c r="F198" t="s">
        <v>52</v>
      </c>
      <c r="G198" t="s">
        <v>274</v>
      </c>
      <c r="H198" t="s">
        <v>11</v>
      </c>
      <c r="I198" t="s">
        <v>1935</v>
      </c>
      <c r="J198" t="s">
        <v>1938</v>
      </c>
      <c r="K198" s="8">
        <v>20</v>
      </c>
    </row>
    <row r="199" spans="1:11">
      <c r="A199" t="s">
        <v>2137</v>
      </c>
      <c r="B199" s="15">
        <v>45340</v>
      </c>
      <c r="C199" s="4">
        <v>45323</v>
      </c>
      <c r="D199" t="s">
        <v>50</v>
      </c>
      <c r="E199" t="s">
        <v>23</v>
      </c>
      <c r="F199" t="s">
        <v>52</v>
      </c>
      <c r="G199" t="s">
        <v>292</v>
      </c>
      <c r="H199" t="s">
        <v>14</v>
      </c>
      <c r="I199" t="s">
        <v>1935</v>
      </c>
      <c r="J199" t="s">
        <v>1936</v>
      </c>
      <c r="K199" s="8">
        <v>12</v>
      </c>
    </row>
    <row r="200" spans="1:11">
      <c r="A200" t="s">
        <v>2138</v>
      </c>
      <c r="B200" s="15">
        <v>45329</v>
      </c>
      <c r="C200" s="4">
        <v>45323</v>
      </c>
      <c r="D200" t="s">
        <v>50</v>
      </c>
      <c r="E200" t="s">
        <v>23</v>
      </c>
      <c r="F200" t="s">
        <v>52</v>
      </c>
      <c r="G200" t="s">
        <v>298</v>
      </c>
      <c r="H200" t="s">
        <v>5</v>
      </c>
      <c r="I200" t="s">
        <v>1935</v>
      </c>
      <c r="J200" t="s">
        <v>1936</v>
      </c>
      <c r="K200" s="8">
        <v>31</v>
      </c>
    </row>
    <row r="201" spans="1:11">
      <c r="A201" t="s">
        <v>2139</v>
      </c>
      <c r="B201" s="15">
        <v>45345</v>
      </c>
      <c r="C201" s="4">
        <v>45323</v>
      </c>
      <c r="D201" t="s">
        <v>50</v>
      </c>
      <c r="E201" t="s">
        <v>23</v>
      </c>
      <c r="F201" t="s">
        <v>52</v>
      </c>
      <c r="G201" t="s">
        <v>244</v>
      </c>
      <c r="H201" t="s">
        <v>11</v>
      </c>
      <c r="I201" t="s">
        <v>1935</v>
      </c>
      <c r="J201" t="s">
        <v>1936</v>
      </c>
      <c r="K201" s="8">
        <v>16</v>
      </c>
    </row>
    <row r="202" spans="1:11">
      <c r="A202" t="s">
        <v>2140</v>
      </c>
      <c r="B202" s="15">
        <v>45330</v>
      </c>
      <c r="C202" s="4">
        <v>45323</v>
      </c>
      <c r="D202" t="s">
        <v>50</v>
      </c>
      <c r="E202" t="s">
        <v>23</v>
      </c>
      <c r="F202" t="s">
        <v>52</v>
      </c>
      <c r="G202" t="s">
        <v>268</v>
      </c>
      <c r="H202" t="s">
        <v>8</v>
      </c>
      <c r="I202" t="s">
        <v>1935</v>
      </c>
      <c r="J202" t="s">
        <v>1954</v>
      </c>
      <c r="K202" s="8">
        <v>31</v>
      </c>
    </row>
    <row r="203" spans="1:11">
      <c r="A203" t="s">
        <v>2141</v>
      </c>
      <c r="B203" s="15">
        <v>45336</v>
      </c>
      <c r="C203" s="4">
        <v>45323</v>
      </c>
      <c r="D203" t="s">
        <v>53</v>
      </c>
      <c r="E203" t="s">
        <v>23</v>
      </c>
      <c r="F203" t="s">
        <v>55</v>
      </c>
      <c r="G203" t="s">
        <v>252</v>
      </c>
      <c r="H203" t="s">
        <v>5</v>
      </c>
      <c r="I203" t="s">
        <v>1935</v>
      </c>
      <c r="J203" t="s">
        <v>1936</v>
      </c>
      <c r="K203" s="8">
        <v>10</v>
      </c>
    </row>
    <row r="204" spans="1:11">
      <c r="A204" t="s">
        <v>2142</v>
      </c>
      <c r="B204" s="15">
        <v>45344</v>
      </c>
      <c r="C204" s="4">
        <v>45323</v>
      </c>
      <c r="D204" t="s">
        <v>53</v>
      </c>
      <c r="E204" t="s">
        <v>23</v>
      </c>
      <c r="F204" t="s">
        <v>55</v>
      </c>
      <c r="G204" t="s">
        <v>276</v>
      </c>
      <c r="H204" t="s">
        <v>14</v>
      </c>
      <c r="I204" t="s">
        <v>1935</v>
      </c>
      <c r="J204" t="s">
        <v>1936</v>
      </c>
      <c r="K204" s="8">
        <v>21</v>
      </c>
    </row>
    <row r="205" spans="1:11">
      <c r="A205" t="s">
        <v>2143</v>
      </c>
      <c r="B205" s="15">
        <v>45327</v>
      </c>
      <c r="C205" s="4">
        <v>45323</v>
      </c>
      <c r="D205" t="s">
        <v>53</v>
      </c>
      <c r="E205" t="s">
        <v>23</v>
      </c>
      <c r="F205" t="s">
        <v>55</v>
      </c>
      <c r="G205" t="s">
        <v>276</v>
      </c>
      <c r="H205" t="s">
        <v>14</v>
      </c>
      <c r="I205" t="s">
        <v>1935</v>
      </c>
      <c r="J205" t="s">
        <v>1936</v>
      </c>
      <c r="K205" s="8">
        <v>31</v>
      </c>
    </row>
    <row r="206" spans="1:11">
      <c r="A206" t="s">
        <v>2144</v>
      </c>
      <c r="B206" s="15">
        <v>45340</v>
      </c>
      <c r="C206" s="4">
        <v>45323</v>
      </c>
      <c r="D206" t="s">
        <v>53</v>
      </c>
      <c r="E206" t="s">
        <v>23</v>
      </c>
      <c r="F206" t="s">
        <v>55</v>
      </c>
      <c r="G206" t="s">
        <v>294</v>
      </c>
      <c r="H206" t="s">
        <v>8</v>
      </c>
      <c r="I206" t="s">
        <v>1935</v>
      </c>
      <c r="J206" t="s">
        <v>1936</v>
      </c>
      <c r="K206" s="8">
        <v>21</v>
      </c>
    </row>
    <row r="207" spans="1:11">
      <c r="A207" t="s">
        <v>2145</v>
      </c>
      <c r="B207" s="15">
        <v>45331</v>
      </c>
      <c r="C207" s="4">
        <v>45323</v>
      </c>
      <c r="D207" t="s">
        <v>53</v>
      </c>
      <c r="E207" t="s">
        <v>23</v>
      </c>
      <c r="F207" t="s">
        <v>55</v>
      </c>
      <c r="G207" t="s">
        <v>252</v>
      </c>
      <c r="H207" t="s">
        <v>5</v>
      </c>
      <c r="I207" t="s">
        <v>1935</v>
      </c>
      <c r="J207" t="s">
        <v>1936</v>
      </c>
      <c r="K207" s="8">
        <v>28</v>
      </c>
    </row>
    <row r="208" spans="1:11">
      <c r="A208" t="s">
        <v>2146</v>
      </c>
      <c r="B208" s="15">
        <v>45330</v>
      </c>
      <c r="C208" s="4">
        <v>45323</v>
      </c>
      <c r="D208" t="s">
        <v>53</v>
      </c>
      <c r="E208" t="s">
        <v>23</v>
      </c>
      <c r="F208" t="s">
        <v>55</v>
      </c>
      <c r="G208" t="s">
        <v>294</v>
      </c>
      <c r="H208" t="s">
        <v>8</v>
      </c>
      <c r="I208" t="s">
        <v>1935</v>
      </c>
      <c r="J208" t="s">
        <v>1938</v>
      </c>
      <c r="K208" s="8">
        <v>26</v>
      </c>
    </row>
    <row r="209" spans="1:11">
      <c r="A209" t="s">
        <v>2147</v>
      </c>
      <c r="B209" s="15">
        <v>45331</v>
      </c>
      <c r="C209" s="4">
        <v>45323</v>
      </c>
      <c r="D209" t="s">
        <v>53</v>
      </c>
      <c r="E209" t="s">
        <v>23</v>
      </c>
      <c r="F209" t="s">
        <v>55</v>
      </c>
      <c r="G209" t="s">
        <v>312</v>
      </c>
      <c r="H209" t="s">
        <v>5</v>
      </c>
      <c r="I209" t="s">
        <v>1935</v>
      </c>
      <c r="J209" t="s">
        <v>1936</v>
      </c>
      <c r="K209" s="8">
        <v>15</v>
      </c>
    </row>
    <row r="210" spans="1:11">
      <c r="A210" t="s">
        <v>2148</v>
      </c>
      <c r="B210" s="15">
        <v>45344</v>
      </c>
      <c r="C210" s="4">
        <v>45323</v>
      </c>
      <c r="D210" t="s">
        <v>53</v>
      </c>
      <c r="E210" t="s">
        <v>23</v>
      </c>
      <c r="F210" t="s">
        <v>55</v>
      </c>
      <c r="G210" t="s">
        <v>276</v>
      </c>
      <c r="H210" t="s">
        <v>11</v>
      </c>
      <c r="I210" t="s">
        <v>1935</v>
      </c>
      <c r="J210" t="s">
        <v>1938</v>
      </c>
      <c r="K210" s="8">
        <v>19</v>
      </c>
    </row>
    <row r="211" spans="1:11">
      <c r="A211" t="s">
        <v>2149</v>
      </c>
      <c r="B211" s="15">
        <v>45326</v>
      </c>
      <c r="C211" s="4">
        <v>45323</v>
      </c>
      <c r="D211" t="s">
        <v>53</v>
      </c>
      <c r="E211" t="s">
        <v>23</v>
      </c>
      <c r="F211" t="s">
        <v>55</v>
      </c>
      <c r="G211" t="s">
        <v>300</v>
      </c>
      <c r="H211" t="s">
        <v>5</v>
      </c>
      <c r="I211" t="s">
        <v>1935</v>
      </c>
      <c r="J211" t="s">
        <v>1938</v>
      </c>
      <c r="K211" s="8">
        <v>32</v>
      </c>
    </row>
    <row r="212" spans="1:11">
      <c r="A212" t="s">
        <v>2150</v>
      </c>
      <c r="B212" s="15">
        <v>45326</v>
      </c>
      <c r="C212" s="4">
        <v>45323</v>
      </c>
      <c r="D212" t="s">
        <v>53</v>
      </c>
      <c r="E212" t="s">
        <v>23</v>
      </c>
      <c r="F212" t="s">
        <v>55</v>
      </c>
      <c r="G212" t="s">
        <v>300</v>
      </c>
      <c r="H212" t="s">
        <v>14</v>
      </c>
      <c r="I212" t="s">
        <v>1935</v>
      </c>
      <c r="J212" t="s">
        <v>1936</v>
      </c>
      <c r="K212" s="8">
        <v>23</v>
      </c>
    </row>
    <row r="213" spans="1:11">
      <c r="A213" t="s">
        <v>2151</v>
      </c>
      <c r="B213" s="15">
        <v>45346</v>
      </c>
      <c r="C213" s="4">
        <v>45323</v>
      </c>
      <c r="D213" t="s">
        <v>53</v>
      </c>
      <c r="E213" t="s">
        <v>23</v>
      </c>
      <c r="F213" t="s">
        <v>55</v>
      </c>
      <c r="G213" t="s">
        <v>252</v>
      </c>
      <c r="H213" t="s">
        <v>5</v>
      </c>
      <c r="I213" t="s">
        <v>1935</v>
      </c>
      <c r="J213" t="s">
        <v>1954</v>
      </c>
      <c r="K213" s="8">
        <v>12</v>
      </c>
    </row>
    <row r="214" spans="1:11">
      <c r="A214" t="s">
        <v>2152</v>
      </c>
      <c r="B214" s="15">
        <v>45337</v>
      </c>
      <c r="C214" s="4">
        <v>45323</v>
      </c>
      <c r="D214" t="s">
        <v>53</v>
      </c>
      <c r="E214" t="s">
        <v>23</v>
      </c>
      <c r="F214" t="s">
        <v>55</v>
      </c>
      <c r="G214" t="s">
        <v>312</v>
      </c>
      <c r="H214" t="s">
        <v>11</v>
      </c>
      <c r="I214" t="s">
        <v>1935</v>
      </c>
      <c r="J214" t="s">
        <v>1936</v>
      </c>
      <c r="K214" s="8">
        <v>22</v>
      </c>
    </row>
    <row r="215" spans="1:11">
      <c r="A215" t="s">
        <v>2153</v>
      </c>
      <c r="B215" s="15">
        <v>45347</v>
      </c>
      <c r="C215" s="4">
        <v>45323</v>
      </c>
      <c r="D215" t="s">
        <v>53</v>
      </c>
      <c r="E215" t="s">
        <v>23</v>
      </c>
      <c r="F215" t="s">
        <v>55</v>
      </c>
      <c r="G215" t="s">
        <v>270</v>
      </c>
      <c r="H215" t="s">
        <v>8</v>
      </c>
      <c r="I215" t="s">
        <v>1935</v>
      </c>
      <c r="J215" t="s">
        <v>1936</v>
      </c>
      <c r="K215" s="8">
        <v>23</v>
      </c>
    </row>
    <row r="216" spans="1:11">
      <c r="A216" t="s">
        <v>2154</v>
      </c>
      <c r="B216" s="15">
        <v>45337</v>
      </c>
      <c r="C216" s="4">
        <v>45323</v>
      </c>
      <c r="D216" t="s">
        <v>53</v>
      </c>
      <c r="E216" t="s">
        <v>23</v>
      </c>
      <c r="F216" t="s">
        <v>55</v>
      </c>
      <c r="G216" t="s">
        <v>264</v>
      </c>
      <c r="H216" t="s">
        <v>14</v>
      </c>
      <c r="I216" t="s">
        <v>1935</v>
      </c>
      <c r="J216" t="s">
        <v>1938</v>
      </c>
      <c r="K216" s="8">
        <v>31</v>
      </c>
    </row>
    <row r="217" spans="1:11">
      <c r="A217" t="s">
        <v>2155</v>
      </c>
      <c r="B217" s="15">
        <v>45331</v>
      </c>
      <c r="C217" s="4">
        <v>45323</v>
      </c>
      <c r="D217" t="s">
        <v>56</v>
      </c>
      <c r="E217" t="s">
        <v>23</v>
      </c>
      <c r="F217" t="s">
        <v>58</v>
      </c>
      <c r="G217" t="s">
        <v>248</v>
      </c>
      <c r="H217" t="s">
        <v>11</v>
      </c>
      <c r="I217" t="s">
        <v>1935</v>
      </c>
      <c r="J217" t="s">
        <v>1936</v>
      </c>
      <c r="K217" s="8">
        <v>21</v>
      </c>
    </row>
    <row r="218" spans="1:11">
      <c r="A218" t="s">
        <v>2156</v>
      </c>
      <c r="B218" s="15">
        <v>45342</v>
      </c>
      <c r="C218" s="4">
        <v>45323</v>
      </c>
      <c r="D218" t="s">
        <v>56</v>
      </c>
      <c r="E218" t="s">
        <v>23</v>
      </c>
      <c r="F218" t="s">
        <v>58</v>
      </c>
      <c r="G218" t="s">
        <v>254</v>
      </c>
      <c r="H218" t="s">
        <v>5</v>
      </c>
      <c r="I218" t="s">
        <v>1935</v>
      </c>
      <c r="J218" t="s">
        <v>1954</v>
      </c>
      <c r="K218" s="8">
        <v>25</v>
      </c>
    </row>
    <row r="219" spans="1:11">
      <c r="A219" t="s">
        <v>2157</v>
      </c>
      <c r="B219" s="15">
        <v>45331</v>
      </c>
      <c r="C219" s="4">
        <v>45323</v>
      </c>
      <c r="D219" t="s">
        <v>56</v>
      </c>
      <c r="E219" t="s">
        <v>23</v>
      </c>
      <c r="F219" t="s">
        <v>58</v>
      </c>
      <c r="G219" t="s">
        <v>260</v>
      </c>
      <c r="H219" t="s">
        <v>14</v>
      </c>
      <c r="I219" t="s">
        <v>1935</v>
      </c>
      <c r="J219" t="s">
        <v>1938</v>
      </c>
      <c r="K219" s="8">
        <v>17</v>
      </c>
    </row>
    <row r="220" spans="1:11">
      <c r="A220" t="s">
        <v>2158</v>
      </c>
      <c r="B220" s="15">
        <v>45338</v>
      </c>
      <c r="C220" s="4">
        <v>45323</v>
      </c>
      <c r="D220" t="s">
        <v>56</v>
      </c>
      <c r="E220" t="s">
        <v>23</v>
      </c>
      <c r="F220" t="s">
        <v>58</v>
      </c>
      <c r="G220" t="s">
        <v>242</v>
      </c>
      <c r="H220" t="s">
        <v>8</v>
      </c>
      <c r="I220" t="s">
        <v>1935</v>
      </c>
      <c r="J220" t="s">
        <v>1954</v>
      </c>
      <c r="K220" s="8">
        <v>35</v>
      </c>
    </row>
    <row r="221" spans="1:11">
      <c r="A221" t="s">
        <v>2159</v>
      </c>
      <c r="B221" s="15">
        <v>45347</v>
      </c>
      <c r="C221" s="4">
        <v>45323</v>
      </c>
      <c r="D221" t="s">
        <v>56</v>
      </c>
      <c r="E221" t="s">
        <v>23</v>
      </c>
      <c r="F221" t="s">
        <v>58</v>
      </c>
      <c r="G221" t="s">
        <v>290</v>
      </c>
      <c r="H221" t="s">
        <v>8</v>
      </c>
      <c r="I221" t="s">
        <v>1935</v>
      </c>
      <c r="J221" t="s">
        <v>1936</v>
      </c>
      <c r="K221" s="8">
        <v>24</v>
      </c>
    </row>
    <row r="222" spans="1:11">
      <c r="A222" t="s">
        <v>2160</v>
      </c>
      <c r="B222" s="15">
        <v>45342</v>
      </c>
      <c r="C222" s="4">
        <v>45323</v>
      </c>
      <c r="D222" t="s">
        <v>56</v>
      </c>
      <c r="E222" t="s">
        <v>23</v>
      </c>
      <c r="F222" t="s">
        <v>58</v>
      </c>
      <c r="G222" t="s">
        <v>260</v>
      </c>
      <c r="H222" t="s">
        <v>11</v>
      </c>
      <c r="I222" t="s">
        <v>1935</v>
      </c>
      <c r="J222" t="s">
        <v>1936</v>
      </c>
      <c r="K222" s="8">
        <v>24</v>
      </c>
    </row>
    <row r="223" spans="1:11">
      <c r="A223" t="s">
        <v>2161</v>
      </c>
      <c r="B223" s="15">
        <v>45338</v>
      </c>
      <c r="C223" s="4">
        <v>45323</v>
      </c>
      <c r="D223" t="s">
        <v>56</v>
      </c>
      <c r="E223" t="s">
        <v>23</v>
      </c>
      <c r="F223" t="s">
        <v>58</v>
      </c>
      <c r="G223" t="s">
        <v>308</v>
      </c>
      <c r="H223" t="s">
        <v>11</v>
      </c>
      <c r="I223" t="s">
        <v>1942</v>
      </c>
      <c r="J223" t="s">
        <v>1936</v>
      </c>
      <c r="K223" s="8">
        <v>0</v>
      </c>
    </row>
    <row r="224" spans="1:11">
      <c r="A224" t="s">
        <v>2162</v>
      </c>
      <c r="B224" s="15">
        <v>45348</v>
      </c>
      <c r="C224" s="4">
        <v>45323</v>
      </c>
      <c r="D224" t="s">
        <v>56</v>
      </c>
      <c r="E224" t="s">
        <v>23</v>
      </c>
      <c r="F224" t="s">
        <v>58</v>
      </c>
      <c r="G224" t="s">
        <v>308</v>
      </c>
      <c r="H224" t="s">
        <v>11</v>
      </c>
      <c r="I224" t="s">
        <v>1935</v>
      </c>
      <c r="J224" t="s">
        <v>1936</v>
      </c>
      <c r="K224" s="8">
        <v>34</v>
      </c>
    </row>
    <row r="225" spans="1:11">
      <c r="A225" t="s">
        <v>2163</v>
      </c>
      <c r="B225" s="15">
        <v>45326</v>
      </c>
      <c r="C225" s="4">
        <v>45323</v>
      </c>
      <c r="D225" t="s">
        <v>56</v>
      </c>
      <c r="E225" t="s">
        <v>23</v>
      </c>
      <c r="F225" t="s">
        <v>58</v>
      </c>
      <c r="G225" t="s">
        <v>278</v>
      </c>
      <c r="H225" t="s">
        <v>8</v>
      </c>
      <c r="I225" t="s">
        <v>1935</v>
      </c>
      <c r="J225" t="s">
        <v>1936</v>
      </c>
      <c r="K225" s="8">
        <v>12</v>
      </c>
    </row>
    <row r="226" spans="1:11">
      <c r="A226" t="s">
        <v>2164</v>
      </c>
      <c r="B226" s="15">
        <v>45323</v>
      </c>
      <c r="C226" s="4">
        <v>45323</v>
      </c>
      <c r="D226" t="s">
        <v>59</v>
      </c>
      <c r="E226" t="s">
        <v>25</v>
      </c>
      <c r="F226" t="s">
        <v>61</v>
      </c>
      <c r="G226" t="s">
        <v>344</v>
      </c>
      <c r="H226" t="s">
        <v>8</v>
      </c>
      <c r="I226" t="s">
        <v>1935</v>
      </c>
      <c r="J226" t="s">
        <v>1936</v>
      </c>
      <c r="K226" s="8">
        <v>34</v>
      </c>
    </row>
    <row r="227" spans="1:11">
      <c r="A227" t="s">
        <v>2165</v>
      </c>
      <c r="B227" s="15">
        <v>45339</v>
      </c>
      <c r="C227" s="4">
        <v>45323</v>
      </c>
      <c r="D227" t="s">
        <v>59</v>
      </c>
      <c r="E227" t="s">
        <v>25</v>
      </c>
      <c r="F227" t="s">
        <v>61</v>
      </c>
      <c r="G227" t="s">
        <v>344</v>
      </c>
      <c r="H227" t="s">
        <v>8</v>
      </c>
      <c r="I227" t="s">
        <v>1935</v>
      </c>
      <c r="J227" t="s">
        <v>1954</v>
      </c>
      <c r="K227" s="8">
        <v>22</v>
      </c>
    </row>
    <row r="228" spans="1:11">
      <c r="A228" t="s">
        <v>2166</v>
      </c>
      <c r="B228" s="15">
        <v>45336</v>
      </c>
      <c r="C228" s="4">
        <v>45323</v>
      </c>
      <c r="D228" t="s">
        <v>59</v>
      </c>
      <c r="E228" t="s">
        <v>25</v>
      </c>
      <c r="F228" t="s">
        <v>61</v>
      </c>
      <c r="G228" t="s">
        <v>338</v>
      </c>
      <c r="H228" t="s">
        <v>14</v>
      </c>
      <c r="I228" t="s">
        <v>1935</v>
      </c>
      <c r="J228" t="s">
        <v>1936</v>
      </c>
      <c r="K228" s="8">
        <v>29</v>
      </c>
    </row>
    <row r="229" spans="1:11">
      <c r="A229" t="s">
        <v>2167</v>
      </c>
      <c r="B229" s="15">
        <v>45330</v>
      </c>
      <c r="C229" s="4">
        <v>45323</v>
      </c>
      <c r="D229" t="s">
        <v>59</v>
      </c>
      <c r="E229" t="s">
        <v>25</v>
      </c>
      <c r="F229" t="s">
        <v>61</v>
      </c>
      <c r="G229" t="s">
        <v>320</v>
      </c>
      <c r="H229" t="s">
        <v>11</v>
      </c>
      <c r="I229" t="s">
        <v>1935</v>
      </c>
      <c r="J229" t="s">
        <v>1936</v>
      </c>
      <c r="K229" s="8">
        <v>34</v>
      </c>
    </row>
    <row r="230" spans="1:11">
      <c r="A230" t="s">
        <v>2168</v>
      </c>
      <c r="B230" s="15">
        <v>45339</v>
      </c>
      <c r="C230" s="4">
        <v>45323</v>
      </c>
      <c r="D230" t="s">
        <v>59</v>
      </c>
      <c r="E230" t="s">
        <v>25</v>
      </c>
      <c r="F230" t="s">
        <v>61</v>
      </c>
      <c r="G230" t="s">
        <v>344</v>
      </c>
      <c r="H230" t="s">
        <v>8</v>
      </c>
      <c r="I230" t="s">
        <v>1935</v>
      </c>
      <c r="J230" t="s">
        <v>1936</v>
      </c>
      <c r="K230" s="8">
        <v>29</v>
      </c>
    </row>
    <row r="231" spans="1:11">
      <c r="A231" t="s">
        <v>2169</v>
      </c>
      <c r="B231" s="15">
        <v>45344</v>
      </c>
      <c r="C231" s="4">
        <v>45323</v>
      </c>
      <c r="D231" t="s">
        <v>59</v>
      </c>
      <c r="E231" t="s">
        <v>25</v>
      </c>
      <c r="F231" t="s">
        <v>61</v>
      </c>
      <c r="G231" t="s">
        <v>368</v>
      </c>
      <c r="H231" t="s">
        <v>14</v>
      </c>
      <c r="I231" t="s">
        <v>1935</v>
      </c>
      <c r="J231" t="s">
        <v>1954</v>
      </c>
      <c r="K231" s="8">
        <v>10</v>
      </c>
    </row>
    <row r="232" spans="1:11">
      <c r="A232" t="s">
        <v>2170</v>
      </c>
      <c r="B232" s="15">
        <v>45338</v>
      </c>
      <c r="C232" s="4">
        <v>45323</v>
      </c>
      <c r="D232" t="s">
        <v>59</v>
      </c>
      <c r="E232" t="s">
        <v>25</v>
      </c>
      <c r="F232" t="s">
        <v>61</v>
      </c>
      <c r="G232" t="s">
        <v>374</v>
      </c>
      <c r="H232" t="s">
        <v>8</v>
      </c>
      <c r="I232" t="s">
        <v>1935</v>
      </c>
      <c r="J232" t="s">
        <v>1938</v>
      </c>
      <c r="K232" s="8">
        <v>14</v>
      </c>
    </row>
    <row r="233" spans="1:11">
      <c r="A233" t="s">
        <v>2171</v>
      </c>
      <c r="B233" s="15">
        <v>45326</v>
      </c>
      <c r="C233" s="4">
        <v>45323</v>
      </c>
      <c r="D233" t="s">
        <v>59</v>
      </c>
      <c r="E233" t="s">
        <v>25</v>
      </c>
      <c r="F233" t="s">
        <v>61</v>
      </c>
      <c r="G233" t="s">
        <v>368</v>
      </c>
      <c r="H233" t="s">
        <v>14</v>
      </c>
      <c r="I233" t="s">
        <v>1935</v>
      </c>
      <c r="J233" t="s">
        <v>1936</v>
      </c>
      <c r="K233" s="8">
        <v>27</v>
      </c>
    </row>
    <row r="234" spans="1:11">
      <c r="A234" t="s">
        <v>2172</v>
      </c>
      <c r="B234" s="15">
        <v>45331</v>
      </c>
      <c r="C234" s="4">
        <v>45323</v>
      </c>
      <c r="D234" t="s">
        <v>59</v>
      </c>
      <c r="E234" t="s">
        <v>25</v>
      </c>
      <c r="F234" t="s">
        <v>61</v>
      </c>
      <c r="G234" t="s">
        <v>374</v>
      </c>
      <c r="H234" t="s">
        <v>8</v>
      </c>
      <c r="I234" t="s">
        <v>1935</v>
      </c>
      <c r="J234" t="s">
        <v>1938</v>
      </c>
      <c r="K234" s="8">
        <v>34</v>
      </c>
    </row>
    <row r="235" spans="1:11">
      <c r="A235" t="s">
        <v>2173</v>
      </c>
      <c r="B235" s="15">
        <v>45337</v>
      </c>
      <c r="C235" s="4">
        <v>45323</v>
      </c>
      <c r="D235" t="s">
        <v>59</v>
      </c>
      <c r="E235" t="s">
        <v>25</v>
      </c>
      <c r="F235" t="s">
        <v>61</v>
      </c>
      <c r="G235" t="s">
        <v>332</v>
      </c>
      <c r="H235" t="s">
        <v>8</v>
      </c>
      <c r="I235" t="s">
        <v>1935</v>
      </c>
      <c r="J235" t="s">
        <v>1936</v>
      </c>
      <c r="K235" s="8">
        <v>8</v>
      </c>
    </row>
    <row r="236" spans="1:11">
      <c r="A236" t="s">
        <v>2174</v>
      </c>
      <c r="B236" s="15">
        <v>45343</v>
      </c>
      <c r="C236" s="4">
        <v>45323</v>
      </c>
      <c r="D236" t="s">
        <v>59</v>
      </c>
      <c r="E236" t="s">
        <v>25</v>
      </c>
      <c r="F236" t="s">
        <v>61</v>
      </c>
      <c r="G236" t="s">
        <v>350</v>
      </c>
      <c r="H236" t="s">
        <v>5</v>
      </c>
      <c r="I236" t="s">
        <v>1935</v>
      </c>
      <c r="J236" t="s">
        <v>1954</v>
      </c>
      <c r="K236" s="8">
        <v>25</v>
      </c>
    </row>
    <row r="237" spans="1:11">
      <c r="A237" t="s">
        <v>2175</v>
      </c>
      <c r="B237" s="15">
        <v>45331</v>
      </c>
      <c r="C237" s="4">
        <v>45323</v>
      </c>
      <c r="D237" t="s">
        <v>59</v>
      </c>
      <c r="E237" t="s">
        <v>25</v>
      </c>
      <c r="F237" t="s">
        <v>61</v>
      </c>
      <c r="G237" t="s">
        <v>368</v>
      </c>
      <c r="H237" t="s">
        <v>11</v>
      </c>
      <c r="I237" t="s">
        <v>1935</v>
      </c>
      <c r="J237" t="s">
        <v>1936</v>
      </c>
      <c r="K237" s="8">
        <v>11</v>
      </c>
    </row>
    <row r="238" spans="1:11">
      <c r="A238" t="s">
        <v>2176</v>
      </c>
      <c r="B238" s="15">
        <v>45337</v>
      </c>
      <c r="C238" s="4">
        <v>45323</v>
      </c>
      <c r="D238" t="s">
        <v>62</v>
      </c>
      <c r="E238" t="s">
        <v>25</v>
      </c>
      <c r="F238" t="s">
        <v>64</v>
      </c>
      <c r="G238" t="s">
        <v>370</v>
      </c>
      <c r="H238" t="s">
        <v>11</v>
      </c>
      <c r="I238" t="s">
        <v>1935</v>
      </c>
      <c r="J238" t="s">
        <v>1938</v>
      </c>
      <c r="K238" s="8">
        <v>11</v>
      </c>
    </row>
    <row r="239" spans="1:11">
      <c r="A239" t="s">
        <v>2177</v>
      </c>
      <c r="B239" s="15">
        <v>45346</v>
      </c>
      <c r="C239" s="4">
        <v>45323</v>
      </c>
      <c r="D239" t="s">
        <v>62</v>
      </c>
      <c r="E239" t="s">
        <v>25</v>
      </c>
      <c r="F239" t="s">
        <v>64</v>
      </c>
      <c r="G239" t="s">
        <v>328</v>
      </c>
      <c r="H239" t="s">
        <v>5</v>
      </c>
      <c r="I239" t="s">
        <v>1935</v>
      </c>
      <c r="J239" t="s">
        <v>1938</v>
      </c>
      <c r="K239" s="8">
        <v>23</v>
      </c>
    </row>
    <row r="240" spans="1:11">
      <c r="A240" t="s">
        <v>2178</v>
      </c>
      <c r="B240" s="15">
        <v>45344</v>
      </c>
      <c r="C240" s="4">
        <v>45323</v>
      </c>
      <c r="D240" t="s">
        <v>62</v>
      </c>
      <c r="E240" t="s">
        <v>25</v>
      </c>
      <c r="F240" t="s">
        <v>64</v>
      </c>
      <c r="G240" t="s">
        <v>346</v>
      </c>
      <c r="H240" t="s">
        <v>5</v>
      </c>
      <c r="I240" t="s">
        <v>1935</v>
      </c>
      <c r="J240" t="s">
        <v>1936</v>
      </c>
      <c r="K240" s="8">
        <v>35</v>
      </c>
    </row>
    <row r="241" spans="1:11">
      <c r="A241" t="s">
        <v>2179</v>
      </c>
      <c r="B241" s="15">
        <v>45339</v>
      </c>
      <c r="C241" s="4">
        <v>45323</v>
      </c>
      <c r="D241" t="s">
        <v>62</v>
      </c>
      <c r="E241" t="s">
        <v>25</v>
      </c>
      <c r="F241" t="s">
        <v>64</v>
      </c>
      <c r="G241" t="s">
        <v>358</v>
      </c>
      <c r="H241" t="s">
        <v>8</v>
      </c>
      <c r="I241" t="s">
        <v>1935</v>
      </c>
      <c r="J241" t="s">
        <v>1936</v>
      </c>
      <c r="K241" s="8">
        <v>11</v>
      </c>
    </row>
    <row r="242" spans="1:11">
      <c r="A242" t="s">
        <v>2180</v>
      </c>
      <c r="B242" s="15">
        <v>45344</v>
      </c>
      <c r="C242" s="4">
        <v>45323</v>
      </c>
      <c r="D242" t="s">
        <v>62</v>
      </c>
      <c r="E242" t="s">
        <v>25</v>
      </c>
      <c r="F242" t="s">
        <v>64</v>
      </c>
      <c r="G242" t="s">
        <v>358</v>
      </c>
      <c r="H242" t="s">
        <v>8</v>
      </c>
      <c r="I242" t="s">
        <v>1942</v>
      </c>
      <c r="J242" t="s">
        <v>1936</v>
      </c>
      <c r="K242" s="8">
        <v>1</v>
      </c>
    </row>
    <row r="243" spans="1:11">
      <c r="A243" t="s">
        <v>2181</v>
      </c>
      <c r="B243" s="15">
        <v>45336</v>
      </c>
      <c r="C243" s="4">
        <v>45323</v>
      </c>
      <c r="D243" t="s">
        <v>62</v>
      </c>
      <c r="E243" t="s">
        <v>25</v>
      </c>
      <c r="F243" t="s">
        <v>64</v>
      </c>
      <c r="G243" t="s">
        <v>328</v>
      </c>
      <c r="H243" t="s">
        <v>11</v>
      </c>
      <c r="I243" t="s">
        <v>1935</v>
      </c>
      <c r="J243" t="s">
        <v>1936</v>
      </c>
      <c r="K243" s="8">
        <v>10</v>
      </c>
    </row>
    <row r="244" spans="1:11">
      <c r="A244" t="s">
        <v>2182</v>
      </c>
      <c r="B244" s="15">
        <v>45349</v>
      </c>
      <c r="C244" s="4">
        <v>45323</v>
      </c>
      <c r="D244" t="s">
        <v>62</v>
      </c>
      <c r="E244" t="s">
        <v>25</v>
      </c>
      <c r="F244" t="s">
        <v>64</v>
      </c>
      <c r="G244" t="s">
        <v>370</v>
      </c>
      <c r="H244" t="s">
        <v>8</v>
      </c>
      <c r="I244" t="s">
        <v>1935</v>
      </c>
      <c r="J244" t="s">
        <v>1936</v>
      </c>
      <c r="K244" s="8">
        <v>18</v>
      </c>
    </row>
    <row r="245" spans="1:11">
      <c r="A245" t="s">
        <v>2183</v>
      </c>
      <c r="B245" s="15">
        <v>45324</v>
      </c>
      <c r="C245" s="4">
        <v>45323</v>
      </c>
      <c r="D245" t="s">
        <v>62</v>
      </c>
      <c r="E245" t="s">
        <v>25</v>
      </c>
      <c r="F245" t="s">
        <v>64</v>
      </c>
      <c r="G245" t="s">
        <v>328</v>
      </c>
      <c r="H245" t="s">
        <v>8</v>
      </c>
      <c r="I245" t="s">
        <v>1935</v>
      </c>
      <c r="J245" t="s">
        <v>1936</v>
      </c>
      <c r="K245" s="8">
        <v>29</v>
      </c>
    </row>
    <row r="246" spans="1:11">
      <c r="A246" t="s">
        <v>2184</v>
      </c>
      <c r="B246" s="15">
        <v>45332</v>
      </c>
      <c r="C246" s="4">
        <v>45323</v>
      </c>
      <c r="D246" t="s">
        <v>62</v>
      </c>
      <c r="E246" t="s">
        <v>25</v>
      </c>
      <c r="F246" t="s">
        <v>64</v>
      </c>
      <c r="G246" t="s">
        <v>316</v>
      </c>
      <c r="H246" t="s">
        <v>8</v>
      </c>
      <c r="I246" t="s">
        <v>1935</v>
      </c>
      <c r="J246" t="s">
        <v>1936</v>
      </c>
      <c r="K246" s="8">
        <v>25</v>
      </c>
    </row>
    <row r="247" spans="1:11">
      <c r="A247" t="s">
        <v>2185</v>
      </c>
      <c r="B247" s="15">
        <v>45327</v>
      </c>
      <c r="C247" s="4">
        <v>45323</v>
      </c>
      <c r="D247" t="s">
        <v>65</v>
      </c>
      <c r="E247" t="s">
        <v>25</v>
      </c>
      <c r="F247" t="s">
        <v>67</v>
      </c>
      <c r="G247" t="s">
        <v>354</v>
      </c>
      <c r="H247" t="s">
        <v>14</v>
      </c>
      <c r="I247" t="s">
        <v>1935</v>
      </c>
      <c r="J247" t="s">
        <v>1936</v>
      </c>
      <c r="K247" s="8">
        <v>25</v>
      </c>
    </row>
    <row r="248" spans="1:11">
      <c r="A248" t="s">
        <v>2186</v>
      </c>
      <c r="B248" s="15">
        <v>45324</v>
      </c>
      <c r="C248" s="4">
        <v>45323</v>
      </c>
      <c r="D248" t="s">
        <v>65</v>
      </c>
      <c r="E248" t="s">
        <v>25</v>
      </c>
      <c r="F248" t="s">
        <v>67</v>
      </c>
      <c r="G248" t="s">
        <v>354</v>
      </c>
      <c r="H248" t="s">
        <v>11</v>
      </c>
      <c r="I248" t="s">
        <v>1935</v>
      </c>
      <c r="J248" t="s">
        <v>1936</v>
      </c>
      <c r="K248" s="8">
        <v>31</v>
      </c>
    </row>
    <row r="249" spans="1:11">
      <c r="A249" t="s">
        <v>2187</v>
      </c>
      <c r="B249" s="15">
        <v>45335</v>
      </c>
      <c r="C249" s="4">
        <v>45323</v>
      </c>
      <c r="D249" t="s">
        <v>65</v>
      </c>
      <c r="E249" t="s">
        <v>25</v>
      </c>
      <c r="F249" t="s">
        <v>67</v>
      </c>
      <c r="G249" t="s">
        <v>318</v>
      </c>
      <c r="H249" t="s">
        <v>14</v>
      </c>
      <c r="I249" t="s">
        <v>1935</v>
      </c>
      <c r="J249" t="s">
        <v>1936</v>
      </c>
      <c r="K249" s="8">
        <v>14</v>
      </c>
    </row>
    <row r="250" spans="1:11">
      <c r="A250" t="s">
        <v>2188</v>
      </c>
      <c r="B250" s="15">
        <v>45348</v>
      </c>
      <c r="C250" s="4">
        <v>45323</v>
      </c>
      <c r="D250" t="s">
        <v>65</v>
      </c>
      <c r="E250" t="s">
        <v>25</v>
      </c>
      <c r="F250" t="s">
        <v>67</v>
      </c>
      <c r="G250" t="s">
        <v>342</v>
      </c>
      <c r="H250" t="s">
        <v>11</v>
      </c>
      <c r="I250" t="s">
        <v>1935</v>
      </c>
      <c r="J250" t="s">
        <v>1938</v>
      </c>
      <c r="K250" s="8">
        <v>24</v>
      </c>
    </row>
    <row r="251" spans="1:11">
      <c r="A251" t="s">
        <v>2189</v>
      </c>
      <c r="B251" s="15">
        <v>45340</v>
      </c>
      <c r="C251" s="4">
        <v>45323</v>
      </c>
      <c r="D251" t="s">
        <v>65</v>
      </c>
      <c r="E251" t="s">
        <v>25</v>
      </c>
      <c r="F251" t="s">
        <v>67</v>
      </c>
      <c r="G251" t="s">
        <v>354</v>
      </c>
      <c r="H251" t="s">
        <v>5</v>
      </c>
      <c r="I251" t="s">
        <v>1935</v>
      </c>
      <c r="J251" t="s">
        <v>1936</v>
      </c>
      <c r="K251" s="8">
        <v>16</v>
      </c>
    </row>
    <row r="252" spans="1:11">
      <c r="A252" t="s">
        <v>2190</v>
      </c>
      <c r="B252" s="15">
        <v>45341</v>
      </c>
      <c r="C252" s="4">
        <v>45323</v>
      </c>
      <c r="D252" t="s">
        <v>65</v>
      </c>
      <c r="E252" t="s">
        <v>25</v>
      </c>
      <c r="F252" t="s">
        <v>67</v>
      </c>
      <c r="G252" t="s">
        <v>354</v>
      </c>
      <c r="H252" t="s">
        <v>8</v>
      </c>
      <c r="I252" t="s">
        <v>1935</v>
      </c>
      <c r="J252" t="s">
        <v>1954</v>
      </c>
      <c r="K252" s="8">
        <v>35</v>
      </c>
    </row>
    <row r="253" spans="1:11">
      <c r="A253" t="s">
        <v>2191</v>
      </c>
      <c r="B253" s="15">
        <v>45351</v>
      </c>
      <c r="C253" s="4">
        <v>45323</v>
      </c>
      <c r="D253" t="s">
        <v>65</v>
      </c>
      <c r="E253" t="s">
        <v>25</v>
      </c>
      <c r="F253" t="s">
        <v>67</v>
      </c>
      <c r="G253" t="s">
        <v>348</v>
      </c>
      <c r="H253" t="s">
        <v>11</v>
      </c>
      <c r="I253" t="s">
        <v>1935</v>
      </c>
      <c r="J253" t="s">
        <v>1936</v>
      </c>
      <c r="K253" s="8">
        <v>30</v>
      </c>
    </row>
    <row r="254" spans="1:11">
      <c r="A254" t="s">
        <v>2192</v>
      </c>
      <c r="B254" s="15">
        <v>45378</v>
      </c>
      <c r="C254" s="4">
        <v>45352</v>
      </c>
      <c r="D254" t="s">
        <v>32</v>
      </c>
      <c r="E254" t="s">
        <v>19</v>
      </c>
      <c r="F254" t="s">
        <v>34</v>
      </c>
      <c r="G254" t="s">
        <v>75</v>
      </c>
      <c r="H254" t="s">
        <v>5</v>
      </c>
      <c r="I254" t="s">
        <v>1935</v>
      </c>
      <c r="J254" t="s">
        <v>1938</v>
      </c>
      <c r="K254" s="8">
        <v>32</v>
      </c>
    </row>
    <row r="255" spans="1:11">
      <c r="A255" t="s">
        <v>2193</v>
      </c>
      <c r="B255" s="15">
        <v>45358</v>
      </c>
      <c r="C255" s="4">
        <v>45352</v>
      </c>
      <c r="D255" t="s">
        <v>32</v>
      </c>
      <c r="E255" t="s">
        <v>19</v>
      </c>
      <c r="F255" t="s">
        <v>34</v>
      </c>
      <c r="G255" t="s">
        <v>136</v>
      </c>
      <c r="H255" t="s">
        <v>11</v>
      </c>
      <c r="I255" t="s">
        <v>1935</v>
      </c>
      <c r="J255" t="s">
        <v>1936</v>
      </c>
      <c r="K255" s="8">
        <v>26</v>
      </c>
    </row>
    <row r="256" spans="1:11">
      <c r="A256" t="s">
        <v>2194</v>
      </c>
      <c r="B256" s="15">
        <v>45374</v>
      </c>
      <c r="C256" s="4">
        <v>45352</v>
      </c>
      <c r="D256" t="s">
        <v>32</v>
      </c>
      <c r="E256" t="s">
        <v>19</v>
      </c>
      <c r="F256" t="s">
        <v>34</v>
      </c>
      <c r="G256" t="s">
        <v>99</v>
      </c>
      <c r="H256" t="s">
        <v>14</v>
      </c>
      <c r="I256" t="s">
        <v>1935</v>
      </c>
      <c r="J256" t="s">
        <v>1936</v>
      </c>
      <c r="K256" s="8">
        <v>35</v>
      </c>
    </row>
    <row r="257" spans="1:11">
      <c r="A257" t="s">
        <v>2195</v>
      </c>
      <c r="B257" s="15">
        <v>45356</v>
      </c>
      <c r="C257" s="4">
        <v>45352</v>
      </c>
      <c r="D257" t="s">
        <v>32</v>
      </c>
      <c r="E257" t="s">
        <v>19</v>
      </c>
      <c r="F257" t="s">
        <v>34</v>
      </c>
      <c r="G257" t="s">
        <v>111</v>
      </c>
      <c r="H257" t="s">
        <v>11</v>
      </c>
      <c r="I257" t="s">
        <v>1935</v>
      </c>
      <c r="J257" t="s">
        <v>1936</v>
      </c>
      <c r="K257" s="8">
        <v>10</v>
      </c>
    </row>
    <row r="258" spans="1:11">
      <c r="A258" t="s">
        <v>2196</v>
      </c>
      <c r="B258" s="15">
        <v>45364</v>
      </c>
      <c r="C258" s="4">
        <v>45352</v>
      </c>
      <c r="D258" t="s">
        <v>32</v>
      </c>
      <c r="E258" t="s">
        <v>19</v>
      </c>
      <c r="F258" t="s">
        <v>34</v>
      </c>
      <c r="G258" t="s">
        <v>124</v>
      </c>
      <c r="H258" t="s">
        <v>8</v>
      </c>
      <c r="I258" t="s">
        <v>1935</v>
      </c>
      <c r="J258" t="s">
        <v>1936</v>
      </c>
      <c r="K258" s="8">
        <v>32</v>
      </c>
    </row>
    <row r="259" spans="1:11">
      <c r="A259" t="s">
        <v>2197</v>
      </c>
      <c r="B259" s="15">
        <v>45362</v>
      </c>
      <c r="C259" s="4">
        <v>45352</v>
      </c>
      <c r="D259" t="s">
        <v>32</v>
      </c>
      <c r="E259" t="s">
        <v>19</v>
      </c>
      <c r="F259" t="s">
        <v>34</v>
      </c>
      <c r="G259" t="s">
        <v>136</v>
      </c>
      <c r="H259" t="s">
        <v>14</v>
      </c>
      <c r="I259" t="s">
        <v>1935</v>
      </c>
      <c r="J259" t="s">
        <v>1954</v>
      </c>
      <c r="K259" s="8">
        <v>33</v>
      </c>
    </row>
    <row r="260" spans="1:11">
      <c r="A260" t="s">
        <v>2198</v>
      </c>
      <c r="B260" s="15">
        <v>45358</v>
      </c>
      <c r="C260" s="4">
        <v>45352</v>
      </c>
      <c r="D260" t="s">
        <v>32</v>
      </c>
      <c r="E260" t="s">
        <v>19</v>
      </c>
      <c r="F260" t="s">
        <v>34</v>
      </c>
      <c r="G260" t="s">
        <v>111</v>
      </c>
      <c r="H260" t="s">
        <v>8</v>
      </c>
      <c r="I260" t="s">
        <v>1935</v>
      </c>
      <c r="J260" t="s">
        <v>1936</v>
      </c>
      <c r="K260" s="8">
        <v>14</v>
      </c>
    </row>
    <row r="261" spans="1:11">
      <c r="A261" t="s">
        <v>2199</v>
      </c>
      <c r="B261" s="15">
        <v>45369</v>
      </c>
      <c r="C261" s="4">
        <v>45352</v>
      </c>
      <c r="D261" t="s">
        <v>32</v>
      </c>
      <c r="E261" t="s">
        <v>19</v>
      </c>
      <c r="F261" t="s">
        <v>34</v>
      </c>
      <c r="G261" t="s">
        <v>136</v>
      </c>
      <c r="H261" t="s">
        <v>5</v>
      </c>
      <c r="I261" t="s">
        <v>1935</v>
      </c>
      <c r="J261" t="s">
        <v>1936</v>
      </c>
      <c r="K261" s="8">
        <v>8</v>
      </c>
    </row>
    <row r="262" spans="1:11">
      <c r="A262" t="s">
        <v>2200</v>
      </c>
      <c r="B262" s="15">
        <v>45373</v>
      </c>
      <c r="C262" s="4">
        <v>45352</v>
      </c>
      <c r="D262" t="s">
        <v>35</v>
      </c>
      <c r="E262" t="s">
        <v>19</v>
      </c>
      <c r="F262" t="s">
        <v>37</v>
      </c>
      <c r="G262" t="s">
        <v>101</v>
      </c>
      <c r="H262" t="s">
        <v>8</v>
      </c>
      <c r="I262" t="s">
        <v>1935</v>
      </c>
      <c r="J262" t="s">
        <v>1936</v>
      </c>
      <c r="K262" s="8">
        <v>16</v>
      </c>
    </row>
    <row r="263" spans="1:11">
      <c r="A263" t="s">
        <v>2201</v>
      </c>
      <c r="B263" s="15">
        <v>45367</v>
      </c>
      <c r="C263" s="4">
        <v>45352</v>
      </c>
      <c r="D263" t="s">
        <v>35</v>
      </c>
      <c r="E263" t="s">
        <v>19</v>
      </c>
      <c r="F263" t="s">
        <v>37</v>
      </c>
      <c r="G263" t="s">
        <v>107</v>
      </c>
      <c r="H263" t="s">
        <v>8</v>
      </c>
      <c r="I263" t="s">
        <v>1935</v>
      </c>
      <c r="J263" t="s">
        <v>1936</v>
      </c>
      <c r="K263" s="8">
        <v>34</v>
      </c>
    </row>
    <row r="264" spans="1:11">
      <c r="A264" t="s">
        <v>2202</v>
      </c>
      <c r="B264" s="15">
        <v>45374</v>
      </c>
      <c r="C264" s="4">
        <v>45352</v>
      </c>
      <c r="D264" t="s">
        <v>35</v>
      </c>
      <c r="E264" t="s">
        <v>19</v>
      </c>
      <c r="F264" t="s">
        <v>37</v>
      </c>
      <c r="G264" t="s">
        <v>101</v>
      </c>
      <c r="H264" t="s">
        <v>11</v>
      </c>
      <c r="I264" t="s">
        <v>1935</v>
      </c>
      <c r="J264" t="s">
        <v>1936</v>
      </c>
      <c r="K264" s="8">
        <v>35</v>
      </c>
    </row>
    <row r="265" spans="1:11">
      <c r="A265" t="s">
        <v>2203</v>
      </c>
      <c r="B265" s="15">
        <v>45370</v>
      </c>
      <c r="C265" s="4">
        <v>45352</v>
      </c>
      <c r="D265" t="s">
        <v>35</v>
      </c>
      <c r="E265" t="s">
        <v>19</v>
      </c>
      <c r="F265" t="s">
        <v>37</v>
      </c>
      <c r="G265" t="s">
        <v>101</v>
      </c>
      <c r="H265" t="s">
        <v>8</v>
      </c>
      <c r="I265" t="s">
        <v>1935</v>
      </c>
      <c r="J265" t="s">
        <v>1936</v>
      </c>
      <c r="K265" s="8">
        <v>9</v>
      </c>
    </row>
    <row r="266" spans="1:11">
      <c r="A266" t="s">
        <v>2204</v>
      </c>
      <c r="B266" s="15">
        <v>45380</v>
      </c>
      <c r="C266" s="4">
        <v>45352</v>
      </c>
      <c r="D266" t="s">
        <v>35</v>
      </c>
      <c r="E266" t="s">
        <v>19</v>
      </c>
      <c r="F266" t="s">
        <v>37</v>
      </c>
      <c r="G266" t="s">
        <v>88</v>
      </c>
      <c r="H266" t="s">
        <v>8</v>
      </c>
      <c r="I266" t="s">
        <v>1935</v>
      </c>
      <c r="J266" t="s">
        <v>1936</v>
      </c>
      <c r="K266" s="8">
        <v>27</v>
      </c>
    </row>
    <row r="267" spans="1:11">
      <c r="A267" t="s">
        <v>2205</v>
      </c>
      <c r="B267" s="15">
        <v>45364</v>
      </c>
      <c r="C267" s="4">
        <v>45352</v>
      </c>
      <c r="D267" t="s">
        <v>35</v>
      </c>
      <c r="E267" t="s">
        <v>19</v>
      </c>
      <c r="F267" t="s">
        <v>37</v>
      </c>
      <c r="G267" t="s">
        <v>88</v>
      </c>
      <c r="H267" t="s">
        <v>8</v>
      </c>
      <c r="I267" t="s">
        <v>1935</v>
      </c>
      <c r="J267" t="s">
        <v>1954</v>
      </c>
      <c r="K267" s="8">
        <v>30</v>
      </c>
    </row>
    <row r="268" spans="1:11">
      <c r="A268" t="s">
        <v>2206</v>
      </c>
      <c r="B268" s="15">
        <v>45359</v>
      </c>
      <c r="C268" s="4">
        <v>45352</v>
      </c>
      <c r="D268" t="s">
        <v>35</v>
      </c>
      <c r="E268" t="s">
        <v>19</v>
      </c>
      <c r="F268" t="s">
        <v>37</v>
      </c>
      <c r="G268" t="s">
        <v>78</v>
      </c>
      <c r="H268" t="s">
        <v>8</v>
      </c>
      <c r="I268" t="s">
        <v>1935</v>
      </c>
      <c r="J268" t="s">
        <v>1938</v>
      </c>
      <c r="K268" s="8">
        <v>30</v>
      </c>
    </row>
    <row r="269" spans="1:11">
      <c r="A269" t="s">
        <v>2207</v>
      </c>
      <c r="B269" s="15">
        <v>45380</v>
      </c>
      <c r="C269" s="4">
        <v>45352</v>
      </c>
      <c r="D269" t="s">
        <v>35</v>
      </c>
      <c r="E269" t="s">
        <v>19</v>
      </c>
      <c r="F269" t="s">
        <v>37</v>
      </c>
      <c r="G269" t="s">
        <v>107</v>
      </c>
      <c r="H269" t="s">
        <v>8</v>
      </c>
      <c r="I269" t="s">
        <v>1935</v>
      </c>
      <c r="J269" t="s">
        <v>1936</v>
      </c>
      <c r="K269" s="8">
        <v>19</v>
      </c>
    </row>
    <row r="270" spans="1:11">
      <c r="A270" t="s">
        <v>2208</v>
      </c>
      <c r="B270" s="15">
        <v>45359</v>
      </c>
      <c r="C270" s="4">
        <v>45352</v>
      </c>
      <c r="D270" t="s">
        <v>35</v>
      </c>
      <c r="E270" t="s">
        <v>19</v>
      </c>
      <c r="F270" t="s">
        <v>37</v>
      </c>
      <c r="G270" t="s">
        <v>94</v>
      </c>
      <c r="H270" t="s">
        <v>5</v>
      </c>
      <c r="I270" t="s">
        <v>1935</v>
      </c>
      <c r="J270" t="s">
        <v>1936</v>
      </c>
      <c r="K270" s="8">
        <v>20</v>
      </c>
    </row>
    <row r="271" spans="1:11">
      <c r="A271" t="s">
        <v>2209</v>
      </c>
      <c r="B271" s="15">
        <v>45366</v>
      </c>
      <c r="C271" s="4">
        <v>45352</v>
      </c>
      <c r="D271" t="s">
        <v>35</v>
      </c>
      <c r="E271" t="s">
        <v>19</v>
      </c>
      <c r="F271" t="s">
        <v>37</v>
      </c>
      <c r="G271" t="s">
        <v>78</v>
      </c>
      <c r="H271" t="s">
        <v>8</v>
      </c>
      <c r="I271" t="s">
        <v>1935</v>
      </c>
      <c r="J271" t="s">
        <v>1936</v>
      </c>
      <c r="K271" s="8">
        <v>17</v>
      </c>
    </row>
    <row r="272" spans="1:11">
      <c r="A272" t="s">
        <v>2210</v>
      </c>
      <c r="B272" s="15">
        <v>45369</v>
      </c>
      <c r="C272" s="4">
        <v>45352</v>
      </c>
      <c r="D272" t="s">
        <v>35</v>
      </c>
      <c r="E272" t="s">
        <v>19</v>
      </c>
      <c r="F272" t="s">
        <v>37</v>
      </c>
      <c r="G272" t="s">
        <v>107</v>
      </c>
      <c r="H272" t="s">
        <v>8</v>
      </c>
      <c r="I272" t="s">
        <v>1935</v>
      </c>
      <c r="J272" t="s">
        <v>1936</v>
      </c>
      <c r="K272" s="8">
        <v>13</v>
      </c>
    </row>
    <row r="273" spans="1:11">
      <c r="A273" t="s">
        <v>2211</v>
      </c>
      <c r="B273" s="15">
        <v>45353</v>
      </c>
      <c r="C273" s="4">
        <v>45352</v>
      </c>
      <c r="D273" t="s">
        <v>35</v>
      </c>
      <c r="E273" t="s">
        <v>19</v>
      </c>
      <c r="F273" t="s">
        <v>37</v>
      </c>
      <c r="G273" t="s">
        <v>101</v>
      </c>
      <c r="H273" t="s">
        <v>5</v>
      </c>
      <c r="I273" t="s">
        <v>1935</v>
      </c>
      <c r="J273" t="s">
        <v>1954</v>
      </c>
      <c r="K273" s="8">
        <v>29</v>
      </c>
    </row>
    <row r="274" spans="1:11">
      <c r="A274" t="s">
        <v>2212</v>
      </c>
      <c r="B274" s="15">
        <v>45373</v>
      </c>
      <c r="C274" s="4">
        <v>45352</v>
      </c>
      <c r="D274" t="s">
        <v>38</v>
      </c>
      <c r="E274" t="s">
        <v>19</v>
      </c>
      <c r="F274" t="s">
        <v>40</v>
      </c>
      <c r="G274" t="s">
        <v>82</v>
      </c>
      <c r="H274" t="s">
        <v>5</v>
      </c>
      <c r="I274" t="s">
        <v>1935</v>
      </c>
      <c r="J274" t="s">
        <v>1936</v>
      </c>
      <c r="K274" s="8">
        <v>21</v>
      </c>
    </row>
    <row r="275" spans="1:11">
      <c r="A275" t="s">
        <v>2213</v>
      </c>
      <c r="B275" s="15">
        <v>45359</v>
      </c>
      <c r="C275" s="4">
        <v>45352</v>
      </c>
      <c r="D275" t="s">
        <v>38</v>
      </c>
      <c r="E275" t="s">
        <v>19</v>
      </c>
      <c r="F275" t="s">
        <v>40</v>
      </c>
      <c r="G275" t="s">
        <v>103</v>
      </c>
      <c r="H275" t="s">
        <v>5</v>
      </c>
      <c r="I275" t="s">
        <v>1935</v>
      </c>
      <c r="J275" t="s">
        <v>1936</v>
      </c>
      <c r="K275" s="8">
        <v>20</v>
      </c>
    </row>
    <row r="276" spans="1:11">
      <c r="A276" t="s">
        <v>2214</v>
      </c>
      <c r="B276" s="15">
        <v>45377</v>
      </c>
      <c r="C276" s="4">
        <v>45352</v>
      </c>
      <c r="D276" t="s">
        <v>38</v>
      </c>
      <c r="E276" t="s">
        <v>19</v>
      </c>
      <c r="F276" t="s">
        <v>40</v>
      </c>
      <c r="G276" t="s">
        <v>82</v>
      </c>
      <c r="H276" t="s">
        <v>5</v>
      </c>
      <c r="I276" t="s">
        <v>1935</v>
      </c>
      <c r="J276" t="s">
        <v>1936</v>
      </c>
      <c r="K276" s="8">
        <v>15</v>
      </c>
    </row>
    <row r="277" spans="1:11">
      <c r="A277" t="s">
        <v>2215</v>
      </c>
      <c r="B277" s="15">
        <v>45368</v>
      </c>
      <c r="C277" s="4">
        <v>45352</v>
      </c>
      <c r="D277" t="s">
        <v>38</v>
      </c>
      <c r="E277" t="s">
        <v>19</v>
      </c>
      <c r="F277" t="s">
        <v>40</v>
      </c>
      <c r="G277" t="s">
        <v>164</v>
      </c>
      <c r="H277" t="s">
        <v>5</v>
      </c>
      <c r="I277" t="s">
        <v>1935</v>
      </c>
      <c r="J277" t="s">
        <v>1936</v>
      </c>
      <c r="K277" s="8">
        <v>28</v>
      </c>
    </row>
    <row r="278" spans="1:11">
      <c r="A278" t="s">
        <v>2216</v>
      </c>
      <c r="B278" s="15">
        <v>45365</v>
      </c>
      <c r="C278" s="4">
        <v>45352</v>
      </c>
      <c r="D278" t="s">
        <v>38</v>
      </c>
      <c r="E278" t="s">
        <v>19</v>
      </c>
      <c r="F278" t="s">
        <v>40</v>
      </c>
      <c r="G278" t="s">
        <v>103</v>
      </c>
      <c r="H278" t="s">
        <v>5</v>
      </c>
      <c r="I278" t="s">
        <v>1935</v>
      </c>
      <c r="J278" t="s">
        <v>1936</v>
      </c>
      <c r="K278" s="8">
        <v>9</v>
      </c>
    </row>
    <row r="279" spans="1:11">
      <c r="A279" t="s">
        <v>2217</v>
      </c>
      <c r="B279" s="15">
        <v>45366</v>
      </c>
      <c r="C279" s="4">
        <v>45352</v>
      </c>
      <c r="D279" t="s">
        <v>38</v>
      </c>
      <c r="E279" t="s">
        <v>19</v>
      </c>
      <c r="F279" t="s">
        <v>40</v>
      </c>
      <c r="G279" t="s">
        <v>134</v>
      </c>
      <c r="H279" t="s">
        <v>14</v>
      </c>
      <c r="I279" t="s">
        <v>1942</v>
      </c>
      <c r="J279" t="s">
        <v>1938</v>
      </c>
      <c r="K279" s="8">
        <v>3</v>
      </c>
    </row>
    <row r="280" spans="1:11">
      <c r="A280" t="s">
        <v>2218</v>
      </c>
      <c r="B280" s="15">
        <v>45382</v>
      </c>
      <c r="C280" s="4">
        <v>45352</v>
      </c>
      <c r="D280" t="s">
        <v>38</v>
      </c>
      <c r="E280" t="s">
        <v>19</v>
      </c>
      <c r="F280" t="s">
        <v>40</v>
      </c>
      <c r="G280" t="s">
        <v>164</v>
      </c>
      <c r="H280" t="s">
        <v>8</v>
      </c>
      <c r="I280" t="s">
        <v>1935</v>
      </c>
      <c r="J280" t="s">
        <v>1936</v>
      </c>
      <c r="K280" s="8">
        <v>20</v>
      </c>
    </row>
    <row r="281" spans="1:11">
      <c r="A281" t="s">
        <v>2219</v>
      </c>
      <c r="B281" s="15">
        <v>45378</v>
      </c>
      <c r="C281" s="4">
        <v>45352</v>
      </c>
      <c r="D281" t="s">
        <v>38</v>
      </c>
      <c r="E281" t="s">
        <v>19</v>
      </c>
      <c r="F281" t="s">
        <v>40</v>
      </c>
      <c r="G281" t="s">
        <v>122</v>
      </c>
      <c r="H281" t="s">
        <v>8</v>
      </c>
      <c r="I281" t="s">
        <v>1935</v>
      </c>
      <c r="J281" t="s">
        <v>1936</v>
      </c>
      <c r="K281" s="8">
        <v>35</v>
      </c>
    </row>
    <row r="282" spans="1:11">
      <c r="A282" t="s">
        <v>2220</v>
      </c>
      <c r="B282" s="15">
        <v>45368</v>
      </c>
      <c r="C282" s="4">
        <v>45352</v>
      </c>
      <c r="D282" t="s">
        <v>38</v>
      </c>
      <c r="E282" t="s">
        <v>19</v>
      </c>
      <c r="F282" t="s">
        <v>40</v>
      </c>
      <c r="G282" t="s">
        <v>96</v>
      </c>
      <c r="H282" t="s">
        <v>11</v>
      </c>
      <c r="I282" t="s">
        <v>1935</v>
      </c>
      <c r="J282" t="s">
        <v>1936</v>
      </c>
      <c r="K282" s="8">
        <v>30</v>
      </c>
    </row>
    <row r="283" spans="1:11">
      <c r="A283" t="s">
        <v>2221</v>
      </c>
      <c r="B283" s="15">
        <v>45376</v>
      </c>
      <c r="C283" s="4">
        <v>45352</v>
      </c>
      <c r="D283" t="s">
        <v>41</v>
      </c>
      <c r="E283" t="s">
        <v>21</v>
      </c>
      <c r="F283" t="s">
        <v>43</v>
      </c>
      <c r="G283" t="s">
        <v>166</v>
      </c>
      <c r="H283" t="s">
        <v>14</v>
      </c>
      <c r="I283" t="s">
        <v>1935</v>
      </c>
      <c r="J283" t="s">
        <v>1936</v>
      </c>
      <c r="K283" s="8">
        <v>9</v>
      </c>
    </row>
    <row r="284" spans="1:11">
      <c r="A284" t="s">
        <v>2222</v>
      </c>
      <c r="B284" s="15">
        <v>45358</v>
      </c>
      <c r="C284" s="4">
        <v>45352</v>
      </c>
      <c r="D284" t="s">
        <v>41</v>
      </c>
      <c r="E284" t="s">
        <v>21</v>
      </c>
      <c r="F284" t="s">
        <v>43</v>
      </c>
      <c r="G284" t="s">
        <v>172</v>
      </c>
      <c r="H284" t="s">
        <v>5</v>
      </c>
      <c r="I284" t="s">
        <v>1935</v>
      </c>
      <c r="J284" t="s">
        <v>1936</v>
      </c>
      <c r="K284" s="8">
        <v>32</v>
      </c>
    </row>
    <row r="285" spans="1:11">
      <c r="A285" t="s">
        <v>2223</v>
      </c>
      <c r="B285" s="15">
        <v>45371</v>
      </c>
      <c r="C285" s="4">
        <v>45352</v>
      </c>
      <c r="D285" t="s">
        <v>41</v>
      </c>
      <c r="E285" t="s">
        <v>21</v>
      </c>
      <c r="F285" t="s">
        <v>43</v>
      </c>
      <c r="G285" t="s">
        <v>196</v>
      </c>
      <c r="H285" t="s">
        <v>8</v>
      </c>
      <c r="I285" t="s">
        <v>1935</v>
      </c>
      <c r="J285" t="s">
        <v>1954</v>
      </c>
      <c r="K285" s="8">
        <v>29</v>
      </c>
    </row>
    <row r="286" spans="1:11">
      <c r="A286" t="s">
        <v>2224</v>
      </c>
      <c r="B286" s="15">
        <v>45362</v>
      </c>
      <c r="C286" s="4">
        <v>45352</v>
      </c>
      <c r="D286" t="s">
        <v>41</v>
      </c>
      <c r="E286" t="s">
        <v>21</v>
      </c>
      <c r="F286" t="s">
        <v>43</v>
      </c>
      <c r="G286" t="s">
        <v>172</v>
      </c>
      <c r="H286" t="s">
        <v>11</v>
      </c>
      <c r="I286" t="s">
        <v>1995</v>
      </c>
      <c r="J286" t="s">
        <v>1954</v>
      </c>
      <c r="K286" s="8">
        <v>2</v>
      </c>
    </row>
    <row r="287" spans="1:11">
      <c r="A287" t="s">
        <v>2225</v>
      </c>
      <c r="B287" s="15">
        <v>45356</v>
      </c>
      <c r="C287" s="4">
        <v>45352</v>
      </c>
      <c r="D287" t="s">
        <v>41</v>
      </c>
      <c r="E287" t="s">
        <v>21</v>
      </c>
      <c r="F287" t="s">
        <v>43</v>
      </c>
      <c r="G287" t="s">
        <v>172</v>
      </c>
      <c r="H287" t="s">
        <v>8</v>
      </c>
      <c r="I287" t="s">
        <v>1935</v>
      </c>
      <c r="J287" t="s">
        <v>1954</v>
      </c>
      <c r="K287" s="8">
        <v>20</v>
      </c>
    </row>
    <row r="288" spans="1:11">
      <c r="A288" t="s">
        <v>2226</v>
      </c>
      <c r="B288" s="15">
        <v>45361</v>
      </c>
      <c r="C288" s="4">
        <v>45352</v>
      </c>
      <c r="D288" t="s">
        <v>41</v>
      </c>
      <c r="E288" t="s">
        <v>21</v>
      </c>
      <c r="F288" t="s">
        <v>43</v>
      </c>
      <c r="G288" t="s">
        <v>166</v>
      </c>
      <c r="H288" t="s">
        <v>14</v>
      </c>
      <c r="I288" t="s">
        <v>1935</v>
      </c>
      <c r="J288" t="s">
        <v>1936</v>
      </c>
      <c r="K288" s="8">
        <v>19</v>
      </c>
    </row>
    <row r="289" spans="1:11">
      <c r="A289" t="s">
        <v>2227</v>
      </c>
      <c r="B289" s="15">
        <v>45360</v>
      </c>
      <c r="C289" s="4">
        <v>45352</v>
      </c>
      <c r="D289" t="s">
        <v>41</v>
      </c>
      <c r="E289" t="s">
        <v>21</v>
      </c>
      <c r="F289" t="s">
        <v>43</v>
      </c>
      <c r="G289" t="s">
        <v>172</v>
      </c>
      <c r="H289" t="s">
        <v>8</v>
      </c>
      <c r="I289" t="s">
        <v>1942</v>
      </c>
      <c r="J289" t="s">
        <v>1936</v>
      </c>
      <c r="K289" s="8">
        <v>6</v>
      </c>
    </row>
    <row r="290" spans="1:11">
      <c r="A290" t="s">
        <v>2228</v>
      </c>
      <c r="B290" s="15">
        <v>45380</v>
      </c>
      <c r="C290" s="4">
        <v>45352</v>
      </c>
      <c r="D290" t="s">
        <v>41</v>
      </c>
      <c r="E290" t="s">
        <v>21</v>
      </c>
      <c r="F290" t="s">
        <v>43</v>
      </c>
      <c r="G290" t="s">
        <v>232</v>
      </c>
      <c r="H290" t="s">
        <v>11</v>
      </c>
      <c r="I290" t="s">
        <v>1935</v>
      </c>
      <c r="J290" t="s">
        <v>1936</v>
      </c>
      <c r="K290" s="8">
        <v>12</v>
      </c>
    </row>
    <row r="291" spans="1:11">
      <c r="A291" t="s">
        <v>2229</v>
      </c>
      <c r="B291" s="15">
        <v>45368</v>
      </c>
      <c r="C291" s="4">
        <v>45352</v>
      </c>
      <c r="D291" t="s">
        <v>41</v>
      </c>
      <c r="E291" t="s">
        <v>21</v>
      </c>
      <c r="F291" t="s">
        <v>43</v>
      </c>
      <c r="G291" t="s">
        <v>220</v>
      </c>
      <c r="H291" t="s">
        <v>11</v>
      </c>
      <c r="I291" t="s">
        <v>1935</v>
      </c>
      <c r="J291" t="s">
        <v>1938</v>
      </c>
      <c r="K291" s="8">
        <v>17</v>
      </c>
    </row>
    <row r="292" spans="1:11">
      <c r="A292" t="s">
        <v>2230</v>
      </c>
      <c r="B292" s="15">
        <v>45363</v>
      </c>
      <c r="C292" s="4">
        <v>45352</v>
      </c>
      <c r="D292" t="s">
        <v>44</v>
      </c>
      <c r="E292" t="s">
        <v>21</v>
      </c>
      <c r="F292" t="s">
        <v>46</v>
      </c>
      <c r="G292" t="s">
        <v>186</v>
      </c>
      <c r="H292" t="s">
        <v>5</v>
      </c>
      <c r="I292" t="s">
        <v>1935</v>
      </c>
      <c r="J292" t="s">
        <v>1954</v>
      </c>
      <c r="K292" s="8">
        <v>14</v>
      </c>
    </row>
    <row r="293" spans="1:11">
      <c r="A293" t="s">
        <v>2231</v>
      </c>
      <c r="B293" s="15">
        <v>45369</v>
      </c>
      <c r="C293" s="4">
        <v>45352</v>
      </c>
      <c r="D293" t="s">
        <v>44</v>
      </c>
      <c r="E293" t="s">
        <v>21</v>
      </c>
      <c r="F293" t="s">
        <v>46</v>
      </c>
      <c r="G293" t="s">
        <v>222</v>
      </c>
      <c r="H293" t="s">
        <v>5</v>
      </c>
      <c r="I293" t="s">
        <v>1935</v>
      </c>
      <c r="J293" t="s">
        <v>1936</v>
      </c>
      <c r="K293" s="8">
        <v>29</v>
      </c>
    </row>
    <row r="294" spans="1:11">
      <c r="A294" t="s">
        <v>2232</v>
      </c>
      <c r="B294" s="15">
        <v>45354</v>
      </c>
      <c r="C294" s="4">
        <v>45352</v>
      </c>
      <c r="D294" t="s">
        <v>44</v>
      </c>
      <c r="E294" t="s">
        <v>21</v>
      </c>
      <c r="F294" t="s">
        <v>46</v>
      </c>
      <c r="G294" t="s">
        <v>174</v>
      </c>
      <c r="H294" t="s">
        <v>14</v>
      </c>
      <c r="I294" t="s">
        <v>1935</v>
      </c>
      <c r="J294" t="s">
        <v>1936</v>
      </c>
      <c r="K294" s="8">
        <v>13</v>
      </c>
    </row>
    <row r="295" spans="1:11">
      <c r="A295" t="s">
        <v>2233</v>
      </c>
      <c r="B295" s="15">
        <v>45358</v>
      </c>
      <c r="C295" s="4">
        <v>45352</v>
      </c>
      <c r="D295" t="s">
        <v>44</v>
      </c>
      <c r="E295" t="s">
        <v>21</v>
      </c>
      <c r="F295" t="s">
        <v>46</v>
      </c>
      <c r="G295" t="s">
        <v>204</v>
      </c>
      <c r="H295" t="s">
        <v>5</v>
      </c>
      <c r="I295" t="s">
        <v>1942</v>
      </c>
      <c r="J295" t="s">
        <v>1954</v>
      </c>
      <c r="K295" s="8">
        <v>4</v>
      </c>
    </row>
    <row r="296" spans="1:11">
      <c r="A296" t="s">
        <v>2234</v>
      </c>
      <c r="B296" s="15">
        <v>45376</v>
      </c>
      <c r="C296" s="4">
        <v>45352</v>
      </c>
      <c r="D296" t="s">
        <v>44</v>
      </c>
      <c r="E296" t="s">
        <v>21</v>
      </c>
      <c r="F296" t="s">
        <v>46</v>
      </c>
      <c r="G296" t="s">
        <v>216</v>
      </c>
      <c r="H296" t="s">
        <v>14</v>
      </c>
      <c r="I296" t="s">
        <v>1935</v>
      </c>
      <c r="J296" t="s">
        <v>1936</v>
      </c>
      <c r="K296" s="8">
        <v>13</v>
      </c>
    </row>
    <row r="297" spans="1:11">
      <c r="A297" t="s">
        <v>2235</v>
      </c>
      <c r="B297" s="15">
        <v>45371</v>
      </c>
      <c r="C297" s="4">
        <v>45352</v>
      </c>
      <c r="D297" t="s">
        <v>44</v>
      </c>
      <c r="E297" t="s">
        <v>21</v>
      </c>
      <c r="F297" t="s">
        <v>46</v>
      </c>
      <c r="G297" t="s">
        <v>216</v>
      </c>
      <c r="H297" t="s">
        <v>14</v>
      </c>
      <c r="I297" t="s">
        <v>1935</v>
      </c>
      <c r="J297" t="s">
        <v>1938</v>
      </c>
      <c r="K297" s="8">
        <v>10</v>
      </c>
    </row>
    <row r="298" spans="1:11">
      <c r="A298" t="s">
        <v>2236</v>
      </c>
      <c r="B298" s="15">
        <v>45361</v>
      </c>
      <c r="C298" s="4">
        <v>45352</v>
      </c>
      <c r="D298" t="s">
        <v>44</v>
      </c>
      <c r="E298" t="s">
        <v>21</v>
      </c>
      <c r="F298" t="s">
        <v>46</v>
      </c>
      <c r="G298" t="s">
        <v>198</v>
      </c>
      <c r="H298" t="s">
        <v>14</v>
      </c>
      <c r="I298" t="s">
        <v>1995</v>
      </c>
      <c r="J298" t="s">
        <v>1936</v>
      </c>
      <c r="K298" s="8">
        <v>3</v>
      </c>
    </row>
    <row r="299" spans="1:11">
      <c r="A299" t="s">
        <v>2237</v>
      </c>
      <c r="B299" s="15">
        <v>45381</v>
      </c>
      <c r="C299" s="4">
        <v>45352</v>
      </c>
      <c r="D299" t="s">
        <v>44</v>
      </c>
      <c r="E299" t="s">
        <v>21</v>
      </c>
      <c r="F299" t="s">
        <v>46</v>
      </c>
      <c r="G299" t="s">
        <v>186</v>
      </c>
      <c r="H299" t="s">
        <v>8</v>
      </c>
      <c r="I299" t="s">
        <v>1995</v>
      </c>
      <c r="J299" t="s">
        <v>1936</v>
      </c>
      <c r="K299" s="8">
        <v>3</v>
      </c>
    </row>
    <row r="300" spans="1:11">
      <c r="A300" t="s">
        <v>2238</v>
      </c>
      <c r="B300" s="15">
        <v>45362</v>
      </c>
      <c r="C300" s="4">
        <v>45352</v>
      </c>
      <c r="D300" t="s">
        <v>44</v>
      </c>
      <c r="E300" t="s">
        <v>21</v>
      </c>
      <c r="F300" t="s">
        <v>46</v>
      </c>
      <c r="G300" t="s">
        <v>186</v>
      </c>
      <c r="H300" t="s">
        <v>8</v>
      </c>
      <c r="I300" t="s">
        <v>1935</v>
      </c>
      <c r="J300" t="s">
        <v>1936</v>
      </c>
      <c r="K300" s="8">
        <v>30</v>
      </c>
    </row>
    <row r="301" spans="1:11">
      <c r="A301" t="s">
        <v>2239</v>
      </c>
      <c r="B301" s="15">
        <v>45379</v>
      </c>
      <c r="C301" s="4">
        <v>45352</v>
      </c>
      <c r="D301" t="s">
        <v>44</v>
      </c>
      <c r="E301" t="s">
        <v>21</v>
      </c>
      <c r="F301" t="s">
        <v>46</v>
      </c>
      <c r="G301" t="s">
        <v>228</v>
      </c>
      <c r="H301" t="s">
        <v>11</v>
      </c>
      <c r="I301" t="s">
        <v>1935</v>
      </c>
      <c r="J301" t="s">
        <v>1936</v>
      </c>
      <c r="K301" s="8">
        <v>24</v>
      </c>
    </row>
    <row r="302" spans="1:11">
      <c r="A302" t="s">
        <v>2240</v>
      </c>
      <c r="B302" s="15">
        <v>45367</v>
      </c>
      <c r="C302" s="4">
        <v>45352</v>
      </c>
      <c r="D302" t="s">
        <v>44</v>
      </c>
      <c r="E302" t="s">
        <v>21</v>
      </c>
      <c r="F302" t="s">
        <v>46</v>
      </c>
      <c r="G302" t="s">
        <v>198</v>
      </c>
      <c r="H302" t="s">
        <v>11</v>
      </c>
      <c r="I302" t="s">
        <v>1995</v>
      </c>
      <c r="J302" t="s">
        <v>1936</v>
      </c>
      <c r="K302" s="8">
        <v>4</v>
      </c>
    </row>
    <row r="303" spans="1:11">
      <c r="A303" t="s">
        <v>2241</v>
      </c>
      <c r="B303" s="15">
        <v>45370</v>
      </c>
      <c r="C303" s="4">
        <v>45352</v>
      </c>
      <c r="D303" t="s">
        <v>44</v>
      </c>
      <c r="E303" t="s">
        <v>21</v>
      </c>
      <c r="F303" t="s">
        <v>46</v>
      </c>
      <c r="G303" t="s">
        <v>222</v>
      </c>
      <c r="H303" t="s">
        <v>5</v>
      </c>
      <c r="I303" t="s">
        <v>1935</v>
      </c>
      <c r="J303" t="s">
        <v>1936</v>
      </c>
      <c r="K303" s="8">
        <v>21</v>
      </c>
    </row>
    <row r="304" spans="1:11">
      <c r="A304" t="s">
        <v>2242</v>
      </c>
      <c r="B304" s="15">
        <v>45371</v>
      </c>
      <c r="C304" s="4">
        <v>45352</v>
      </c>
      <c r="D304" t="s">
        <v>47</v>
      </c>
      <c r="E304" t="s">
        <v>21</v>
      </c>
      <c r="F304" t="s">
        <v>49</v>
      </c>
      <c r="G304" t="s">
        <v>200</v>
      </c>
      <c r="H304" t="s">
        <v>5</v>
      </c>
      <c r="I304" t="s">
        <v>1935</v>
      </c>
      <c r="J304" t="s">
        <v>1936</v>
      </c>
      <c r="K304" s="8">
        <v>17</v>
      </c>
    </row>
    <row r="305" spans="1:11">
      <c r="A305" t="s">
        <v>2243</v>
      </c>
      <c r="B305" s="15">
        <v>45380</v>
      </c>
      <c r="C305" s="4">
        <v>45352</v>
      </c>
      <c r="D305" t="s">
        <v>47</v>
      </c>
      <c r="E305" t="s">
        <v>21</v>
      </c>
      <c r="F305" t="s">
        <v>49</v>
      </c>
      <c r="G305" t="s">
        <v>230</v>
      </c>
      <c r="H305" t="s">
        <v>5</v>
      </c>
      <c r="I305" t="s">
        <v>1935</v>
      </c>
      <c r="J305" t="s">
        <v>1936</v>
      </c>
      <c r="K305" s="8">
        <v>32</v>
      </c>
    </row>
    <row r="306" spans="1:11">
      <c r="A306" t="s">
        <v>2244</v>
      </c>
      <c r="B306" s="15">
        <v>45378</v>
      </c>
      <c r="C306" s="4">
        <v>45352</v>
      </c>
      <c r="D306" t="s">
        <v>47</v>
      </c>
      <c r="E306" t="s">
        <v>21</v>
      </c>
      <c r="F306" t="s">
        <v>49</v>
      </c>
      <c r="G306" t="s">
        <v>218</v>
      </c>
      <c r="H306" t="s">
        <v>14</v>
      </c>
      <c r="I306" t="s">
        <v>1935</v>
      </c>
      <c r="J306" t="s">
        <v>1936</v>
      </c>
      <c r="K306" s="8">
        <v>21</v>
      </c>
    </row>
    <row r="307" spans="1:11">
      <c r="A307" t="s">
        <v>2245</v>
      </c>
      <c r="B307" s="15">
        <v>45365</v>
      </c>
      <c r="C307" s="4">
        <v>45352</v>
      </c>
      <c r="D307" t="s">
        <v>47</v>
      </c>
      <c r="E307" t="s">
        <v>21</v>
      </c>
      <c r="F307" t="s">
        <v>49</v>
      </c>
      <c r="G307" t="s">
        <v>194</v>
      </c>
      <c r="H307" t="s">
        <v>14</v>
      </c>
      <c r="I307" t="s">
        <v>1935</v>
      </c>
      <c r="J307" t="s">
        <v>1936</v>
      </c>
      <c r="K307" s="8">
        <v>14</v>
      </c>
    </row>
    <row r="308" spans="1:11">
      <c r="A308" t="s">
        <v>2246</v>
      </c>
      <c r="B308" s="15">
        <v>45374</v>
      </c>
      <c r="C308" s="4">
        <v>45352</v>
      </c>
      <c r="D308" t="s">
        <v>47</v>
      </c>
      <c r="E308" t="s">
        <v>21</v>
      </c>
      <c r="F308" t="s">
        <v>49</v>
      </c>
      <c r="G308" t="s">
        <v>200</v>
      </c>
      <c r="H308" t="s">
        <v>11</v>
      </c>
      <c r="I308" t="s">
        <v>1935</v>
      </c>
      <c r="J308" t="s">
        <v>1938</v>
      </c>
      <c r="K308" s="8">
        <v>14</v>
      </c>
    </row>
    <row r="309" spans="1:11">
      <c r="A309" t="s">
        <v>2247</v>
      </c>
      <c r="B309" s="15">
        <v>45377</v>
      </c>
      <c r="C309" s="4">
        <v>45352</v>
      </c>
      <c r="D309" t="s">
        <v>47</v>
      </c>
      <c r="E309" t="s">
        <v>21</v>
      </c>
      <c r="F309" t="s">
        <v>49</v>
      </c>
      <c r="G309" t="s">
        <v>236</v>
      </c>
      <c r="H309" t="s">
        <v>5</v>
      </c>
      <c r="I309" t="s">
        <v>1935</v>
      </c>
      <c r="J309" t="s">
        <v>1936</v>
      </c>
      <c r="K309" s="8">
        <v>10</v>
      </c>
    </row>
    <row r="310" spans="1:11">
      <c r="A310" t="s">
        <v>2248</v>
      </c>
      <c r="B310" s="15">
        <v>45353</v>
      </c>
      <c r="C310" s="4">
        <v>45352</v>
      </c>
      <c r="D310" t="s">
        <v>47</v>
      </c>
      <c r="E310" t="s">
        <v>21</v>
      </c>
      <c r="F310" t="s">
        <v>49</v>
      </c>
      <c r="G310" t="s">
        <v>212</v>
      </c>
      <c r="H310" t="s">
        <v>14</v>
      </c>
      <c r="I310" t="s">
        <v>1935</v>
      </c>
      <c r="J310" t="s">
        <v>1936</v>
      </c>
      <c r="K310" s="8">
        <v>34</v>
      </c>
    </row>
    <row r="311" spans="1:11">
      <c r="A311" t="s">
        <v>2249</v>
      </c>
      <c r="B311" s="15">
        <v>45357</v>
      </c>
      <c r="C311" s="4">
        <v>45352</v>
      </c>
      <c r="D311" t="s">
        <v>47</v>
      </c>
      <c r="E311" t="s">
        <v>21</v>
      </c>
      <c r="F311" t="s">
        <v>49</v>
      </c>
      <c r="G311" t="s">
        <v>170</v>
      </c>
      <c r="H311" t="s">
        <v>5</v>
      </c>
      <c r="I311" t="s">
        <v>1935</v>
      </c>
      <c r="J311" t="s">
        <v>1936</v>
      </c>
      <c r="K311" s="8">
        <v>30</v>
      </c>
    </row>
    <row r="312" spans="1:11">
      <c r="A312" t="s">
        <v>2250</v>
      </c>
      <c r="B312" s="15">
        <v>45375</v>
      </c>
      <c r="C312" s="4">
        <v>45352</v>
      </c>
      <c r="D312" t="s">
        <v>47</v>
      </c>
      <c r="E312" t="s">
        <v>21</v>
      </c>
      <c r="F312" t="s">
        <v>49</v>
      </c>
      <c r="G312" t="s">
        <v>170</v>
      </c>
      <c r="H312" t="s">
        <v>8</v>
      </c>
      <c r="I312" t="s">
        <v>1935</v>
      </c>
      <c r="J312" t="s">
        <v>1954</v>
      </c>
      <c r="K312" s="8">
        <v>10</v>
      </c>
    </row>
    <row r="313" spans="1:11">
      <c r="A313" t="s">
        <v>2251</v>
      </c>
      <c r="B313" s="15">
        <v>45375</v>
      </c>
      <c r="C313" s="4">
        <v>45352</v>
      </c>
      <c r="D313" t="s">
        <v>47</v>
      </c>
      <c r="E313" t="s">
        <v>21</v>
      </c>
      <c r="F313" t="s">
        <v>49</v>
      </c>
      <c r="G313" t="s">
        <v>182</v>
      </c>
      <c r="H313" t="s">
        <v>11</v>
      </c>
      <c r="I313" t="s">
        <v>1935</v>
      </c>
      <c r="J313" t="s">
        <v>1936</v>
      </c>
      <c r="K313" s="8">
        <v>15</v>
      </c>
    </row>
    <row r="314" spans="1:11">
      <c r="A314" t="s">
        <v>2252</v>
      </c>
      <c r="B314" s="15">
        <v>45381</v>
      </c>
      <c r="C314" s="4">
        <v>45352</v>
      </c>
      <c r="D314" t="s">
        <v>47</v>
      </c>
      <c r="E314" t="s">
        <v>21</v>
      </c>
      <c r="F314" t="s">
        <v>49</v>
      </c>
      <c r="G314" t="s">
        <v>230</v>
      </c>
      <c r="H314" t="s">
        <v>8</v>
      </c>
      <c r="I314" t="s">
        <v>1935</v>
      </c>
      <c r="J314" t="s">
        <v>1936</v>
      </c>
      <c r="K314" s="8">
        <v>27</v>
      </c>
    </row>
    <row r="315" spans="1:11">
      <c r="A315" t="s">
        <v>2253</v>
      </c>
      <c r="B315" s="15">
        <v>45352</v>
      </c>
      <c r="C315" s="4">
        <v>45352</v>
      </c>
      <c r="D315" t="s">
        <v>50</v>
      </c>
      <c r="E315" t="s">
        <v>23</v>
      </c>
      <c r="F315" t="s">
        <v>52</v>
      </c>
      <c r="G315" t="s">
        <v>310</v>
      </c>
      <c r="H315" t="s">
        <v>11</v>
      </c>
      <c r="I315" t="s">
        <v>1935</v>
      </c>
      <c r="J315" t="s">
        <v>1936</v>
      </c>
      <c r="K315" s="8">
        <v>30</v>
      </c>
    </row>
    <row r="316" spans="1:11">
      <c r="A316" t="s">
        <v>2254</v>
      </c>
      <c r="B316" s="15">
        <v>45362</v>
      </c>
      <c r="C316" s="4">
        <v>45352</v>
      </c>
      <c r="D316" t="s">
        <v>50</v>
      </c>
      <c r="E316" t="s">
        <v>23</v>
      </c>
      <c r="F316" t="s">
        <v>52</v>
      </c>
      <c r="G316" t="s">
        <v>256</v>
      </c>
      <c r="H316" t="s">
        <v>5</v>
      </c>
      <c r="I316" t="s">
        <v>1935</v>
      </c>
      <c r="J316" t="s">
        <v>1936</v>
      </c>
      <c r="K316" s="8">
        <v>15</v>
      </c>
    </row>
    <row r="317" spans="1:11">
      <c r="A317" t="s">
        <v>2255</v>
      </c>
      <c r="B317" s="15">
        <v>45374</v>
      </c>
      <c r="C317" s="4">
        <v>45352</v>
      </c>
      <c r="D317" t="s">
        <v>50</v>
      </c>
      <c r="E317" t="s">
        <v>23</v>
      </c>
      <c r="F317" t="s">
        <v>52</v>
      </c>
      <c r="G317" t="s">
        <v>244</v>
      </c>
      <c r="H317" t="s">
        <v>11</v>
      </c>
      <c r="I317" t="s">
        <v>1935</v>
      </c>
      <c r="J317" t="s">
        <v>1936</v>
      </c>
      <c r="K317" s="8">
        <v>21</v>
      </c>
    </row>
    <row r="318" spans="1:11">
      <c r="A318" t="s">
        <v>2256</v>
      </c>
      <c r="B318" s="15">
        <v>45381</v>
      </c>
      <c r="C318" s="4">
        <v>45352</v>
      </c>
      <c r="D318" t="s">
        <v>50</v>
      </c>
      <c r="E318" t="s">
        <v>23</v>
      </c>
      <c r="F318" t="s">
        <v>52</v>
      </c>
      <c r="G318" t="s">
        <v>298</v>
      </c>
      <c r="H318" t="s">
        <v>5</v>
      </c>
      <c r="I318" t="s">
        <v>1935</v>
      </c>
      <c r="J318" t="s">
        <v>1938</v>
      </c>
      <c r="K318" s="8">
        <v>25</v>
      </c>
    </row>
    <row r="319" spans="1:11">
      <c r="A319" t="s">
        <v>2257</v>
      </c>
      <c r="B319" s="15">
        <v>45352</v>
      </c>
      <c r="C319" s="4">
        <v>45352</v>
      </c>
      <c r="D319" t="s">
        <v>50</v>
      </c>
      <c r="E319" t="s">
        <v>23</v>
      </c>
      <c r="F319" t="s">
        <v>52</v>
      </c>
      <c r="G319" t="s">
        <v>244</v>
      </c>
      <c r="H319" t="s">
        <v>11</v>
      </c>
      <c r="I319" t="s">
        <v>1935</v>
      </c>
      <c r="J319" t="s">
        <v>1954</v>
      </c>
      <c r="K319" s="8">
        <v>28</v>
      </c>
    </row>
    <row r="320" spans="1:11">
      <c r="A320" t="s">
        <v>2258</v>
      </c>
      <c r="B320" s="15">
        <v>45363</v>
      </c>
      <c r="C320" s="4">
        <v>45352</v>
      </c>
      <c r="D320" t="s">
        <v>50</v>
      </c>
      <c r="E320" t="s">
        <v>23</v>
      </c>
      <c r="F320" t="s">
        <v>52</v>
      </c>
      <c r="G320" t="s">
        <v>238</v>
      </c>
      <c r="H320" t="s">
        <v>8</v>
      </c>
      <c r="I320" t="s">
        <v>1935</v>
      </c>
      <c r="J320" t="s">
        <v>1936</v>
      </c>
      <c r="K320" s="8">
        <v>35</v>
      </c>
    </row>
    <row r="321" spans="1:11">
      <c r="A321" t="s">
        <v>2259</v>
      </c>
      <c r="B321" s="15">
        <v>45368</v>
      </c>
      <c r="C321" s="4">
        <v>45352</v>
      </c>
      <c r="D321" t="s">
        <v>50</v>
      </c>
      <c r="E321" t="s">
        <v>23</v>
      </c>
      <c r="F321" t="s">
        <v>52</v>
      </c>
      <c r="G321" t="s">
        <v>280</v>
      </c>
      <c r="H321" t="s">
        <v>11</v>
      </c>
      <c r="I321" t="s">
        <v>1935</v>
      </c>
      <c r="J321" t="s">
        <v>1936</v>
      </c>
      <c r="K321" s="8">
        <v>10</v>
      </c>
    </row>
    <row r="322" spans="1:11">
      <c r="A322" t="s">
        <v>2260</v>
      </c>
      <c r="B322" s="15">
        <v>45361</v>
      </c>
      <c r="C322" s="4">
        <v>45352</v>
      </c>
      <c r="D322" t="s">
        <v>50</v>
      </c>
      <c r="E322" t="s">
        <v>23</v>
      </c>
      <c r="F322" t="s">
        <v>52</v>
      </c>
      <c r="G322" t="s">
        <v>298</v>
      </c>
      <c r="H322" t="s">
        <v>5</v>
      </c>
      <c r="I322" t="s">
        <v>1935</v>
      </c>
      <c r="J322" t="s">
        <v>1936</v>
      </c>
      <c r="K322" s="8">
        <v>21</v>
      </c>
    </row>
    <row r="323" spans="1:11">
      <c r="A323" t="s">
        <v>2261</v>
      </c>
      <c r="B323" s="15">
        <v>45381</v>
      </c>
      <c r="C323" s="4">
        <v>45352</v>
      </c>
      <c r="D323" t="s">
        <v>50</v>
      </c>
      <c r="E323" t="s">
        <v>23</v>
      </c>
      <c r="F323" t="s">
        <v>52</v>
      </c>
      <c r="G323" t="s">
        <v>274</v>
      </c>
      <c r="H323" t="s">
        <v>11</v>
      </c>
      <c r="I323" t="s">
        <v>1935</v>
      </c>
      <c r="J323" t="s">
        <v>1936</v>
      </c>
      <c r="K323" s="8">
        <v>30</v>
      </c>
    </row>
    <row r="324" spans="1:11">
      <c r="A324" t="s">
        <v>2262</v>
      </c>
      <c r="B324" s="15">
        <v>45358</v>
      </c>
      <c r="C324" s="4">
        <v>45352</v>
      </c>
      <c r="D324" t="s">
        <v>53</v>
      </c>
      <c r="E324" t="s">
        <v>23</v>
      </c>
      <c r="F324" t="s">
        <v>55</v>
      </c>
      <c r="G324" t="s">
        <v>312</v>
      </c>
      <c r="H324" t="s">
        <v>5</v>
      </c>
      <c r="I324" t="s">
        <v>1935</v>
      </c>
      <c r="J324" t="s">
        <v>1936</v>
      </c>
      <c r="K324" s="8">
        <v>34</v>
      </c>
    </row>
    <row r="325" spans="1:11">
      <c r="A325" t="s">
        <v>2263</v>
      </c>
      <c r="B325" s="15">
        <v>45363</v>
      </c>
      <c r="C325" s="4">
        <v>45352</v>
      </c>
      <c r="D325" t="s">
        <v>53</v>
      </c>
      <c r="E325" t="s">
        <v>23</v>
      </c>
      <c r="F325" t="s">
        <v>55</v>
      </c>
      <c r="G325" t="s">
        <v>282</v>
      </c>
      <c r="H325" t="s">
        <v>8</v>
      </c>
      <c r="I325" t="s">
        <v>1935</v>
      </c>
      <c r="J325" t="s">
        <v>1936</v>
      </c>
      <c r="K325" s="8">
        <v>21</v>
      </c>
    </row>
    <row r="326" spans="1:11">
      <c r="A326" t="s">
        <v>2264</v>
      </c>
      <c r="B326" s="15">
        <v>45356</v>
      </c>
      <c r="C326" s="4">
        <v>45352</v>
      </c>
      <c r="D326" t="s">
        <v>53</v>
      </c>
      <c r="E326" t="s">
        <v>23</v>
      </c>
      <c r="F326" t="s">
        <v>55</v>
      </c>
      <c r="G326" t="s">
        <v>258</v>
      </c>
      <c r="H326" t="s">
        <v>5</v>
      </c>
      <c r="I326" t="s">
        <v>1935</v>
      </c>
      <c r="J326" t="s">
        <v>1936</v>
      </c>
      <c r="K326" s="8">
        <v>25</v>
      </c>
    </row>
    <row r="327" spans="1:11">
      <c r="A327" t="s">
        <v>2265</v>
      </c>
      <c r="B327" s="15">
        <v>45354</v>
      </c>
      <c r="C327" s="4">
        <v>45352</v>
      </c>
      <c r="D327" t="s">
        <v>53</v>
      </c>
      <c r="E327" t="s">
        <v>23</v>
      </c>
      <c r="F327" t="s">
        <v>55</v>
      </c>
      <c r="G327" t="s">
        <v>270</v>
      </c>
      <c r="H327" t="s">
        <v>8</v>
      </c>
      <c r="I327" t="s">
        <v>1935</v>
      </c>
      <c r="J327" t="s">
        <v>1936</v>
      </c>
      <c r="K327" s="8">
        <v>24</v>
      </c>
    </row>
    <row r="328" spans="1:11">
      <c r="A328" t="s">
        <v>2266</v>
      </c>
      <c r="B328" s="15">
        <v>45378</v>
      </c>
      <c r="C328" s="4">
        <v>45352</v>
      </c>
      <c r="D328" t="s">
        <v>53</v>
      </c>
      <c r="E328" t="s">
        <v>23</v>
      </c>
      <c r="F328" t="s">
        <v>55</v>
      </c>
      <c r="G328" t="s">
        <v>252</v>
      </c>
      <c r="H328" t="s">
        <v>5</v>
      </c>
      <c r="I328" t="s">
        <v>1942</v>
      </c>
      <c r="J328" t="s">
        <v>1936</v>
      </c>
      <c r="K328" s="8">
        <v>6</v>
      </c>
    </row>
    <row r="329" spans="1:11">
      <c r="A329" t="s">
        <v>2267</v>
      </c>
      <c r="B329" s="15">
        <v>45381</v>
      </c>
      <c r="C329" s="4">
        <v>45352</v>
      </c>
      <c r="D329" t="s">
        <v>53</v>
      </c>
      <c r="E329" t="s">
        <v>23</v>
      </c>
      <c r="F329" t="s">
        <v>55</v>
      </c>
      <c r="G329" t="s">
        <v>252</v>
      </c>
      <c r="H329" t="s">
        <v>5</v>
      </c>
      <c r="I329" t="s">
        <v>1935</v>
      </c>
      <c r="J329" t="s">
        <v>1936</v>
      </c>
      <c r="K329" s="8">
        <v>19</v>
      </c>
    </row>
    <row r="330" spans="1:11">
      <c r="A330" t="s">
        <v>2268</v>
      </c>
      <c r="B330" s="15">
        <v>45374</v>
      </c>
      <c r="C330" s="4">
        <v>45352</v>
      </c>
      <c r="D330" t="s">
        <v>53</v>
      </c>
      <c r="E330" t="s">
        <v>23</v>
      </c>
      <c r="F330" t="s">
        <v>55</v>
      </c>
      <c r="G330" t="s">
        <v>288</v>
      </c>
      <c r="H330" t="s">
        <v>8</v>
      </c>
      <c r="I330" t="s">
        <v>1935</v>
      </c>
      <c r="J330" t="s">
        <v>1936</v>
      </c>
      <c r="K330" s="8">
        <v>29</v>
      </c>
    </row>
    <row r="331" spans="1:11">
      <c r="A331" t="s">
        <v>2269</v>
      </c>
      <c r="B331" s="15">
        <v>45371</v>
      </c>
      <c r="C331" s="4">
        <v>45352</v>
      </c>
      <c r="D331" t="s">
        <v>53</v>
      </c>
      <c r="E331" t="s">
        <v>23</v>
      </c>
      <c r="F331" t="s">
        <v>55</v>
      </c>
      <c r="G331" t="s">
        <v>240</v>
      </c>
      <c r="H331" t="s">
        <v>14</v>
      </c>
      <c r="I331" t="s">
        <v>1935</v>
      </c>
      <c r="J331" t="s">
        <v>1936</v>
      </c>
      <c r="K331" s="8">
        <v>16</v>
      </c>
    </row>
    <row r="332" spans="1:11">
      <c r="A332" t="s">
        <v>2270</v>
      </c>
      <c r="B332" s="15">
        <v>45357</v>
      </c>
      <c r="C332" s="4">
        <v>45352</v>
      </c>
      <c r="D332" t="s">
        <v>53</v>
      </c>
      <c r="E332" t="s">
        <v>23</v>
      </c>
      <c r="F332" t="s">
        <v>55</v>
      </c>
      <c r="G332" t="s">
        <v>270</v>
      </c>
      <c r="H332" t="s">
        <v>11</v>
      </c>
      <c r="I332" t="s">
        <v>1935</v>
      </c>
      <c r="J332" t="s">
        <v>1936</v>
      </c>
      <c r="K332" s="8">
        <v>33</v>
      </c>
    </row>
    <row r="333" spans="1:11">
      <c r="A333" t="s">
        <v>2271</v>
      </c>
      <c r="B333" s="15">
        <v>45376</v>
      </c>
      <c r="C333" s="4">
        <v>45352</v>
      </c>
      <c r="D333" t="s">
        <v>56</v>
      </c>
      <c r="E333" t="s">
        <v>23</v>
      </c>
      <c r="F333" t="s">
        <v>58</v>
      </c>
      <c r="G333" t="s">
        <v>260</v>
      </c>
      <c r="H333" t="s">
        <v>5</v>
      </c>
      <c r="I333" t="s">
        <v>1935</v>
      </c>
      <c r="J333" t="s">
        <v>1936</v>
      </c>
      <c r="K333" s="8">
        <v>8</v>
      </c>
    </row>
    <row r="334" spans="1:11">
      <c r="A334" t="s">
        <v>2272</v>
      </c>
      <c r="B334" s="15">
        <v>45366</v>
      </c>
      <c r="C334" s="4">
        <v>45352</v>
      </c>
      <c r="D334" t="s">
        <v>56</v>
      </c>
      <c r="E334" t="s">
        <v>23</v>
      </c>
      <c r="F334" t="s">
        <v>58</v>
      </c>
      <c r="G334" t="s">
        <v>308</v>
      </c>
      <c r="H334" t="s">
        <v>11</v>
      </c>
      <c r="I334" t="s">
        <v>1935</v>
      </c>
      <c r="J334" t="s">
        <v>1936</v>
      </c>
      <c r="K334" s="8">
        <v>16</v>
      </c>
    </row>
    <row r="335" spans="1:11">
      <c r="A335" t="s">
        <v>2273</v>
      </c>
      <c r="B335" s="15">
        <v>45361</v>
      </c>
      <c r="C335" s="4">
        <v>45352</v>
      </c>
      <c r="D335" t="s">
        <v>56</v>
      </c>
      <c r="E335" t="s">
        <v>23</v>
      </c>
      <c r="F335" t="s">
        <v>58</v>
      </c>
      <c r="G335" t="s">
        <v>248</v>
      </c>
      <c r="H335" t="s">
        <v>11</v>
      </c>
      <c r="I335" t="s">
        <v>1942</v>
      </c>
      <c r="J335" t="s">
        <v>1954</v>
      </c>
      <c r="K335" s="8">
        <v>3</v>
      </c>
    </row>
    <row r="336" spans="1:11">
      <c r="A336" t="s">
        <v>2274</v>
      </c>
      <c r="B336" s="15">
        <v>45370</v>
      </c>
      <c r="C336" s="4">
        <v>45352</v>
      </c>
      <c r="D336" t="s">
        <v>56</v>
      </c>
      <c r="E336" t="s">
        <v>23</v>
      </c>
      <c r="F336" t="s">
        <v>58</v>
      </c>
      <c r="G336" t="s">
        <v>284</v>
      </c>
      <c r="H336" t="s">
        <v>8</v>
      </c>
      <c r="I336" t="s">
        <v>1935</v>
      </c>
      <c r="J336" t="s">
        <v>1936</v>
      </c>
      <c r="K336" s="8">
        <v>22</v>
      </c>
    </row>
    <row r="337" spans="1:11">
      <c r="A337" t="s">
        <v>2275</v>
      </c>
      <c r="B337" s="15">
        <v>45357</v>
      </c>
      <c r="C337" s="4">
        <v>45352</v>
      </c>
      <c r="D337" t="s">
        <v>56</v>
      </c>
      <c r="E337" t="s">
        <v>23</v>
      </c>
      <c r="F337" t="s">
        <v>58</v>
      </c>
      <c r="G337" t="s">
        <v>248</v>
      </c>
      <c r="H337" t="s">
        <v>8</v>
      </c>
      <c r="I337" t="s">
        <v>1935</v>
      </c>
      <c r="J337" t="s">
        <v>1938</v>
      </c>
      <c r="K337" s="8">
        <v>14</v>
      </c>
    </row>
    <row r="338" spans="1:11">
      <c r="A338" t="s">
        <v>2276</v>
      </c>
      <c r="B338" s="15">
        <v>45374</v>
      </c>
      <c r="C338" s="4">
        <v>45352</v>
      </c>
      <c r="D338" t="s">
        <v>56</v>
      </c>
      <c r="E338" t="s">
        <v>23</v>
      </c>
      <c r="F338" t="s">
        <v>58</v>
      </c>
      <c r="G338" t="s">
        <v>248</v>
      </c>
      <c r="H338" t="s">
        <v>14</v>
      </c>
      <c r="I338" t="s">
        <v>1935</v>
      </c>
      <c r="J338" t="s">
        <v>1936</v>
      </c>
      <c r="K338" s="8">
        <v>14</v>
      </c>
    </row>
    <row r="339" spans="1:11">
      <c r="A339" t="s">
        <v>2277</v>
      </c>
      <c r="B339" s="15">
        <v>45359</v>
      </c>
      <c r="C339" s="4">
        <v>45352</v>
      </c>
      <c r="D339" t="s">
        <v>56</v>
      </c>
      <c r="E339" t="s">
        <v>23</v>
      </c>
      <c r="F339" t="s">
        <v>58</v>
      </c>
      <c r="G339" t="s">
        <v>260</v>
      </c>
      <c r="H339" t="s">
        <v>5</v>
      </c>
      <c r="I339" t="s">
        <v>1935</v>
      </c>
      <c r="J339" t="s">
        <v>1936</v>
      </c>
      <c r="K339" s="8">
        <v>18</v>
      </c>
    </row>
    <row r="340" spans="1:11">
      <c r="A340" t="s">
        <v>2278</v>
      </c>
      <c r="B340" s="15">
        <v>45354</v>
      </c>
      <c r="C340" s="4">
        <v>45352</v>
      </c>
      <c r="D340" t="s">
        <v>56</v>
      </c>
      <c r="E340" t="s">
        <v>23</v>
      </c>
      <c r="F340" t="s">
        <v>58</v>
      </c>
      <c r="G340" t="s">
        <v>302</v>
      </c>
      <c r="H340" t="s">
        <v>5</v>
      </c>
      <c r="I340" t="s">
        <v>1935</v>
      </c>
      <c r="J340" t="s">
        <v>1954</v>
      </c>
      <c r="K340" s="8">
        <v>29</v>
      </c>
    </row>
    <row r="341" spans="1:11">
      <c r="A341" t="s">
        <v>2279</v>
      </c>
      <c r="B341" s="15">
        <v>45376</v>
      </c>
      <c r="C341" s="4">
        <v>45352</v>
      </c>
      <c r="D341" t="s">
        <v>56</v>
      </c>
      <c r="E341" t="s">
        <v>23</v>
      </c>
      <c r="F341" t="s">
        <v>58</v>
      </c>
      <c r="G341" t="s">
        <v>290</v>
      </c>
      <c r="H341" t="s">
        <v>14</v>
      </c>
      <c r="I341" t="s">
        <v>1935</v>
      </c>
      <c r="J341" t="s">
        <v>1936</v>
      </c>
      <c r="K341" s="8">
        <v>22</v>
      </c>
    </row>
    <row r="342" spans="1:11">
      <c r="A342" t="s">
        <v>2280</v>
      </c>
      <c r="B342" s="15">
        <v>45356</v>
      </c>
      <c r="C342" s="4">
        <v>45352</v>
      </c>
      <c r="D342" t="s">
        <v>59</v>
      </c>
      <c r="E342" t="s">
        <v>25</v>
      </c>
      <c r="F342" t="s">
        <v>61</v>
      </c>
      <c r="G342" t="s">
        <v>320</v>
      </c>
      <c r="H342" t="s">
        <v>11</v>
      </c>
      <c r="I342" t="s">
        <v>1935</v>
      </c>
      <c r="J342" t="s">
        <v>1938</v>
      </c>
      <c r="K342" s="8">
        <v>21</v>
      </c>
    </row>
    <row r="343" spans="1:11">
      <c r="A343" t="s">
        <v>2281</v>
      </c>
      <c r="B343" s="15">
        <v>45382</v>
      </c>
      <c r="C343" s="4">
        <v>45352</v>
      </c>
      <c r="D343" t="s">
        <v>59</v>
      </c>
      <c r="E343" t="s">
        <v>25</v>
      </c>
      <c r="F343" t="s">
        <v>61</v>
      </c>
      <c r="G343" t="s">
        <v>380</v>
      </c>
      <c r="H343" t="s">
        <v>11</v>
      </c>
      <c r="I343" t="s">
        <v>1935</v>
      </c>
      <c r="J343" t="s">
        <v>1936</v>
      </c>
      <c r="K343" s="8">
        <v>25</v>
      </c>
    </row>
    <row r="344" spans="1:11">
      <c r="A344" t="s">
        <v>2282</v>
      </c>
      <c r="B344" s="15">
        <v>45357</v>
      </c>
      <c r="C344" s="4">
        <v>45352</v>
      </c>
      <c r="D344" t="s">
        <v>59</v>
      </c>
      <c r="E344" t="s">
        <v>25</v>
      </c>
      <c r="F344" t="s">
        <v>61</v>
      </c>
      <c r="G344" t="s">
        <v>350</v>
      </c>
      <c r="H344" t="s">
        <v>11</v>
      </c>
      <c r="I344" t="s">
        <v>1935</v>
      </c>
      <c r="J344" t="s">
        <v>1936</v>
      </c>
      <c r="K344" s="8">
        <v>15</v>
      </c>
    </row>
    <row r="345" spans="1:11">
      <c r="A345" t="s">
        <v>2283</v>
      </c>
      <c r="B345" s="15">
        <v>45363</v>
      </c>
      <c r="C345" s="4">
        <v>45352</v>
      </c>
      <c r="D345" t="s">
        <v>59</v>
      </c>
      <c r="E345" t="s">
        <v>25</v>
      </c>
      <c r="F345" t="s">
        <v>61</v>
      </c>
      <c r="G345" t="s">
        <v>332</v>
      </c>
      <c r="H345" t="s">
        <v>8</v>
      </c>
      <c r="I345" t="s">
        <v>1935</v>
      </c>
      <c r="J345" t="s">
        <v>1936</v>
      </c>
      <c r="K345" s="8">
        <v>17</v>
      </c>
    </row>
    <row r="346" spans="1:11">
      <c r="A346" t="s">
        <v>2284</v>
      </c>
      <c r="B346" s="15">
        <v>45377</v>
      </c>
      <c r="C346" s="4">
        <v>45352</v>
      </c>
      <c r="D346" t="s">
        <v>59</v>
      </c>
      <c r="E346" t="s">
        <v>25</v>
      </c>
      <c r="F346" t="s">
        <v>61</v>
      </c>
      <c r="G346" t="s">
        <v>326</v>
      </c>
      <c r="H346" t="s">
        <v>11</v>
      </c>
      <c r="I346" t="s">
        <v>1995</v>
      </c>
      <c r="J346" t="s">
        <v>1936</v>
      </c>
      <c r="K346" s="8">
        <v>8</v>
      </c>
    </row>
    <row r="347" spans="1:11">
      <c r="A347" t="s">
        <v>2285</v>
      </c>
      <c r="B347" s="15">
        <v>45361</v>
      </c>
      <c r="C347" s="4">
        <v>45352</v>
      </c>
      <c r="D347" t="s">
        <v>59</v>
      </c>
      <c r="E347" t="s">
        <v>25</v>
      </c>
      <c r="F347" t="s">
        <v>61</v>
      </c>
      <c r="G347" t="s">
        <v>368</v>
      </c>
      <c r="H347" t="s">
        <v>14</v>
      </c>
      <c r="I347" t="s">
        <v>1935</v>
      </c>
      <c r="J347" t="s">
        <v>1936</v>
      </c>
      <c r="K347" s="8">
        <v>26</v>
      </c>
    </row>
    <row r="348" spans="1:11">
      <c r="A348" t="s">
        <v>2286</v>
      </c>
      <c r="B348" s="15">
        <v>45359</v>
      </c>
      <c r="C348" s="4">
        <v>45352</v>
      </c>
      <c r="D348" t="s">
        <v>59</v>
      </c>
      <c r="E348" t="s">
        <v>25</v>
      </c>
      <c r="F348" t="s">
        <v>61</v>
      </c>
      <c r="G348" t="s">
        <v>368</v>
      </c>
      <c r="H348" t="s">
        <v>14</v>
      </c>
      <c r="I348" t="s">
        <v>1935</v>
      </c>
      <c r="J348" t="s">
        <v>1936</v>
      </c>
      <c r="K348" s="8">
        <v>14</v>
      </c>
    </row>
    <row r="349" spans="1:11">
      <c r="A349" t="s">
        <v>2287</v>
      </c>
      <c r="B349" s="15">
        <v>45379</v>
      </c>
      <c r="C349" s="4">
        <v>45352</v>
      </c>
      <c r="D349" t="s">
        <v>59</v>
      </c>
      <c r="E349" t="s">
        <v>25</v>
      </c>
      <c r="F349" t="s">
        <v>61</v>
      </c>
      <c r="G349" t="s">
        <v>320</v>
      </c>
      <c r="H349" t="s">
        <v>11</v>
      </c>
      <c r="I349" t="s">
        <v>1935</v>
      </c>
      <c r="J349" t="s">
        <v>1936</v>
      </c>
      <c r="K349" s="8">
        <v>24</v>
      </c>
    </row>
    <row r="350" spans="1:11">
      <c r="A350" t="s">
        <v>2288</v>
      </c>
      <c r="B350" s="15">
        <v>45355</v>
      </c>
      <c r="C350" s="4">
        <v>45352</v>
      </c>
      <c r="D350" t="s">
        <v>59</v>
      </c>
      <c r="E350" t="s">
        <v>25</v>
      </c>
      <c r="F350" t="s">
        <v>61</v>
      </c>
      <c r="G350" t="s">
        <v>362</v>
      </c>
      <c r="H350" t="s">
        <v>14</v>
      </c>
      <c r="I350" t="s">
        <v>1935</v>
      </c>
      <c r="J350" t="s">
        <v>1938</v>
      </c>
      <c r="K350" s="8">
        <v>12</v>
      </c>
    </row>
    <row r="351" spans="1:11">
      <c r="A351" t="s">
        <v>2289</v>
      </c>
      <c r="B351" s="15">
        <v>45363</v>
      </c>
      <c r="C351" s="4">
        <v>45352</v>
      </c>
      <c r="D351" t="s">
        <v>59</v>
      </c>
      <c r="E351" t="s">
        <v>25</v>
      </c>
      <c r="F351" t="s">
        <v>61</v>
      </c>
      <c r="G351" t="s">
        <v>380</v>
      </c>
      <c r="H351" t="s">
        <v>11</v>
      </c>
      <c r="I351" t="s">
        <v>1935</v>
      </c>
      <c r="J351" t="s">
        <v>1936</v>
      </c>
      <c r="K351" s="8">
        <v>23</v>
      </c>
    </row>
    <row r="352" spans="1:11">
      <c r="A352" t="s">
        <v>2290</v>
      </c>
      <c r="B352" s="15">
        <v>45361</v>
      </c>
      <c r="C352" s="4">
        <v>45352</v>
      </c>
      <c r="D352" t="s">
        <v>62</v>
      </c>
      <c r="E352" t="s">
        <v>25</v>
      </c>
      <c r="F352" t="s">
        <v>64</v>
      </c>
      <c r="G352" t="s">
        <v>352</v>
      </c>
      <c r="H352" t="s">
        <v>11</v>
      </c>
      <c r="I352" t="s">
        <v>1935</v>
      </c>
      <c r="J352" t="s">
        <v>1936</v>
      </c>
      <c r="K352" s="8">
        <v>13</v>
      </c>
    </row>
    <row r="353" spans="1:11">
      <c r="A353" t="s">
        <v>2291</v>
      </c>
      <c r="B353" s="15">
        <v>45353</v>
      </c>
      <c r="C353" s="4">
        <v>45352</v>
      </c>
      <c r="D353" t="s">
        <v>62</v>
      </c>
      <c r="E353" t="s">
        <v>25</v>
      </c>
      <c r="F353" t="s">
        <v>64</v>
      </c>
      <c r="G353" t="s">
        <v>328</v>
      </c>
      <c r="H353" t="s">
        <v>5</v>
      </c>
      <c r="I353" t="s">
        <v>1935</v>
      </c>
      <c r="J353" t="s">
        <v>1936</v>
      </c>
      <c r="K353" s="8">
        <v>11</v>
      </c>
    </row>
    <row r="354" spans="1:11">
      <c r="A354" t="s">
        <v>2292</v>
      </c>
      <c r="B354" s="15">
        <v>45381</v>
      </c>
      <c r="C354" s="4">
        <v>45352</v>
      </c>
      <c r="D354" t="s">
        <v>62</v>
      </c>
      <c r="E354" t="s">
        <v>25</v>
      </c>
      <c r="F354" t="s">
        <v>64</v>
      </c>
      <c r="G354" t="s">
        <v>364</v>
      </c>
      <c r="H354" t="s">
        <v>14</v>
      </c>
      <c r="I354" t="s">
        <v>1935</v>
      </c>
      <c r="J354" t="s">
        <v>1936</v>
      </c>
      <c r="K354" s="8">
        <v>14</v>
      </c>
    </row>
    <row r="355" spans="1:11">
      <c r="A355" t="s">
        <v>2293</v>
      </c>
      <c r="B355" s="15">
        <v>45363</v>
      </c>
      <c r="C355" s="4">
        <v>45352</v>
      </c>
      <c r="D355" t="s">
        <v>62</v>
      </c>
      <c r="E355" t="s">
        <v>25</v>
      </c>
      <c r="F355" t="s">
        <v>64</v>
      </c>
      <c r="G355" t="s">
        <v>370</v>
      </c>
      <c r="H355" t="s">
        <v>8</v>
      </c>
      <c r="I355" t="s">
        <v>1935</v>
      </c>
      <c r="J355" t="s">
        <v>1936</v>
      </c>
      <c r="K355" s="8">
        <v>15</v>
      </c>
    </row>
    <row r="356" spans="1:11">
      <c r="A356" t="s">
        <v>2294</v>
      </c>
      <c r="B356" s="15">
        <v>45352</v>
      </c>
      <c r="C356" s="4">
        <v>45352</v>
      </c>
      <c r="D356" t="s">
        <v>62</v>
      </c>
      <c r="E356" t="s">
        <v>25</v>
      </c>
      <c r="F356" t="s">
        <v>64</v>
      </c>
      <c r="G356" t="s">
        <v>322</v>
      </c>
      <c r="H356" t="s">
        <v>5</v>
      </c>
      <c r="I356" t="s">
        <v>1935</v>
      </c>
      <c r="J356" t="s">
        <v>1938</v>
      </c>
      <c r="K356" s="8">
        <v>31</v>
      </c>
    </row>
    <row r="357" spans="1:11">
      <c r="A357" t="s">
        <v>2295</v>
      </c>
      <c r="B357" s="15">
        <v>45377</v>
      </c>
      <c r="C357" s="4">
        <v>45352</v>
      </c>
      <c r="D357" t="s">
        <v>62</v>
      </c>
      <c r="E357" t="s">
        <v>25</v>
      </c>
      <c r="F357" t="s">
        <v>64</v>
      </c>
      <c r="G357" t="s">
        <v>322</v>
      </c>
      <c r="H357" t="s">
        <v>11</v>
      </c>
      <c r="I357" t="s">
        <v>1935</v>
      </c>
      <c r="J357" t="s">
        <v>1936</v>
      </c>
      <c r="K357" s="8">
        <v>25</v>
      </c>
    </row>
    <row r="358" spans="1:11">
      <c r="A358" t="s">
        <v>2296</v>
      </c>
      <c r="B358" s="15">
        <v>45352</v>
      </c>
      <c r="C358" s="4">
        <v>45352</v>
      </c>
      <c r="D358" t="s">
        <v>62</v>
      </c>
      <c r="E358" t="s">
        <v>25</v>
      </c>
      <c r="F358" t="s">
        <v>64</v>
      </c>
      <c r="G358" t="s">
        <v>328</v>
      </c>
      <c r="H358" t="s">
        <v>5</v>
      </c>
      <c r="I358" t="s">
        <v>1935</v>
      </c>
      <c r="J358" t="s">
        <v>1936</v>
      </c>
      <c r="K358" s="8">
        <v>18</v>
      </c>
    </row>
    <row r="359" spans="1:11">
      <c r="A359" t="s">
        <v>2297</v>
      </c>
      <c r="B359" s="15">
        <v>45380</v>
      </c>
      <c r="C359" s="4">
        <v>45352</v>
      </c>
      <c r="D359" t="s">
        <v>65</v>
      </c>
      <c r="E359" t="s">
        <v>25</v>
      </c>
      <c r="F359" t="s">
        <v>67</v>
      </c>
      <c r="G359" t="s">
        <v>318</v>
      </c>
      <c r="H359" t="s">
        <v>14</v>
      </c>
      <c r="I359" t="s">
        <v>1935</v>
      </c>
      <c r="J359" t="s">
        <v>1936</v>
      </c>
      <c r="K359" s="8">
        <v>26</v>
      </c>
    </row>
    <row r="360" spans="1:11">
      <c r="A360" t="s">
        <v>2298</v>
      </c>
      <c r="B360" s="15">
        <v>45371</v>
      </c>
      <c r="C360" s="4">
        <v>45352</v>
      </c>
      <c r="D360" t="s">
        <v>65</v>
      </c>
      <c r="E360" t="s">
        <v>25</v>
      </c>
      <c r="F360" t="s">
        <v>67</v>
      </c>
      <c r="G360" t="s">
        <v>318</v>
      </c>
      <c r="H360" t="s">
        <v>14</v>
      </c>
      <c r="I360" t="s">
        <v>1935</v>
      </c>
      <c r="J360" t="s">
        <v>1936</v>
      </c>
      <c r="K360" s="8">
        <v>17</v>
      </c>
    </row>
    <row r="361" spans="1:11">
      <c r="A361" t="s">
        <v>2299</v>
      </c>
      <c r="B361" s="15">
        <v>45352</v>
      </c>
      <c r="C361" s="4">
        <v>45352</v>
      </c>
      <c r="D361" t="s">
        <v>65</v>
      </c>
      <c r="E361" t="s">
        <v>25</v>
      </c>
      <c r="F361" t="s">
        <v>67</v>
      </c>
      <c r="G361" t="s">
        <v>372</v>
      </c>
      <c r="H361" t="s">
        <v>5</v>
      </c>
      <c r="I361" t="s">
        <v>1935</v>
      </c>
      <c r="J361" t="s">
        <v>1936</v>
      </c>
      <c r="K361" s="8">
        <v>10</v>
      </c>
    </row>
    <row r="362" spans="1:11">
      <c r="A362" t="s">
        <v>2300</v>
      </c>
      <c r="B362" s="15">
        <v>45373</v>
      </c>
      <c r="C362" s="4">
        <v>45352</v>
      </c>
      <c r="D362" t="s">
        <v>65</v>
      </c>
      <c r="E362" t="s">
        <v>25</v>
      </c>
      <c r="F362" t="s">
        <v>67</v>
      </c>
      <c r="G362" t="s">
        <v>372</v>
      </c>
      <c r="H362" t="s">
        <v>5</v>
      </c>
      <c r="I362" t="s">
        <v>1935</v>
      </c>
      <c r="J362" t="s">
        <v>1936</v>
      </c>
      <c r="K362" s="8">
        <v>34</v>
      </c>
    </row>
    <row r="363" spans="1:11">
      <c r="A363" t="s">
        <v>2301</v>
      </c>
      <c r="B363" s="15">
        <v>45362</v>
      </c>
      <c r="C363" s="4">
        <v>45352</v>
      </c>
      <c r="D363" t="s">
        <v>65</v>
      </c>
      <c r="E363" t="s">
        <v>25</v>
      </c>
      <c r="F363" t="s">
        <v>67</v>
      </c>
      <c r="G363" t="s">
        <v>318</v>
      </c>
      <c r="H363" t="s">
        <v>14</v>
      </c>
      <c r="I363" t="s">
        <v>1935</v>
      </c>
      <c r="J363" t="s">
        <v>1936</v>
      </c>
      <c r="K363" s="8">
        <v>12</v>
      </c>
    </row>
    <row r="364" spans="1:11">
      <c r="A364" t="s">
        <v>2302</v>
      </c>
      <c r="B364" s="15">
        <v>45354</v>
      </c>
      <c r="C364" s="4">
        <v>45352</v>
      </c>
      <c r="D364" t="s">
        <v>65</v>
      </c>
      <c r="E364" t="s">
        <v>25</v>
      </c>
      <c r="F364" t="s">
        <v>67</v>
      </c>
      <c r="G364" t="s">
        <v>348</v>
      </c>
      <c r="H364" t="s">
        <v>11</v>
      </c>
      <c r="I364" t="s">
        <v>1935</v>
      </c>
      <c r="J364" t="s">
        <v>1938</v>
      </c>
      <c r="K364" s="8">
        <v>8</v>
      </c>
    </row>
    <row r="365" spans="1:11">
      <c r="A365" t="s">
        <v>2303</v>
      </c>
      <c r="B365" s="15">
        <v>45354</v>
      </c>
      <c r="C365" s="4">
        <v>45352</v>
      </c>
      <c r="D365" t="s">
        <v>65</v>
      </c>
      <c r="E365" t="s">
        <v>25</v>
      </c>
      <c r="F365" t="s">
        <v>67</v>
      </c>
      <c r="G365" t="s">
        <v>318</v>
      </c>
      <c r="H365" t="s">
        <v>14</v>
      </c>
      <c r="I365" t="s">
        <v>1935</v>
      </c>
      <c r="J365" t="s">
        <v>1938</v>
      </c>
      <c r="K365" s="8">
        <v>13</v>
      </c>
    </row>
    <row r="366" spans="1:11">
      <c r="A366" t="s">
        <v>2304</v>
      </c>
      <c r="B366" s="15">
        <v>45379</v>
      </c>
      <c r="C366" s="4">
        <v>45352</v>
      </c>
      <c r="D366" t="s">
        <v>65</v>
      </c>
      <c r="E366" t="s">
        <v>25</v>
      </c>
      <c r="F366" t="s">
        <v>67</v>
      </c>
      <c r="G366" t="s">
        <v>354</v>
      </c>
      <c r="H366" t="s">
        <v>14</v>
      </c>
      <c r="I366" t="s">
        <v>1935</v>
      </c>
      <c r="J366" t="s">
        <v>1936</v>
      </c>
      <c r="K366" s="8">
        <v>32</v>
      </c>
    </row>
    <row r="367" spans="1:11">
      <c r="A367" t="s">
        <v>2305</v>
      </c>
      <c r="B367" s="15">
        <v>45358</v>
      </c>
      <c r="C367" s="4">
        <v>45352</v>
      </c>
      <c r="D367" t="s">
        <v>65</v>
      </c>
      <c r="E367" t="s">
        <v>25</v>
      </c>
      <c r="F367" t="s">
        <v>67</v>
      </c>
      <c r="G367" t="s">
        <v>372</v>
      </c>
      <c r="H367" t="s">
        <v>5</v>
      </c>
      <c r="I367" t="s">
        <v>1935</v>
      </c>
      <c r="J367" t="s">
        <v>1936</v>
      </c>
      <c r="K367" s="8">
        <v>27</v>
      </c>
    </row>
    <row r="368" spans="1:11">
      <c r="A368" t="s">
        <v>2306</v>
      </c>
      <c r="B368" s="15">
        <v>45395</v>
      </c>
      <c r="C368" s="4">
        <v>45383</v>
      </c>
      <c r="D368" t="s">
        <v>32</v>
      </c>
      <c r="E368" t="s">
        <v>19</v>
      </c>
      <c r="F368" t="s">
        <v>34</v>
      </c>
      <c r="G368" t="s">
        <v>99</v>
      </c>
      <c r="H368" t="s">
        <v>14</v>
      </c>
      <c r="I368" t="s">
        <v>1935</v>
      </c>
      <c r="J368" t="s">
        <v>1936</v>
      </c>
      <c r="K368" s="8">
        <v>11</v>
      </c>
    </row>
    <row r="369" spans="1:11">
      <c r="A369" t="s">
        <v>2307</v>
      </c>
      <c r="B369" s="15">
        <v>45402</v>
      </c>
      <c r="C369" s="4">
        <v>45383</v>
      </c>
      <c r="D369" t="s">
        <v>32</v>
      </c>
      <c r="E369" t="s">
        <v>19</v>
      </c>
      <c r="F369" t="s">
        <v>34</v>
      </c>
      <c r="G369" t="s">
        <v>130</v>
      </c>
      <c r="H369" t="s">
        <v>14</v>
      </c>
      <c r="I369" t="s">
        <v>1935</v>
      </c>
      <c r="J369" t="s">
        <v>1936</v>
      </c>
      <c r="K369" s="8">
        <v>18</v>
      </c>
    </row>
    <row r="370" spans="1:11">
      <c r="A370" t="s">
        <v>2308</v>
      </c>
      <c r="B370" s="15">
        <v>45406</v>
      </c>
      <c r="C370" s="4">
        <v>45383</v>
      </c>
      <c r="D370" t="s">
        <v>32</v>
      </c>
      <c r="E370" t="s">
        <v>19</v>
      </c>
      <c r="F370" t="s">
        <v>34</v>
      </c>
      <c r="G370" t="s">
        <v>105</v>
      </c>
      <c r="H370" t="s">
        <v>11</v>
      </c>
      <c r="I370" t="s">
        <v>1935</v>
      </c>
      <c r="J370" t="s">
        <v>1936</v>
      </c>
      <c r="K370" s="8">
        <v>13</v>
      </c>
    </row>
    <row r="371" spans="1:11">
      <c r="A371" t="s">
        <v>2309</v>
      </c>
      <c r="B371" s="15">
        <v>45406</v>
      </c>
      <c r="C371" s="4">
        <v>45383</v>
      </c>
      <c r="D371" t="s">
        <v>32</v>
      </c>
      <c r="E371" t="s">
        <v>19</v>
      </c>
      <c r="F371" t="s">
        <v>34</v>
      </c>
      <c r="G371" t="s">
        <v>136</v>
      </c>
      <c r="H371" t="s">
        <v>5</v>
      </c>
      <c r="I371" t="s">
        <v>1935</v>
      </c>
      <c r="J371" t="s">
        <v>1938</v>
      </c>
      <c r="K371" s="8">
        <v>15</v>
      </c>
    </row>
    <row r="372" spans="1:11">
      <c r="A372" t="s">
        <v>2310</v>
      </c>
      <c r="B372" s="15">
        <v>45405</v>
      </c>
      <c r="C372" s="4">
        <v>45383</v>
      </c>
      <c r="D372" t="s">
        <v>32</v>
      </c>
      <c r="E372" t="s">
        <v>19</v>
      </c>
      <c r="F372" t="s">
        <v>34</v>
      </c>
      <c r="G372" t="s">
        <v>124</v>
      </c>
      <c r="H372" t="s">
        <v>5</v>
      </c>
      <c r="I372" t="s">
        <v>1935</v>
      </c>
      <c r="J372" t="s">
        <v>1938</v>
      </c>
      <c r="K372" s="8">
        <v>29</v>
      </c>
    </row>
    <row r="373" spans="1:11">
      <c r="A373" t="s">
        <v>2311</v>
      </c>
      <c r="B373" s="15">
        <v>45404</v>
      </c>
      <c r="C373" s="4">
        <v>45383</v>
      </c>
      <c r="D373" t="s">
        <v>32</v>
      </c>
      <c r="E373" t="s">
        <v>19</v>
      </c>
      <c r="F373" t="s">
        <v>34</v>
      </c>
      <c r="G373" t="s">
        <v>142</v>
      </c>
      <c r="H373" t="s">
        <v>8</v>
      </c>
      <c r="I373" t="s">
        <v>1935</v>
      </c>
      <c r="J373" t="s">
        <v>1936</v>
      </c>
      <c r="K373" s="8">
        <v>20</v>
      </c>
    </row>
    <row r="374" spans="1:11">
      <c r="A374" t="s">
        <v>2312</v>
      </c>
      <c r="B374" s="15">
        <v>45383</v>
      </c>
      <c r="C374" s="4">
        <v>45383</v>
      </c>
      <c r="D374" t="s">
        <v>32</v>
      </c>
      <c r="E374" t="s">
        <v>19</v>
      </c>
      <c r="F374" t="s">
        <v>34</v>
      </c>
      <c r="G374" t="s">
        <v>130</v>
      </c>
      <c r="H374" t="s">
        <v>5</v>
      </c>
      <c r="I374" t="s">
        <v>1935</v>
      </c>
      <c r="J374" t="s">
        <v>1936</v>
      </c>
      <c r="K374" s="8">
        <v>10</v>
      </c>
    </row>
    <row r="375" spans="1:11">
      <c r="A375" t="s">
        <v>2313</v>
      </c>
      <c r="B375" s="15">
        <v>45410</v>
      </c>
      <c r="C375" s="4">
        <v>45383</v>
      </c>
      <c r="D375" t="s">
        <v>32</v>
      </c>
      <c r="E375" t="s">
        <v>19</v>
      </c>
      <c r="F375" t="s">
        <v>34</v>
      </c>
      <c r="G375" t="s">
        <v>148</v>
      </c>
      <c r="H375" t="s">
        <v>5</v>
      </c>
      <c r="I375" t="s">
        <v>1935</v>
      </c>
      <c r="J375" t="s">
        <v>1938</v>
      </c>
      <c r="K375" s="8">
        <v>25</v>
      </c>
    </row>
    <row r="376" spans="1:11">
      <c r="A376" t="s">
        <v>2314</v>
      </c>
      <c r="B376" s="15">
        <v>45403</v>
      </c>
      <c r="C376" s="4">
        <v>45383</v>
      </c>
      <c r="D376" t="s">
        <v>32</v>
      </c>
      <c r="E376" t="s">
        <v>19</v>
      </c>
      <c r="F376" t="s">
        <v>34</v>
      </c>
      <c r="G376" t="s">
        <v>142</v>
      </c>
      <c r="H376" t="s">
        <v>14</v>
      </c>
      <c r="I376" t="s">
        <v>1935</v>
      </c>
      <c r="J376" t="s">
        <v>1936</v>
      </c>
      <c r="K376" s="8">
        <v>25</v>
      </c>
    </row>
    <row r="377" spans="1:11">
      <c r="A377" t="s">
        <v>2315</v>
      </c>
      <c r="B377" s="15">
        <v>45403</v>
      </c>
      <c r="C377" s="4">
        <v>45383</v>
      </c>
      <c r="D377" t="s">
        <v>32</v>
      </c>
      <c r="E377" t="s">
        <v>19</v>
      </c>
      <c r="F377" t="s">
        <v>34</v>
      </c>
      <c r="G377" t="s">
        <v>111</v>
      </c>
      <c r="H377" t="s">
        <v>11</v>
      </c>
      <c r="I377" t="s">
        <v>1935</v>
      </c>
      <c r="J377" t="s">
        <v>1936</v>
      </c>
      <c r="K377" s="8">
        <v>27</v>
      </c>
    </row>
    <row r="378" spans="1:11">
      <c r="A378" t="s">
        <v>2316</v>
      </c>
      <c r="B378" s="15">
        <v>45385</v>
      </c>
      <c r="C378" s="4">
        <v>45383</v>
      </c>
      <c r="D378" t="s">
        <v>32</v>
      </c>
      <c r="E378" t="s">
        <v>19</v>
      </c>
      <c r="F378" t="s">
        <v>34</v>
      </c>
      <c r="G378" t="s">
        <v>105</v>
      </c>
      <c r="H378" t="s">
        <v>8</v>
      </c>
      <c r="I378" t="s">
        <v>1935</v>
      </c>
      <c r="J378" t="s">
        <v>1954</v>
      </c>
      <c r="K378" s="8">
        <v>18</v>
      </c>
    </row>
    <row r="379" spans="1:11">
      <c r="A379" t="s">
        <v>2317</v>
      </c>
      <c r="B379" s="15">
        <v>45390</v>
      </c>
      <c r="C379" s="4">
        <v>45383</v>
      </c>
      <c r="D379" t="s">
        <v>32</v>
      </c>
      <c r="E379" t="s">
        <v>19</v>
      </c>
      <c r="F379" t="s">
        <v>34</v>
      </c>
      <c r="G379" t="s">
        <v>136</v>
      </c>
      <c r="H379" t="s">
        <v>11</v>
      </c>
      <c r="I379" t="s">
        <v>1935</v>
      </c>
      <c r="J379" t="s">
        <v>1936</v>
      </c>
      <c r="K379" s="8">
        <v>30</v>
      </c>
    </row>
    <row r="380" spans="1:11">
      <c r="A380" t="s">
        <v>2318</v>
      </c>
      <c r="B380" s="15">
        <v>45398</v>
      </c>
      <c r="C380" s="4">
        <v>45383</v>
      </c>
      <c r="D380" t="s">
        <v>35</v>
      </c>
      <c r="E380" t="s">
        <v>19</v>
      </c>
      <c r="F380" t="s">
        <v>37</v>
      </c>
      <c r="G380" t="s">
        <v>107</v>
      </c>
      <c r="H380" t="s">
        <v>8</v>
      </c>
      <c r="I380" t="s">
        <v>1935</v>
      </c>
      <c r="J380" t="s">
        <v>1936</v>
      </c>
      <c r="K380" s="8">
        <v>11</v>
      </c>
    </row>
    <row r="381" spans="1:11">
      <c r="A381" t="s">
        <v>2319</v>
      </c>
      <c r="B381" s="15">
        <v>45383</v>
      </c>
      <c r="C381" s="4">
        <v>45383</v>
      </c>
      <c r="D381" t="s">
        <v>35</v>
      </c>
      <c r="E381" t="s">
        <v>19</v>
      </c>
      <c r="F381" t="s">
        <v>37</v>
      </c>
      <c r="G381" t="s">
        <v>101</v>
      </c>
      <c r="H381" t="s">
        <v>8</v>
      </c>
      <c r="I381" t="s">
        <v>1935</v>
      </c>
      <c r="J381" t="s">
        <v>1936</v>
      </c>
      <c r="K381" s="8">
        <v>23</v>
      </c>
    </row>
    <row r="382" spans="1:11">
      <c r="A382" t="s">
        <v>2320</v>
      </c>
      <c r="B382" s="15">
        <v>45385</v>
      </c>
      <c r="C382" s="4">
        <v>45383</v>
      </c>
      <c r="D382" t="s">
        <v>35</v>
      </c>
      <c r="E382" t="s">
        <v>19</v>
      </c>
      <c r="F382" t="s">
        <v>37</v>
      </c>
      <c r="G382" t="s">
        <v>78</v>
      </c>
      <c r="H382" t="s">
        <v>8</v>
      </c>
      <c r="I382" t="s">
        <v>1935</v>
      </c>
      <c r="J382" t="s">
        <v>1938</v>
      </c>
      <c r="K382" s="8">
        <v>17</v>
      </c>
    </row>
    <row r="383" spans="1:11">
      <c r="A383" t="s">
        <v>2321</v>
      </c>
      <c r="B383" s="15">
        <v>45397</v>
      </c>
      <c r="C383" s="4">
        <v>45383</v>
      </c>
      <c r="D383" t="s">
        <v>35</v>
      </c>
      <c r="E383" t="s">
        <v>19</v>
      </c>
      <c r="F383" t="s">
        <v>37</v>
      </c>
      <c r="G383" t="s">
        <v>101</v>
      </c>
      <c r="H383" t="s">
        <v>8</v>
      </c>
      <c r="I383" t="s">
        <v>1935</v>
      </c>
      <c r="J383" t="s">
        <v>1938</v>
      </c>
      <c r="K383" s="8">
        <v>35</v>
      </c>
    </row>
    <row r="384" spans="1:11">
      <c r="A384" t="s">
        <v>2322</v>
      </c>
      <c r="B384" s="15">
        <v>45393</v>
      </c>
      <c r="C384" s="4">
        <v>45383</v>
      </c>
      <c r="D384" t="s">
        <v>35</v>
      </c>
      <c r="E384" t="s">
        <v>19</v>
      </c>
      <c r="F384" t="s">
        <v>37</v>
      </c>
      <c r="G384" t="s">
        <v>107</v>
      </c>
      <c r="H384" t="s">
        <v>8</v>
      </c>
      <c r="I384" t="s">
        <v>1935</v>
      </c>
      <c r="J384" t="s">
        <v>1936</v>
      </c>
      <c r="K384" s="8">
        <v>32</v>
      </c>
    </row>
    <row r="385" spans="1:11">
      <c r="A385" t="s">
        <v>2323</v>
      </c>
      <c r="B385" s="15">
        <v>45405</v>
      </c>
      <c r="C385" s="4">
        <v>45383</v>
      </c>
      <c r="D385" t="s">
        <v>35</v>
      </c>
      <c r="E385" t="s">
        <v>19</v>
      </c>
      <c r="F385" t="s">
        <v>37</v>
      </c>
      <c r="G385" t="s">
        <v>107</v>
      </c>
      <c r="H385" t="s">
        <v>8</v>
      </c>
      <c r="I385" t="s">
        <v>1935</v>
      </c>
      <c r="J385" t="s">
        <v>1938</v>
      </c>
      <c r="K385" s="8">
        <v>26</v>
      </c>
    </row>
    <row r="386" spans="1:11">
      <c r="A386" t="s">
        <v>2324</v>
      </c>
      <c r="B386" s="15">
        <v>45384</v>
      </c>
      <c r="C386" s="4">
        <v>45383</v>
      </c>
      <c r="D386" t="s">
        <v>35</v>
      </c>
      <c r="E386" t="s">
        <v>19</v>
      </c>
      <c r="F386" t="s">
        <v>37</v>
      </c>
      <c r="G386" t="s">
        <v>78</v>
      </c>
      <c r="H386" t="s">
        <v>8</v>
      </c>
      <c r="I386" t="s">
        <v>1935</v>
      </c>
      <c r="J386" t="s">
        <v>1936</v>
      </c>
      <c r="K386" s="8">
        <v>33</v>
      </c>
    </row>
    <row r="387" spans="1:11">
      <c r="A387" t="s">
        <v>2325</v>
      </c>
      <c r="B387" s="15">
        <v>45409</v>
      </c>
      <c r="C387" s="4">
        <v>45383</v>
      </c>
      <c r="D387" t="s">
        <v>35</v>
      </c>
      <c r="E387" t="s">
        <v>19</v>
      </c>
      <c r="F387" t="s">
        <v>37</v>
      </c>
      <c r="G387" t="s">
        <v>101</v>
      </c>
      <c r="H387" t="s">
        <v>8</v>
      </c>
      <c r="I387" t="s">
        <v>1935</v>
      </c>
      <c r="J387" t="s">
        <v>1936</v>
      </c>
      <c r="K387" s="8">
        <v>17</v>
      </c>
    </row>
    <row r="388" spans="1:11">
      <c r="A388" t="s">
        <v>2326</v>
      </c>
      <c r="B388" s="15">
        <v>45410</v>
      </c>
      <c r="C388" s="4">
        <v>45383</v>
      </c>
      <c r="D388" t="s">
        <v>35</v>
      </c>
      <c r="E388" t="s">
        <v>19</v>
      </c>
      <c r="F388" t="s">
        <v>37</v>
      </c>
      <c r="G388" t="s">
        <v>78</v>
      </c>
      <c r="H388" t="s">
        <v>8</v>
      </c>
      <c r="I388" t="s">
        <v>1935</v>
      </c>
      <c r="J388" t="s">
        <v>1936</v>
      </c>
      <c r="K388" s="8">
        <v>33</v>
      </c>
    </row>
    <row r="389" spans="1:11">
      <c r="A389" t="s">
        <v>2327</v>
      </c>
      <c r="B389" s="15">
        <v>45394</v>
      </c>
      <c r="C389" s="4">
        <v>45383</v>
      </c>
      <c r="D389" t="s">
        <v>35</v>
      </c>
      <c r="E389" t="s">
        <v>19</v>
      </c>
      <c r="F389" t="s">
        <v>37</v>
      </c>
      <c r="G389" t="s">
        <v>101</v>
      </c>
      <c r="H389" t="s">
        <v>8</v>
      </c>
      <c r="I389" t="s">
        <v>1935</v>
      </c>
      <c r="J389" t="s">
        <v>1936</v>
      </c>
      <c r="K389" s="8">
        <v>8</v>
      </c>
    </row>
    <row r="390" spans="1:11">
      <c r="A390" t="s">
        <v>2328</v>
      </c>
      <c r="B390" s="15">
        <v>45399</v>
      </c>
      <c r="C390" s="4">
        <v>45383</v>
      </c>
      <c r="D390" t="s">
        <v>38</v>
      </c>
      <c r="E390" t="s">
        <v>19</v>
      </c>
      <c r="F390" t="s">
        <v>40</v>
      </c>
      <c r="G390" t="s">
        <v>122</v>
      </c>
      <c r="H390" t="s">
        <v>8</v>
      </c>
      <c r="I390" t="s">
        <v>1935</v>
      </c>
      <c r="J390" t="s">
        <v>1938</v>
      </c>
      <c r="K390" s="8">
        <v>28</v>
      </c>
    </row>
    <row r="391" spans="1:11">
      <c r="A391" t="s">
        <v>2329</v>
      </c>
      <c r="B391" s="15">
        <v>45409</v>
      </c>
      <c r="C391" s="4">
        <v>45383</v>
      </c>
      <c r="D391" t="s">
        <v>38</v>
      </c>
      <c r="E391" t="s">
        <v>19</v>
      </c>
      <c r="F391" t="s">
        <v>40</v>
      </c>
      <c r="G391" t="s">
        <v>164</v>
      </c>
      <c r="H391" t="s">
        <v>5</v>
      </c>
      <c r="I391" t="s">
        <v>1935</v>
      </c>
      <c r="J391" t="s">
        <v>1936</v>
      </c>
      <c r="K391" s="8">
        <v>18</v>
      </c>
    </row>
    <row r="392" spans="1:11">
      <c r="A392" t="s">
        <v>2330</v>
      </c>
      <c r="B392" s="15">
        <v>45412</v>
      </c>
      <c r="C392" s="4">
        <v>45383</v>
      </c>
      <c r="D392" t="s">
        <v>38</v>
      </c>
      <c r="E392" t="s">
        <v>19</v>
      </c>
      <c r="F392" t="s">
        <v>40</v>
      </c>
      <c r="G392" t="s">
        <v>115</v>
      </c>
      <c r="H392" t="s">
        <v>8</v>
      </c>
      <c r="I392" t="s">
        <v>1935</v>
      </c>
      <c r="J392" t="s">
        <v>1936</v>
      </c>
      <c r="K392" s="8">
        <v>33</v>
      </c>
    </row>
    <row r="393" spans="1:11">
      <c r="A393" t="s">
        <v>2331</v>
      </c>
      <c r="B393" s="15">
        <v>45407</v>
      </c>
      <c r="C393" s="4">
        <v>45383</v>
      </c>
      <c r="D393" t="s">
        <v>38</v>
      </c>
      <c r="E393" t="s">
        <v>19</v>
      </c>
      <c r="F393" t="s">
        <v>40</v>
      </c>
      <c r="G393" t="s">
        <v>158</v>
      </c>
      <c r="H393" t="s">
        <v>14</v>
      </c>
      <c r="I393" t="s">
        <v>1935</v>
      </c>
      <c r="J393" t="s">
        <v>1936</v>
      </c>
      <c r="K393" s="8">
        <v>19</v>
      </c>
    </row>
    <row r="394" spans="1:11">
      <c r="A394" t="s">
        <v>2332</v>
      </c>
      <c r="B394" s="15">
        <v>45383</v>
      </c>
      <c r="C394" s="4">
        <v>45383</v>
      </c>
      <c r="D394" t="s">
        <v>38</v>
      </c>
      <c r="E394" t="s">
        <v>19</v>
      </c>
      <c r="F394" t="s">
        <v>40</v>
      </c>
      <c r="G394" t="s">
        <v>122</v>
      </c>
      <c r="H394" t="s">
        <v>11</v>
      </c>
      <c r="I394" t="s">
        <v>1935</v>
      </c>
      <c r="J394" t="s">
        <v>1954</v>
      </c>
      <c r="K394" s="8">
        <v>8</v>
      </c>
    </row>
    <row r="395" spans="1:11">
      <c r="A395" t="s">
        <v>2333</v>
      </c>
      <c r="B395" s="15">
        <v>45408</v>
      </c>
      <c r="C395" s="4">
        <v>45383</v>
      </c>
      <c r="D395" t="s">
        <v>38</v>
      </c>
      <c r="E395" t="s">
        <v>19</v>
      </c>
      <c r="F395" t="s">
        <v>40</v>
      </c>
      <c r="G395" t="s">
        <v>134</v>
      </c>
      <c r="H395" t="s">
        <v>14</v>
      </c>
      <c r="I395" t="s">
        <v>1935</v>
      </c>
      <c r="J395" t="s">
        <v>1936</v>
      </c>
      <c r="K395" s="8">
        <v>19</v>
      </c>
    </row>
    <row r="396" spans="1:11">
      <c r="A396" t="s">
        <v>2334</v>
      </c>
      <c r="B396" s="15">
        <v>45400</v>
      </c>
      <c r="C396" s="4">
        <v>45383</v>
      </c>
      <c r="D396" t="s">
        <v>38</v>
      </c>
      <c r="E396" t="s">
        <v>19</v>
      </c>
      <c r="F396" t="s">
        <v>40</v>
      </c>
      <c r="G396" t="s">
        <v>140</v>
      </c>
      <c r="H396" t="s">
        <v>8</v>
      </c>
      <c r="I396" t="s">
        <v>1935</v>
      </c>
      <c r="J396" t="s">
        <v>1938</v>
      </c>
      <c r="K396" s="8">
        <v>9</v>
      </c>
    </row>
    <row r="397" spans="1:11">
      <c r="A397" t="s">
        <v>2335</v>
      </c>
      <c r="B397" s="15">
        <v>45411</v>
      </c>
      <c r="C397" s="4">
        <v>45383</v>
      </c>
      <c r="D397" t="s">
        <v>38</v>
      </c>
      <c r="E397" t="s">
        <v>19</v>
      </c>
      <c r="F397" t="s">
        <v>40</v>
      </c>
      <c r="G397" t="s">
        <v>140</v>
      </c>
      <c r="H397" t="s">
        <v>5</v>
      </c>
      <c r="I397" t="s">
        <v>1935</v>
      </c>
      <c r="J397" t="s">
        <v>1936</v>
      </c>
      <c r="K397" s="8">
        <v>16</v>
      </c>
    </row>
    <row r="398" spans="1:11">
      <c r="A398" t="s">
        <v>2336</v>
      </c>
      <c r="B398" s="15">
        <v>45394</v>
      </c>
      <c r="C398" s="4">
        <v>45383</v>
      </c>
      <c r="D398" t="s">
        <v>38</v>
      </c>
      <c r="E398" t="s">
        <v>19</v>
      </c>
      <c r="F398" t="s">
        <v>40</v>
      </c>
      <c r="G398" t="s">
        <v>128</v>
      </c>
      <c r="H398" t="s">
        <v>8</v>
      </c>
      <c r="I398" t="s">
        <v>1935</v>
      </c>
      <c r="J398" t="s">
        <v>1936</v>
      </c>
      <c r="K398" s="8">
        <v>25</v>
      </c>
    </row>
    <row r="399" spans="1:11">
      <c r="A399" t="s">
        <v>2337</v>
      </c>
      <c r="B399" s="15">
        <v>45395</v>
      </c>
      <c r="C399" s="4">
        <v>45383</v>
      </c>
      <c r="D399" t="s">
        <v>38</v>
      </c>
      <c r="E399" t="s">
        <v>19</v>
      </c>
      <c r="F399" t="s">
        <v>40</v>
      </c>
      <c r="G399" t="s">
        <v>109</v>
      </c>
      <c r="H399" t="s">
        <v>11</v>
      </c>
      <c r="I399" t="s">
        <v>1935</v>
      </c>
      <c r="J399" t="s">
        <v>1936</v>
      </c>
      <c r="K399" s="8">
        <v>30</v>
      </c>
    </row>
    <row r="400" spans="1:11">
      <c r="A400" t="s">
        <v>2338</v>
      </c>
      <c r="B400" s="15">
        <v>45397</v>
      </c>
      <c r="C400" s="4">
        <v>45383</v>
      </c>
      <c r="D400" t="s">
        <v>41</v>
      </c>
      <c r="E400" t="s">
        <v>21</v>
      </c>
      <c r="F400" t="s">
        <v>43</v>
      </c>
      <c r="G400" t="s">
        <v>202</v>
      </c>
      <c r="H400" t="s">
        <v>5</v>
      </c>
      <c r="I400" t="s">
        <v>1935</v>
      </c>
      <c r="J400" t="s">
        <v>1936</v>
      </c>
      <c r="K400" s="8">
        <v>28</v>
      </c>
    </row>
    <row r="401" spans="1:11">
      <c r="A401" t="s">
        <v>2339</v>
      </c>
      <c r="B401" s="15">
        <v>45388</v>
      </c>
      <c r="C401" s="4">
        <v>45383</v>
      </c>
      <c r="D401" t="s">
        <v>41</v>
      </c>
      <c r="E401" t="s">
        <v>21</v>
      </c>
      <c r="F401" t="s">
        <v>43</v>
      </c>
      <c r="G401" t="s">
        <v>208</v>
      </c>
      <c r="H401" t="s">
        <v>11</v>
      </c>
      <c r="I401" t="s">
        <v>1935</v>
      </c>
      <c r="J401" t="s">
        <v>1936</v>
      </c>
      <c r="K401" s="8">
        <v>15</v>
      </c>
    </row>
    <row r="402" spans="1:11">
      <c r="A402" t="s">
        <v>2340</v>
      </c>
      <c r="B402" s="15">
        <v>45390</v>
      </c>
      <c r="C402" s="4">
        <v>45383</v>
      </c>
      <c r="D402" t="s">
        <v>41</v>
      </c>
      <c r="E402" t="s">
        <v>21</v>
      </c>
      <c r="F402" t="s">
        <v>43</v>
      </c>
      <c r="G402" t="s">
        <v>208</v>
      </c>
      <c r="H402" t="s">
        <v>11</v>
      </c>
      <c r="I402" t="s">
        <v>1942</v>
      </c>
      <c r="J402" t="s">
        <v>1936</v>
      </c>
      <c r="K402" s="8">
        <v>5</v>
      </c>
    </row>
    <row r="403" spans="1:11">
      <c r="A403" t="s">
        <v>2341</v>
      </c>
      <c r="B403" s="15">
        <v>45391</v>
      </c>
      <c r="C403" s="4">
        <v>45383</v>
      </c>
      <c r="D403" t="s">
        <v>41</v>
      </c>
      <c r="E403" t="s">
        <v>21</v>
      </c>
      <c r="F403" t="s">
        <v>43</v>
      </c>
      <c r="G403" t="s">
        <v>172</v>
      </c>
      <c r="H403" t="s">
        <v>14</v>
      </c>
      <c r="I403" t="s">
        <v>1935</v>
      </c>
      <c r="J403" t="s">
        <v>1936</v>
      </c>
      <c r="K403" s="8">
        <v>18</v>
      </c>
    </row>
    <row r="404" spans="1:11">
      <c r="A404" t="s">
        <v>2342</v>
      </c>
      <c r="B404" s="15">
        <v>45394</v>
      </c>
      <c r="C404" s="4">
        <v>45383</v>
      </c>
      <c r="D404" t="s">
        <v>41</v>
      </c>
      <c r="E404" t="s">
        <v>21</v>
      </c>
      <c r="F404" t="s">
        <v>43</v>
      </c>
      <c r="G404" t="s">
        <v>214</v>
      </c>
      <c r="H404" t="s">
        <v>11</v>
      </c>
      <c r="I404" t="s">
        <v>1935</v>
      </c>
      <c r="J404" t="s">
        <v>1938</v>
      </c>
      <c r="K404" s="8">
        <v>22</v>
      </c>
    </row>
    <row r="405" spans="1:11">
      <c r="A405" t="s">
        <v>2343</v>
      </c>
      <c r="B405" s="15">
        <v>45384</v>
      </c>
      <c r="C405" s="4">
        <v>45383</v>
      </c>
      <c r="D405" t="s">
        <v>41</v>
      </c>
      <c r="E405" t="s">
        <v>21</v>
      </c>
      <c r="F405" t="s">
        <v>43</v>
      </c>
      <c r="G405" t="s">
        <v>202</v>
      </c>
      <c r="H405" t="s">
        <v>11</v>
      </c>
      <c r="I405" t="s">
        <v>1935</v>
      </c>
      <c r="J405" t="s">
        <v>1936</v>
      </c>
      <c r="K405" s="8">
        <v>14</v>
      </c>
    </row>
    <row r="406" spans="1:11">
      <c r="A406" t="s">
        <v>2344</v>
      </c>
      <c r="B406" s="15">
        <v>45392</v>
      </c>
      <c r="C406" s="4">
        <v>45383</v>
      </c>
      <c r="D406" t="s">
        <v>41</v>
      </c>
      <c r="E406" t="s">
        <v>21</v>
      </c>
      <c r="F406" t="s">
        <v>43</v>
      </c>
      <c r="G406" t="s">
        <v>232</v>
      </c>
      <c r="H406" t="s">
        <v>11</v>
      </c>
      <c r="I406" t="s">
        <v>1935</v>
      </c>
      <c r="J406" t="s">
        <v>1936</v>
      </c>
      <c r="K406" s="8">
        <v>28</v>
      </c>
    </row>
    <row r="407" spans="1:11">
      <c r="A407" t="s">
        <v>2345</v>
      </c>
      <c r="B407" s="15">
        <v>45387</v>
      </c>
      <c r="C407" s="4">
        <v>45383</v>
      </c>
      <c r="D407" t="s">
        <v>41</v>
      </c>
      <c r="E407" t="s">
        <v>21</v>
      </c>
      <c r="F407" t="s">
        <v>43</v>
      </c>
      <c r="G407" t="s">
        <v>202</v>
      </c>
      <c r="H407" t="s">
        <v>11</v>
      </c>
      <c r="I407" t="s">
        <v>1935</v>
      </c>
      <c r="J407" t="s">
        <v>1938</v>
      </c>
      <c r="K407" s="8">
        <v>23</v>
      </c>
    </row>
    <row r="408" spans="1:11">
      <c r="A408" t="s">
        <v>2346</v>
      </c>
      <c r="B408" s="15">
        <v>45385</v>
      </c>
      <c r="C408" s="4">
        <v>45383</v>
      </c>
      <c r="D408" t="s">
        <v>44</v>
      </c>
      <c r="E408" t="s">
        <v>21</v>
      </c>
      <c r="F408" t="s">
        <v>46</v>
      </c>
      <c r="G408" t="s">
        <v>192</v>
      </c>
      <c r="H408" t="s">
        <v>8</v>
      </c>
      <c r="I408" t="s">
        <v>1935</v>
      </c>
      <c r="J408" t="s">
        <v>1936</v>
      </c>
      <c r="K408" s="8">
        <v>25</v>
      </c>
    </row>
    <row r="409" spans="1:11">
      <c r="A409" t="s">
        <v>2347</v>
      </c>
      <c r="B409" s="15">
        <v>45404</v>
      </c>
      <c r="C409" s="4">
        <v>45383</v>
      </c>
      <c r="D409" t="s">
        <v>44</v>
      </c>
      <c r="E409" t="s">
        <v>21</v>
      </c>
      <c r="F409" t="s">
        <v>46</v>
      </c>
      <c r="G409" t="s">
        <v>234</v>
      </c>
      <c r="H409" t="s">
        <v>5</v>
      </c>
      <c r="I409" t="s">
        <v>1935</v>
      </c>
      <c r="J409" t="s">
        <v>1938</v>
      </c>
      <c r="K409" s="8">
        <v>21</v>
      </c>
    </row>
    <row r="410" spans="1:11">
      <c r="A410" t="s">
        <v>2348</v>
      </c>
      <c r="B410" s="15">
        <v>45401</v>
      </c>
      <c r="C410" s="4">
        <v>45383</v>
      </c>
      <c r="D410" t="s">
        <v>44</v>
      </c>
      <c r="E410" t="s">
        <v>21</v>
      </c>
      <c r="F410" t="s">
        <v>46</v>
      </c>
      <c r="G410" t="s">
        <v>186</v>
      </c>
      <c r="H410" t="s">
        <v>8</v>
      </c>
      <c r="I410" t="s">
        <v>1935</v>
      </c>
      <c r="J410" t="s">
        <v>1936</v>
      </c>
      <c r="K410" s="8">
        <v>35</v>
      </c>
    </row>
    <row r="411" spans="1:11">
      <c r="A411" t="s">
        <v>2349</v>
      </c>
      <c r="B411" s="15">
        <v>45409</v>
      </c>
      <c r="C411" s="4">
        <v>45383</v>
      </c>
      <c r="D411" t="s">
        <v>44</v>
      </c>
      <c r="E411" t="s">
        <v>21</v>
      </c>
      <c r="F411" t="s">
        <v>46</v>
      </c>
      <c r="G411" t="s">
        <v>216</v>
      </c>
      <c r="H411" t="s">
        <v>14</v>
      </c>
      <c r="I411" t="s">
        <v>1935</v>
      </c>
      <c r="J411" t="s">
        <v>1936</v>
      </c>
      <c r="K411" s="8">
        <v>12</v>
      </c>
    </row>
    <row r="412" spans="1:11">
      <c r="A412" t="s">
        <v>2350</v>
      </c>
      <c r="B412" s="15">
        <v>45393</v>
      </c>
      <c r="C412" s="4">
        <v>45383</v>
      </c>
      <c r="D412" t="s">
        <v>44</v>
      </c>
      <c r="E412" t="s">
        <v>21</v>
      </c>
      <c r="F412" t="s">
        <v>46</v>
      </c>
      <c r="G412" t="s">
        <v>198</v>
      </c>
      <c r="H412" t="s">
        <v>14</v>
      </c>
      <c r="I412" t="s">
        <v>1935</v>
      </c>
      <c r="J412" t="s">
        <v>1936</v>
      </c>
      <c r="K412" s="8">
        <v>15</v>
      </c>
    </row>
    <row r="413" spans="1:11">
      <c r="A413" t="s">
        <v>2351</v>
      </c>
      <c r="B413" s="15">
        <v>45405</v>
      </c>
      <c r="C413" s="4">
        <v>45383</v>
      </c>
      <c r="D413" t="s">
        <v>44</v>
      </c>
      <c r="E413" t="s">
        <v>21</v>
      </c>
      <c r="F413" t="s">
        <v>46</v>
      </c>
      <c r="G413" t="s">
        <v>234</v>
      </c>
      <c r="H413" t="s">
        <v>5</v>
      </c>
      <c r="I413" t="s">
        <v>1935</v>
      </c>
      <c r="J413" t="s">
        <v>1936</v>
      </c>
      <c r="K413" s="8">
        <v>34</v>
      </c>
    </row>
    <row r="414" spans="1:11">
      <c r="A414" t="s">
        <v>2352</v>
      </c>
      <c r="B414" s="15">
        <v>45387</v>
      </c>
      <c r="C414" s="4">
        <v>45383</v>
      </c>
      <c r="D414" t="s">
        <v>44</v>
      </c>
      <c r="E414" t="s">
        <v>21</v>
      </c>
      <c r="F414" t="s">
        <v>46</v>
      </c>
      <c r="G414" t="s">
        <v>210</v>
      </c>
      <c r="H414" t="s">
        <v>8</v>
      </c>
      <c r="I414" t="s">
        <v>1935</v>
      </c>
      <c r="J414" t="s">
        <v>1936</v>
      </c>
      <c r="K414" s="8">
        <v>28</v>
      </c>
    </row>
    <row r="415" spans="1:11">
      <c r="A415" t="s">
        <v>2353</v>
      </c>
      <c r="B415" s="15">
        <v>45398</v>
      </c>
      <c r="C415" s="4">
        <v>45383</v>
      </c>
      <c r="D415" t="s">
        <v>44</v>
      </c>
      <c r="E415" t="s">
        <v>21</v>
      </c>
      <c r="F415" t="s">
        <v>46</v>
      </c>
      <c r="G415" t="s">
        <v>180</v>
      </c>
      <c r="H415" t="s">
        <v>14</v>
      </c>
      <c r="I415" t="s">
        <v>1935</v>
      </c>
      <c r="J415" t="s">
        <v>1936</v>
      </c>
      <c r="K415" s="8">
        <v>23</v>
      </c>
    </row>
    <row r="416" spans="1:11">
      <c r="A416" t="s">
        <v>2354</v>
      </c>
      <c r="B416" s="15">
        <v>45402</v>
      </c>
      <c r="C416" s="4">
        <v>45383</v>
      </c>
      <c r="D416" t="s">
        <v>44</v>
      </c>
      <c r="E416" t="s">
        <v>21</v>
      </c>
      <c r="F416" t="s">
        <v>46</v>
      </c>
      <c r="G416" t="s">
        <v>198</v>
      </c>
      <c r="H416" t="s">
        <v>14</v>
      </c>
      <c r="I416" t="s">
        <v>1935</v>
      </c>
      <c r="J416" t="s">
        <v>1938</v>
      </c>
      <c r="K416" s="8">
        <v>8</v>
      </c>
    </row>
    <row r="417" spans="1:11">
      <c r="A417" t="s">
        <v>2355</v>
      </c>
      <c r="B417" s="15">
        <v>45386</v>
      </c>
      <c r="C417" s="4">
        <v>45383</v>
      </c>
      <c r="D417" t="s">
        <v>44</v>
      </c>
      <c r="E417" t="s">
        <v>21</v>
      </c>
      <c r="F417" t="s">
        <v>46</v>
      </c>
      <c r="G417" t="s">
        <v>174</v>
      </c>
      <c r="H417" t="s">
        <v>11</v>
      </c>
      <c r="I417" t="s">
        <v>1935</v>
      </c>
      <c r="J417" t="s">
        <v>1936</v>
      </c>
      <c r="K417" s="8">
        <v>32</v>
      </c>
    </row>
    <row r="418" spans="1:11">
      <c r="A418" t="s">
        <v>2356</v>
      </c>
      <c r="B418" s="15">
        <v>45394</v>
      </c>
      <c r="C418" s="4">
        <v>45383</v>
      </c>
      <c r="D418" t="s">
        <v>47</v>
      </c>
      <c r="E418" t="s">
        <v>21</v>
      </c>
      <c r="F418" t="s">
        <v>49</v>
      </c>
      <c r="G418" t="s">
        <v>194</v>
      </c>
      <c r="H418" t="s">
        <v>14</v>
      </c>
      <c r="I418" t="s">
        <v>1935</v>
      </c>
      <c r="J418" t="s">
        <v>1936</v>
      </c>
      <c r="K418" s="8">
        <v>8</v>
      </c>
    </row>
    <row r="419" spans="1:11">
      <c r="A419" t="s">
        <v>2357</v>
      </c>
      <c r="B419" s="15">
        <v>45401</v>
      </c>
      <c r="C419" s="4">
        <v>45383</v>
      </c>
      <c r="D419" t="s">
        <v>47</v>
      </c>
      <c r="E419" t="s">
        <v>21</v>
      </c>
      <c r="F419" t="s">
        <v>49</v>
      </c>
      <c r="G419" t="s">
        <v>188</v>
      </c>
      <c r="H419" t="s">
        <v>8</v>
      </c>
      <c r="I419" t="s">
        <v>1935</v>
      </c>
      <c r="J419" t="s">
        <v>1936</v>
      </c>
      <c r="K419" s="8">
        <v>22</v>
      </c>
    </row>
    <row r="420" spans="1:11">
      <c r="A420" t="s">
        <v>2358</v>
      </c>
      <c r="B420" s="15">
        <v>45402</v>
      </c>
      <c r="C420" s="4">
        <v>45383</v>
      </c>
      <c r="D420" t="s">
        <v>47</v>
      </c>
      <c r="E420" t="s">
        <v>21</v>
      </c>
      <c r="F420" t="s">
        <v>49</v>
      </c>
      <c r="G420" t="s">
        <v>200</v>
      </c>
      <c r="H420" t="s">
        <v>11</v>
      </c>
      <c r="I420" t="s">
        <v>1935</v>
      </c>
      <c r="J420" t="s">
        <v>1936</v>
      </c>
      <c r="K420" s="8">
        <v>34</v>
      </c>
    </row>
    <row r="421" spans="1:11">
      <c r="A421" t="s">
        <v>2359</v>
      </c>
      <c r="B421" s="15">
        <v>45394</v>
      </c>
      <c r="C421" s="4">
        <v>45383</v>
      </c>
      <c r="D421" t="s">
        <v>47</v>
      </c>
      <c r="E421" t="s">
        <v>21</v>
      </c>
      <c r="F421" t="s">
        <v>49</v>
      </c>
      <c r="G421" t="s">
        <v>236</v>
      </c>
      <c r="H421" t="s">
        <v>8</v>
      </c>
      <c r="I421" t="s">
        <v>1935</v>
      </c>
      <c r="J421" t="s">
        <v>1936</v>
      </c>
      <c r="K421" s="8">
        <v>14</v>
      </c>
    </row>
    <row r="422" spans="1:11">
      <c r="A422" t="s">
        <v>2360</v>
      </c>
      <c r="B422" s="15">
        <v>45405</v>
      </c>
      <c r="C422" s="4">
        <v>45383</v>
      </c>
      <c r="D422" t="s">
        <v>47</v>
      </c>
      <c r="E422" t="s">
        <v>21</v>
      </c>
      <c r="F422" t="s">
        <v>49</v>
      </c>
      <c r="G422" t="s">
        <v>182</v>
      </c>
      <c r="H422" t="s">
        <v>5</v>
      </c>
      <c r="I422" t="s">
        <v>1935</v>
      </c>
      <c r="J422" t="s">
        <v>1936</v>
      </c>
      <c r="K422" s="8">
        <v>25</v>
      </c>
    </row>
    <row r="423" spans="1:11">
      <c r="A423" t="s">
        <v>2361</v>
      </c>
      <c r="B423" s="15">
        <v>45409</v>
      </c>
      <c r="C423" s="4">
        <v>45383</v>
      </c>
      <c r="D423" t="s">
        <v>47</v>
      </c>
      <c r="E423" t="s">
        <v>21</v>
      </c>
      <c r="F423" t="s">
        <v>49</v>
      </c>
      <c r="G423" t="s">
        <v>170</v>
      </c>
      <c r="H423" t="s">
        <v>8</v>
      </c>
      <c r="I423" t="s">
        <v>1935</v>
      </c>
      <c r="J423" t="s">
        <v>1936</v>
      </c>
      <c r="K423" s="8">
        <v>22</v>
      </c>
    </row>
    <row r="424" spans="1:11">
      <c r="A424" t="s">
        <v>2362</v>
      </c>
      <c r="B424" s="15">
        <v>45411</v>
      </c>
      <c r="C424" s="4">
        <v>45383</v>
      </c>
      <c r="D424" t="s">
        <v>47</v>
      </c>
      <c r="E424" t="s">
        <v>21</v>
      </c>
      <c r="F424" t="s">
        <v>49</v>
      </c>
      <c r="G424" t="s">
        <v>230</v>
      </c>
      <c r="H424" t="s">
        <v>11</v>
      </c>
      <c r="I424" t="s">
        <v>1935</v>
      </c>
      <c r="J424" t="s">
        <v>1936</v>
      </c>
      <c r="K424" s="8">
        <v>34</v>
      </c>
    </row>
    <row r="425" spans="1:11">
      <c r="A425" t="s">
        <v>2363</v>
      </c>
      <c r="B425" s="15">
        <v>45410</v>
      </c>
      <c r="C425" s="4">
        <v>45383</v>
      </c>
      <c r="D425" t="s">
        <v>47</v>
      </c>
      <c r="E425" t="s">
        <v>21</v>
      </c>
      <c r="F425" t="s">
        <v>49</v>
      </c>
      <c r="G425" t="s">
        <v>236</v>
      </c>
      <c r="H425" t="s">
        <v>14</v>
      </c>
      <c r="I425" t="s">
        <v>1935</v>
      </c>
      <c r="J425" t="s">
        <v>1938</v>
      </c>
      <c r="K425" s="8">
        <v>32</v>
      </c>
    </row>
    <row r="426" spans="1:11">
      <c r="A426" t="s">
        <v>2364</v>
      </c>
      <c r="B426" s="15">
        <v>45397</v>
      </c>
      <c r="C426" s="4">
        <v>45383</v>
      </c>
      <c r="D426" t="s">
        <v>47</v>
      </c>
      <c r="E426" t="s">
        <v>21</v>
      </c>
      <c r="F426" t="s">
        <v>49</v>
      </c>
      <c r="G426" t="s">
        <v>218</v>
      </c>
      <c r="H426" t="s">
        <v>14</v>
      </c>
      <c r="I426" t="s">
        <v>1935</v>
      </c>
      <c r="J426" t="s">
        <v>1936</v>
      </c>
      <c r="K426" s="8">
        <v>11</v>
      </c>
    </row>
    <row r="427" spans="1:11">
      <c r="A427" t="s">
        <v>2365</v>
      </c>
      <c r="B427" s="15">
        <v>45403</v>
      </c>
      <c r="C427" s="4">
        <v>45383</v>
      </c>
      <c r="D427" t="s">
        <v>47</v>
      </c>
      <c r="E427" t="s">
        <v>21</v>
      </c>
      <c r="F427" t="s">
        <v>49</v>
      </c>
      <c r="G427" t="s">
        <v>212</v>
      </c>
      <c r="H427" t="s">
        <v>14</v>
      </c>
      <c r="I427" t="s">
        <v>1935</v>
      </c>
      <c r="J427" t="s">
        <v>1936</v>
      </c>
      <c r="K427" s="8">
        <v>28</v>
      </c>
    </row>
    <row r="428" spans="1:11">
      <c r="A428" t="s">
        <v>2366</v>
      </c>
      <c r="B428" s="15">
        <v>45406</v>
      </c>
      <c r="C428" s="4">
        <v>45383</v>
      </c>
      <c r="D428" t="s">
        <v>50</v>
      </c>
      <c r="E428" t="s">
        <v>23</v>
      </c>
      <c r="F428" t="s">
        <v>52</v>
      </c>
      <c r="G428" t="s">
        <v>292</v>
      </c>
      <c r="H428" t="s">
        <v>11</v>
      </c>
      <c r="I428" t="s">
        <v>1935</v>
      </c>
      <c r="J428" t="s">
        <v>1936</v>
      </c>
      <c r="K428" s="8">
        <v>30</v>
      </c>
    </row>
    <row r="429" spans="1:11">
      <c r="A429" t="s">
        <v>2367</v>
      </c>
      <c r="B429" s="15">
        <v>45409</v>
      </c>
      <c r="C429" s="4">
        <v>45383</v>
      </c>
      <c r="D429" t="s">
        <v>50</v>
      </c>
      <c r="E429" t="s">
        <v>23</v>
      </c>
      <c r="F429" t="s">
        <v>52</v>
      </c>
      <c r="G429" t="s">
        <v>286</v>
      </c>
      <c r="H429" t="s">
        <v>5</v>
      </c>
      <c r="I429" t="s">
        <v>1935</v>
      </c>
      <c r="J429" t="s">
        <v>1936</v>
      </c>
      <c r="K429" s="8">
        <v>22</v>
      </c>
    </row>
    <row r="430" spans="1:11">
      <c r="A430" t="s">
        <v>2368</v>
      </c>
      <c r="B430" s="15">
        <v>45404</v>
      </c>
      <c r="C430" s="4">
        <v>45383</v>
      </c>
      <c r="D430" t="s">
        <v>50</v>
      </c>
      <c r="E430" t="s">
        <v>23</v>
      </c>
      <c r="F430" t="s">
        <v>52</v>
      </c>
      <c r="G430" t="s">
        <v>244</v>
      </c>
      <c r="H430" t="s">
        <v>5</v>
      </c>
      <c r="I430" t="s">
        <v>1935</v>
      </c>
      <c r="J430" t="s">
        <v>1936</v>
      </c>
      <c r="K430" s="8">
        <v>11</v>
      </c>
    </row>
    <row r="431" spans="1:11">
      <c r="A431" t="s">
        <v>2369</v>
      </c>
      <c r="B431" s="15">
        <v>45384</v>
      </c>
      <c r="C431" s="4">
        <v>45383</v>
      </c>
      <c r="D431" t="s">
        <v>50</v>
      </c>
      <c r="E431" t="s">
        <v>23</v>
      </c>
      <c r="F431" t="s">
        <v>52</v>
      </c>
      <c r="G431" t="s">
        <v>238</v>
      </c>
      <c r="H431" t="s">
        <v>8</v>
      </c>
      <c r="I431" t="s">
        <v>1935</v>
      </c>
      <c r="J431" t="s">
        <v>1938</v>
      </c>
      <c r="K431" s="8">
        <v>20</v>
      </c>
    </row>
    <row r="432" spans="1:11">
      <c r="A432" t="s">
        <v>2370</v>
      </c>
      <c r="B432" s="15">
        <v>45407</v>
      </c>
      <c r="C432" s="4">
        <v>45383</v>
      </c>
      <c r="D432" t="s">
        <v>50</v>
      </c>
      <c r="E432" t="s">
        <v>23</v>
      </c>
      <c r="F432" t="s">
        <v>52</v>
      </c>
      <c r="G432" t="s">
        <v>244</v>
      </c>
      <c r="H432" t="s">
        <v>11</v>
      </c>
      <c r="I432" t="s">
        <v>1935</v>
      </c>
      <c r="J432" t="s">
        <v>1936</v>
      </c>
      <c r="K432" s="8">
        <v>18</v>
      </c>
    </row>
    <row r="433" spans="1:11">
      <c r="A433" t="s">
        <v>2371</v>
      </c>
      <c r="B433" s="15">
        <v>45409</v>
      </c>
      <c r="C433" s="4">
        <v>45383</v>
      </c>
      <c r="D433" t="s">
        <v>50</v>
      </c>
      <c r="E433" t="s">
        <v>23</v>
      </c>
      <c r="F433" t="s">
        <v>52</v>
      </c>
      <c r="G433" t="s">
        <v>280</v>
      </c>
      <c r="H433" t="s">
        <v>11</v>
      </c>
      <c r="I433" t="s">
        <v>1935</v>
      </c>
      <c r="J433" t="s">
        <v>1936</v>
      </c>
      <c r="K433" s="8">
        <v>12</v>
      </c>
    </row>
    <row r="434" spans="1:11">
      <c r="A434" t="s">
        <v>2372</v>
      </c>
      <c r="B434" s="15">
        <v>45395</v>
      </c>
      <c r="C434" s="4">
        <v>45383</v>
      </c>
      <c r="D434" t="s">
        <v>50</v>
      </c>
      <c r="E434" t="s">
        <v>23</v>
      </c>
      <c r="F434" t="s">
        <v>52</v>
      </c>
      <c r="G434" t="s">
        <v>274</v>
      </c>
      <c r="H434" t="s">
        <v>14</v>
      </c>
      <c r="I434" t="s">
        <v>1935</v>
      </c>
      <c r="J434" t="s">
        <v>1938</v>
      </c>
      <c r="K434" s="8">
        <v>28</v>
      </c>
    </row>
    <row r="435" spans="1:11">
      <c r="A435" t="s">
        <v>2373</v>
      </c>
      <c r="B435" s="15">
        <v>45388</v>
      </c>
      <c r="C435" s="4">
        <v>45383</v>
      </c>
      <c r="D435" t="s">
        <v>50</v>
      </c>
      <c r="E435" t="s">
        <v>23</v>
      </c>
      <c r="F435" t="s">
        <v>52</v>
      </c>
      <c r="G435" t="s">
        <v>298</v>
      </c>
      <c r="H435" t="s">
        <v>5</v>
      </c>
      <c r="I435" t="s">
        <v>1935</v>
      </c>
      <c r="J435" t="s">
        <v>1954</v>
      </c>
      <c r="K435" s="8">
        <v>34</v>
      </c>
    </row>
    <row r="436" spans="1:11">
      <c r="A436" t="s">
        <v>2374</v>
      </c>
      <c r="B436" s="15">
        <v>45404</v>
      </c>
      <c r="C436" s="4">
        <v>45383</v>
      </c>
      <c r="D436" t="s">
        <v>50</v>
      </c>
      <c r="E436" t="s">
        <v>23</v>
      </c>
      <c r="F436" t="s">
        <v>52</v>
      </c>
      <c r="G436" t="s">
        <v>268</v>
      </c>
      <c r="H436" t="s">
        <v>5</v>
      </c>
      <c r="I436" t="s">
        <v>1935</v>
      </c>
      <c r="J436" t="s">
        <v>1936</v>
      </c>
      <c r="K436" s="8">
        <v>21</v>
      </c>
    </row>
    <row r="437" spans="1:11">
      <c r="A437" t="s">
        <v>2375</v>
      </c>
      <c r="B437" s="15">
        <v>45406</v>
      </c>
      <c r="C437" s="4">
        <v>45383</v>
      </c>
      <c r="D437" t="s">
        <v>50</v>
      </c>
      <c r="E437" t="s">
        <v>23</v>
      </c>
      <c r="F437" t="s">
        <v>52</v>
      </c>
      <c r="G437" t="s">
        <v>244</v>
      </c>
      <c r="H437" t="s">
        <v>8</v>
      </c>
      <c r="I437" t="s">
        <v>1935</v>
      </c>
      <c r="J437" t="s">
        <v>1936</v>
      </c>
      <c r="K437" s="8">
        <v>34</v>
      </c>
    </row>
    <row r="438" spans="1:11">
      <c r="A438" t="s">
        <v>2376</v>
      </c>
      <c r="B438" s="15">
        <v>45386</v>
      </c>
      <c r="C438" s="4">
        <v>45383</v>
      </c>
      <c r="D438" t="s">
        <v>50</v>
      </c>
      <c r="E438" t="s">
        <v>23</v>
      </c>
      <c r="F438" t="s">
        <v>52</v>
      </c>
      <c r="G438" t="s">
        <v>274</v>
      </c>
      <c r="H438" t="s">
        <v>14</v>
      </c>
      <c r="I438" t="s">
        <v>1935</v>
      </c>
      <c r="J438" t="s">
        <v>1936</v>
      </c>
      <c r="K438" s="8">
        <v>9</v>
      </c>
    </row>
    <row r="439" spans="1:11">
      <c r="A439" t="s">
        <v>2377</v>
      </c>
      <c r="B439" s="15">
        <v>45400</v>
      </c>
      <c r="C439" s="4">
        <v>45383</v>
      </c>
      <c r="D439" t="s">
        <v>50</v>
      </c>
      <c r="E439" t="s">
        <v>23</v>
      </c>
      <c r="F439" t="s">
        <v>52</v>
      </c>
      <c r="G439" t="s">
        <v>310</v>
      </c>
      <c r="H439" t="s">
        <v>14</v>
      </c>
      <c r="I439" t="s">
        <v>1935</v>
      </c>
      <c r="J439" t="s">
        <v>1938</v>
      </c>
      <c r="K439" s="8">
        <v>28</v>
      </c>
    </row>
    <row r="440" spans="1:11">
      <c r="A440" t="s">
        <v>2378</v>
      </c>
      <c r="B440" s="15">
        <v>45403</v>
      </c>
      <c r="C440" s="4">
        <v>45383</v>
      </c>
      <c r="D440" t="s">
        <v>53</v>
      </c>
      <c r="E440" t="s">
        <v>23</v>
      </c>
      <c r="F440" t="s">
        <v>55</v>
      </c>
      <c r="G440" t="s">
        <v>312</v>
      </c>
      <c r="H440" t="s">
        <v>8</v>
      </c>
      <c r="I440" t="s">
        <v>1935</v>
      </c>
      <c r="J440" t="s">
        <v>1936</v>
      </c>
      <c r="K440" s="8">
        <v>28</v>
      </c>
    </row>
    <row r="441" spans="1:11">
      <c r="A441" t="s">
        <v>2379</v>
      </c>
      <c r="B441" s="15">
        <v>45392</v>
      </c>
      <c r="C441" s="4">
        <v>45383</v>
      </c>
      <c r="D441" t="s">
        <v>53</v>
      </c>
      <c r="E441" t="s">
        <v>23</v>
      </c>
      <c r="F441" t="s">
        <v>55</v>
      </c>
      <c r="G441" t="s">
        <v>270</v>
      </c>
      <c r="H441" t="s">
        <v>8</v>
      </c>
      <c r="I441" t="s">
        <v>1995</v>
      </c>
      <c r="J441" t="s">
        <v>1954</v>
      </c>
      <c r="K441" s="8">
        <v>1</v>
      </c>
    </row>
    <row r="442" spans="1:11">
      <c r="A442" t="s">
        <v>2380</v>
      </c>
      <c r="B442" s="15">
        <v>45410</v>
      </c>
      <c r="C442" s="4">
        <v>45383</v>
      </c>
      <c r="D442" t="s">
        <v>53</v>
      </c>
      <c r="E442" t="s">
        <v>23</v>
      </c>
      <c r="F442" t="s">
        <v>55</v>
      </c>
      <c r="G442" t="s">
        <v>240</v>
      </c>
      <c r="H442" t="s">
        <v>14</v>
      </c>
      <c r="I442" t="s">
        <v>1935</v>
      </c>
      <c r="J442" t="s">
        <v>1936</v>
      </c>
      <c r="K442" s="8">
        <v>13</v>
      </c>
    </row>
    <row r="443" spans="1:11">
      <c r="A443" t="s">
        <v>2381</v>
      </c>
      <c r="B443" s="15">
        <v>45401</v>
      </c>
      <c r="C443" s="4">
        <v>45383</v>
      </c>
      <c r="D443" t="s">
        <v>53</v>
      </c>
      <c r="E443" t="s">
        <v>23</v>
      </c>
      <c r="F443" t="s">
        <v>55</v>
      </c>
      <c r="G443" t="s">
        <v>294</v>
      </c>
      <c r="H443" t="s">
        <v>8</v>
      </c>
      <c r="I443" t="s">
        <v>1935</v>
      </c>
      <c r="J443" t="s">
        <v>1936</v>
      </c>
      <c r="K443" s="8">
        <v>11</v>
      </c>
    </row>
    <row r="444" spans="1:11">
      <c r="A444" t="s">
        <v>2382</v>
      </c>
      <c r="B444" s="15">
        <v>45385</v>
      </c>
      <c r="C444" s="4">
        <v>45383</v>
      </c>
      <c r="D444" t="s">
        <v>53</v>
      </c>
      <c r="E444" t="s">
        <v>23</v>
      </c>
      <c r="F444" t="s">
        <v>55</v>
      </c>
      <c r="G444" t="s">
        <v>306</v>
      </c>
      <c r="H444" t="s">
        <v>8</v>
      </c>
      <c r="I444" t="s">
        <v>1935</v>
      </c>
      <c r="J444" t="s">
        <v>1936</v>
      </c>
      <c r="K444" s="8">
        <v>20</v>
      </c>
    </row>
    <row r="445" spans="1:11">
      <c r="A445" t="s">
        <v>2383</v>
      </c>
      <c r="B445" s="15">
        <v>45400</v>
      </c>
      <c r="C445" s="4">
        <v>45383</v>
      </c>
      <c r="D445" t="s">
        <v>53</v>
      </c>
      <c r="E445" t="s">
        <v>23</v>
      </c>
      <c r="F445" t="s">
        <v>55</v>
      </c>
      <c r="G445" t="s">
        <v>264</v>
      </c>
      <c r="H445" t="s">
        <v>14</v>
      </c>
      <c r="I445" t="s">
        <v>1942</v>
      </c>
      <c r="J445" t="s">
        <v>1954</v>
      </c>
      <c r="K445" s="8">
        <v>7</v>
      </c>
    </row>
    <row r="446" spans="1:11">
      <c r="A446" t="s">
        <v>2384</v>
      </c>
      <c r="B446" s="15">
        <v>45393</v>
      </c>
      <c r="C446" s="4">
        <v>45383</v>
      </c>
      <c r="D446" t="s">
        <v>53</v>
      </c>
      <c r="E446" t="s">
        <v>23</v>
      </c>
      <c r="F446" t="s">
        <v>55</v>
      </c>
      <c r="G446" t="s">
        <v>264</v>
      </c>
      <c r="H446" t="s">
        <v>5</v>
      </c>
      <c r="I446" t="s">
        <v>1935</v>
      </c>
      <c r="J446" t="s">
        <v>1938</v>
      </c>
      <c r="K446" s="8">
        <v>28</v>
      </c>
    </row>
    <row r="447" spans="1:11">
      <c r="A447" t="s">
        <v>2385</v>
      </c>
      <c r="B447" s="15">
        <v>45411</v>
      </c>
      <c r="C447" s="4">
        <v>45383</v>
      </c>
      <c r="D447" t="s">
        <v>53</v>
      </c>
      <c r="E447" t="s">
        <v>23</v>
      </c>
      <c r="F447" t="s">
        <v>55</v>
      </c>
      <c r="G447" t="s">
        <v>264</v>
      </c>
      <c r="H447" t="s">
        <v>14</v>
      </c>
      <c r="I447" t="s">
        <v>1935</v>
      </c>
      <c r="J447" t="s">
        <v>1936</v>
      </c>
      <c r="K447" s="8">
        <v>32</v>
      </c>
    </row>
    <row r="448" spans="1:11">
      <c r="A448" t="s">
        <v>2386</v>
      </c>
      <c r="B448" s="15">
        <v>45395</v>
      </c>
      <c r="C448" s="4">
        <v>45383</v>
      </c>
      <c r="D448" t="s">
        <v>53</v>
      </c>
      <c r="E448" t="s">
        <v>23</v>
      </c>
      <c r="F448" t="s">
        <v>55</v>
      </c>
      <c r="G448" t="s">
        <v>282</v>
      </c>
      <c r="H448" t="s">
        <v>8</v>
      </c>
      <c r="I448" t="s">
        <v>1935</v>
      </c>
      <c r="J448" t="s">
        <v>1936</v>
      </c>
      <c r="K448" s="8">
        <v>9</v>
      </c>
    </row>
    <row r="449" spans="1:11">
      <c r="A449" t="s">
        <v>2387</v>
      </c>
      <c r="B449" s="15">
        <v>45405</v>
      </c>
      <c r="C449" s="4">
        <v>45383</v>
      </c>
      <c r="D449" t="s">
        <v>53</v>
      </c>
      <c r="E449" t="s">
        <v>23</v>
      </c>
      <c r="F449" t="s">
        <v>55</v>
      </c>
      <c r="G449" t="s">
        <v>312</v>
      </c>
      <c r="H449" t="s">
        <v>5</v>
      </c>
      <c r="I449" t="s">
        <v>1935</v>
      </c>
      <c r="J449" t="s">
        <v>1938</v>
      </c>
      <c r="K449" s="8">
        <v>19</v>
      </c>
    </row>
    <row r="450" spans="1:11">
      <c r="A450" t="s">
        <v>2388</v>
      </c>
      <c r="B450" s="15">
        <v>45401</v>
      </c>
      <c r="C450" s="4">
        <v>45383</v>
      </c>
      <c r="D450" t="s">
        <v>56</v>
      </c>
      <c r="E450" t="s">
        <v>23</v>
      </c>
      <c r="F450" t="s">
        <v>58</v>
      </c>
      <c r="G450" t="s">
        <v>248</v>
      </c>
      <c r="H450" t="s">
        <v>11</v>
      </c>
      <c r="I450" t="s">
        <v>1935</v>
      </c>
      <c r="J450" t="s">
        <v>1936</v>
      </c>
      <c r="K450" s="8">
        <v>29</v>
      </c>
    </row>
    <row r="451" spans="1:11">
      <c r="A451" t="s">
        <v>2389</v>
      </c>
      <c r="B451" s="15">
        <v>45407</v>
      </c>
      <c r="C451" s="4">
        <v>45383</v>
      </c>
      <c r="D451" t="s">
        <v>56</v>
      </c>
      <c r="E451" t="s">
        <v>23</v>
      </c>
      <c r="F451" t="s">
        <v>58</v>
      </c>
      <c r="G451" t="s">
        <v>248</v>
      </c>
      <c r="H451" t="s">
        <v>11</v>
      </c>
      <c r="I451" t="s">
        <v>1935</v>
      </c>
      <c r="J451" t="s">
        <v>1938</v>
      </c>
      <c r="K451" s="8">
        <v>9</v>
      </c>
    </row>
    <row r="452" spans="1:11">
      <c r="A452" t="s">
        <v>2390</v>
      </c>
      <c r="B452" s="15">
        <v>45384</v>
      </c>
      <c r="C452" s="4">
        <v>45383</v>
      </c>
      <c r="D452" t="s">
        <v>56</v>
      </c>
      <c r="E452" t="s">
        <v>23</v>
      </c>
      <c r="F452" t="s">
        <v>58</v>
      </c>
      <c r="G452" t="s">
        <v>296</v>
      </c>
      <c r="H452" t="s">
        <v>5</v>
      </c>
      <c r="I452" t="s">
        <v>1935</v>
      </c>
      <c r="J452" t="s">
        <v>1936</v>
      </c>
      <c r="K452" s="8">
        <v>19</v>
      </c>
    </row>
    <row r="453" spans="1:11">
      <c r="A453" t="s">
        <v>2391</v>
      </c>
      <c r="B453" s="15">
        <v>45384</v>
      </c>
      <c r="C453" s="4">
        <v>45383</v>
      </c>
      <c r="D453" t="s">
        <v>56</v>
      </c>
      <c r="E453" t="s">
        <v>23</v>
      </c>
      <c r="F453" t="s">
        <v>58</v>
      </c>
      <c r="G453" t="s">
        <v>290</v>
      </c>
      <c r="H453" t="s">
        <v>11</v>
      </c>
      <c r="I453" t="s">
        <v>1935</v>
      </c>
      <c r="J453" t="s">
        <v>1936</v>
      </c>
      <c r="K453" s="8">
        <v>29</v>
      </c>
    </row>
    <row r="454" spans="1:11">
      <c r="A454" t="s">
        <v>2392</v>
      </c>
      <c r="B454" s="15">
        <v>45395</v>
      </c>
      <c r="C454" s="4">
        <v>45383</v>
      </c>
      <c r="D454" t="s">
        <v>56</v>
      </c>
      <c r="E454" t="s">
        <v>23</v>
      </c>
      <c r="F454" t="s">
        <v>58</v>
      </c>
      <c r="G454" t="s">
        <v>266</v>
      </c>
      <c r="H454" t="s">
        <v>8</v>
      </c>
      <c r="I454" t="s">
        <v>1935</v>
      </c>
      <c r="J454" t="s">
        <v>1938</v>
      </c>
      <c r="K454" s="8">
        <v>33</v>
      </c>
    </row>
    <row r="455" spans="1:11">
      <c r="A455" t="s">
        <v>2393</v>
      </c>
      <c r="B455" s="15">
        <v>45406</v>
      </c>
      <c r="C455" s="4">
        <v>45383</v>
      </c>
      <c r="D455" t="s">
        <v>56</v>
      </c>
      <c r="E455" t="s">
        <v>23</v>
      </c>
      <c r="F455" t="s">
        <v>58</v>
      </c>
      <c r="G455" t="s">
        <v>284</v>
      </c>
      <c r="H455" t="s">
        <v>14</v>
      </c>
      <c r="I455" t="s">
        <v>1935</v>
      </c>
      <c r="J455" t="s">
        <v>1936</v>
      </c>
      <c r="K455" s="8">
        <v>15</v>
      </c>
    </row>
    <row r="456" spans="1:11">
      <c r="A456" t="s">
        <v>2394</v>
      </c>
      <c r="B456" s="15">
        <v>45389</v>
      </c>
      <c r="C456" s="4">
        <v>45383</v>
      </c>
      <c r="D456" t="s">
        <v>56</v>
      </c>
      <c r="E456" t="s">
        <v>23</v>
      </c>
      <c r="F456" t="s">
        <v>58</v>
      </c>
      <c r="G456" t="s">
        <v>260</v>
      </c>
      <c r="H456" t="s">
        <v>5</v>
      </c>
      <c r="I456" t="s">
        <v>1935</v>
      </c>
      <c r="J456" t="s">
        <v>1936</v>
      </c>
      <c r="K456" s="8">
        <v>30</v>
      </c>
    </row>
    <row r="457" spans="1:11">
      <c r="A457" t="s">
        <v>2395</v>
      </c>
      <c r="B457" s="15">
        <v>45396</v>
      </c>
      <c r="C457" s="4">
        <v>45383</v>
      </c>
      <c r="D457" t="s">
        <v>56</v>
      </c>
      <c r="E457" t="s">
        <v>23</v>
      </c>
      <c r="F457" t="s">
        <v>58</v>
      </c>
      <c r="G457" t="s">
        <v>272</v>
      </c>
      <c r="H457" t="s">
        <v>11</v>
      </c>
      <c r="I457" t="s">
        <v>1935</v>
      </c>
      <c r="J457" t="s">
        <v>1936</v>
      </c>
      <c r="K457" s="8">
        <v>25</v>
      </c>
    </row>
    <row r="458" spans="1:11">
      <c r="A458" t="s">
        <v>2396</v>
      </c>
      <c r="B458" s="15">
        <v>45393</v>
      </c>
      <c r="C458" s="4">
        <v>45383</v>
      </c>
      <c r="D458" t="s">
        <v>56</v>
      </c>
      <c r="E458" t="s">
        <v>23</v>
      </c>
      <c r="F458" t="s">
        <v>58</v>
      </c>
      <c r="G458" t="s">
        <v>266</v>
      </c>
      <c r="H458" t="s">
        <v>11</v>
      </c>
      <c r="I458" t="s">
        <v>1935</v>
      </c>
      <c r="J458" t="s">
        <v>1938</v>
      </c>
      <c r="K458" s="8">
        <v>17</v>
      </c>
    </row>
    <row r="459" spans="1:11">
      <c r="A459" t="s">
        <v>2397</v>
      </c>
      <c r="B459" s="15">
        <v>45392</v>
      </c>
      <c r="C459" s="4">
        <v>45383</v>
      </c>
      <c r="D459" t="s">
        <v>56</v>
      </c>
      <c r="E459" t="s">
        <v>23</v>
      </c>
      <c r="F459" t="s">
        <v>58</v>
      </c>
      <c r="G459" t="s">
        <v>248</v>
      </c>
      <c r="H459" t="s">
        <v>11</v>
      </c>
      <c r="I459" t="s">
        <v>1935</v>
      </c>
      <c r="J459" t="s">
        <v>1938</v>
      </c>
      <c r="K459" s="8">
        <v>9</v>
      </c>
    </row>
    <row r="460" spans="1:11">
      <c r="A460" t="s">
        <v>2398</v>
      </c>
      <c r="B460" s="15">
        <v>45392</v>
      </c>
      <c r="C460" s="4">
        <v>45383</v>
      </c>
      <c r="D460" t="s">
        <v>56</v>
      </c>
      <c r="E460" t="s">
        <v>23</v>
      </c>
      <c r="F460" t="s">
        <v>58</v>
      </c>
      <c r="G460" t="s">
        <v>248</v>
      </c>
      <c r="H460" t="s">
        <v>11</v>
      </c>
      <c r="I460" t="s">
        <v>1935</v>
      </c>
      <c r="J460" t="s">
        <v>1954</v>
      </c>
      <c r="K460" s="8">
        <v>32</v>
      </c>
    </row>
    <row r="461" spans="1:11">
      <c r="A461" t="s">
        <v>2399</v>
      </c>
      <c r="B461" s="15">
        <v>45396</v>
      </c>
      <c r="C461" s="4">
        <v>45383</v>
      </c>
      <c r="D461" t="s">
        <v>56</v>
      </c>
      <c r="E461" t="s">
        <v>23</v>
      </c>
      <c r="F461" t="s">
        <v>58</v>
      </c>
      <c r="G461" t="s">
        <v>296</v>
      </c>
      <c r="H461" t="s">
        <v>5</v>
      </c>
      <c r="I461" t="s">
        <v>1935</v>
      </c>
      <c r="J461" t="s">
        <v>1936</v>
      </c>
      <c r="K461" s="8">
        <v>16</v>
      </c>
    </row>
    <row r="462" spans="1:11">
      <c r="A462" t="s">
        <v>2400</v>
      </c>
      <c r="B462" s="15">
        <v>45387</v>
      </c>
      <c r="C462" s="4">
        <v>45383</v>
      </c>
      <c r="D462" t="s">
        <v>59</v>
      </c>
      <c r="E462" t="s">
        <v>25</v>
      </c>
      <c r="F462" t="s">
        <v>61</v>
      </c>
      <c r="G462" t="s">
        <v>374</v>
      </c>
      <c r="H462" t="s">
        <v>8</v>
      </c>
      <c r="I462" t="s">
        <v>1935</v>
      </c>
      <c r="J462" t="s">
        <v>1936</v>
      </c>
      <c r="K462" s="8">
        <v>27</v>
      </c>
    </row>
    <row r="463" spans="1:11">
      <c r="A463" t="s">
        <v>2401</v>
      </c>
      <c r="B463" s="15">
        <v>45387</v>
      </c>
      <c r="C463" s="4">
        <v>45383</v>
      </c>
      <c r="D463" t="s">
        <v>59</v>
      </c>
      <c r="E463" t="s">
        <v>25</v>
      </c>
      <c r="F463" t="s">
        <v>61</v>
      </c>
      <c r="G463" t="s">
        <v>344</v>
      </c>
      <c r="H463" t="s">
        <v>5</v>
      </c>
      <c r="I463" t="s">
        <v>1935</v>
      </c>
      <c r="J463" t="s">
        <v>1936</v>
      </c>
      <c r="K463" s="8">
        <v>17</v>
      </c>
    </row>
    <row r="464" spans="1:11">
      <c r="A464" t="s">
        <v>2402</v>
      </c>
      <c r="B464" s="15">
        <v>45397</v>
      </c>
      <c r="C464" s="4">
        <v>45383</v>
      </c>
      <c r="D464" t="s">
        <v>59</v>
      </c>
      <c r="E464" t="s">
        <v>25</v>
      </c>
      <c r="F464" t="s">
        <v>61</v>
      </c>
      <c r="G464" t="s">
        <v>338</v>
      </c>
      <c r="H464" t="s">
        <v>14</v>
      </c>
      <c r="I464" t="s">
        <v>1935</v>
      </c>
      <c r="J464" t="s">
        <v>1936</v>
      </c>
      <c r="K464" s="8">
        <v>30</v>
      </c>
    </row>
    <row r="465" spans="1:11">
      <c r="A465" t="s">
        <v>2403</v>
      </c>
      <c r="B465" s="15">
        <v>45389</v>
      </c>
      <c r="C465" s="4">
        <v>45383</v>
      </c>
      <c r="D465" t="s">
        <v>59</v>
      </c>
      <c r="E465" t="s">
        <v>25</v>
      </c>
      <c r="F465" t="s">
        <v>61</v>
      </c>
      <c r="G465" t="s">
        <v>314</v>
      </c>
      <c r="H465" t="s">
        <v>14</v>
      </c>
      <c r="I465" t="s">
        <v>1935</v>
      </c>
      <c r="J465" t="s">
        <v>1936</v>
      </c>
      <c r="K465" s="8">
        <v>9</v>
      </c>
    </row>
    <row r="466" spans="1:11">
      <c r="A466" t="s">
        <v>2404</v>
      </c>
      <c r="B466" s="15">
        <v>45408</v>
      </c>
      <c r="C466" s="4">
        <v>45383</v>
      </c>
      <c r="D466" t="s">
        <v>59</v>
      </c>
      <c r="E466" t="s">
        <v>25</v>
      </c>
      <c r="F466" t="s">
        <v>61</v>
      </c>
      <c r="G466" t="s">
        <v>356</v>
      </c>
      <c r="H466" t="s">
        <v>5</v>
      </c>
      <c r="I466" t="s">
        <v>1942</v>
      </c>
      <c r="J466" t="s">
        <v>1936</v>
      </c>
      <c r="K466" s="8">
        <v>7</v>
      </c>
    </row>
    <row r="467" spans="1:11">
      <c r="A467" t="s">
        <v>2405</v>
      </c>
      <c r="B467" s="15">
        <v>45402</v>
      </c>
      <c r="C467" s="4">
        <v>45383</v>
      </c>
      <c r="D467" t="s">
        <v>59</v>
      </c>
      <c r="E467" t="s">
        <v>25</v>
      </c>
      <c r="F467" t="s">
        <v>61</v>
      </c>
      <c r="G467" t="s">
        <v>320</v>
      </c>
      <c r="H467" t="s">
        <v>11</v>
      </c>
      <c r="I467" t="s">
        <v>1935</v>
      </c>
      <c r="J467" t="s">
        <v>1936</v>
      </c>
      <c r="K467" s="8">
        <v>19</v>
      </c>
    </row>
    <row r="468" spans="1:11">
      <c r="A468" t="s">
        <v>2406</v>
      </c>
      <c r="B468" s="15">
        <v>45394</v>
      </c>
      <c r="C468" s="4">
        <v>45383</v>
      </c>
      <c r="D468" t="s">
        <v>59</v>
      </c>
      <c r="E468" t="s">
        <v>25</v>
      </c>
      <c r="F468" t="s">
        <v>61</v>
      </c>
      <c r="G468" t="s">
        <v>326</v>
      </c>
      <c r="H468" t="s">
        <v>11</v>
      </c>
      <c r="I468" t="s">
        <v>1935</v>
      </c>
      <c r="J468" t="s">
        <v>1936</v>
      </c>
      <c r="K468" s="8">
        <v>24</v>
      </c>
    </row>
    <row r="469" spans="1:11">
      <c r="A469" t="s">
        <v>2407</v>
      </c>
      <c r="B469" s="15">
        <v>45390</v>
      </c>
      <c r="C469" s="4">
        <v>45383</v>
      </c>
      <c r="D469" t="s">
        <v>59</v>
      </c>
      <c r="E469" t="s">
        <v>25</v>
      </c>
      <c r="F469" t="s">
        <v>61</v>
      </c>
      <c r="G469" t="s">
        <v>314</v>
      </c>
      <c r="H469" t="s">
        <v>14</v>
      </c>
      <c r="I469" t="s">
        <v>1935</v>
      </c>
      <c r="J469" t="s">
        <v>1936</v>
      </c>
      <c r="K469" s="8">
        <v>18</v>
      </c>
    </row>
    <row r="470" spans="1:11">
      <c r="A470" t="s">
        <v>2408</v>
      </c>
      <c r="B470" s="15">
        <v>45389</v>
      </c>
      <c r="C470" s="4">
        <v>45383</v>
      </c>
      <c r="D470" t="s">
        <v>59</v>
      </c>
      <c r="E470" t="s">
        <v>25</v>
      </c>
      <c r="F470" t="s">
        <v>61</v>
      </c>
      <c r="G470" t="s">
        <v>374</v>
      </c>
      <c r="H470" t="s">
        <v>14</v>
      </c>
      <c r="I470" t="s">
        <v>1935</v>
      </c>
      <c r="J470" t="s">
        <v>1936</v>
      </c>
      <c r="K470" s="8">
        <v>19</v>
      </c>
    </row>
    <row r="471" spans="1:11">
      <c r="A471" t="s">
        <v>2409</v>
      </c>
      <c r="B471" s="15">
        <v>45390</v>
      </c>
      <c r="C471" s="4">
        <v>45383</v>
      </c>
      <c r="D471" t="s">
        <v>59</v>
      </c>
      <c r="E471" t="s">
        <v>25</v>
      </c>
      <c r="F471" t="s">
        <v>61</v>
      </c>
      <c r="G471" t="s">
        <v>380</v>
      </c>
      <c r="H471" t="s">
        <v>11</v>
      </c>
      <c r="I471" t="s">
        <v>1935</v>
      </c>
      <c r="J471" t="s">
        <v>1936</v>
      </c>
      <c r="K471" s="8">
        <v>31</v>
      </c>
    </row>
    <row r="472" spans="1:11">
      <c r="A472" t="s">
        <v>2410</v>
      </c>
      <c r="B472" s="15">
        <v>45405</v>
      </c>
      <c r="C472" s="4">
        <v>45383</v>
      </c>
      <c r="D472" t="s">
        <v>62</v>
      </c>
      <c r="E472" t="s">
        <v>25</v>
      </c>
      <c r="F472" t="s">
        <v>64</v>
      </c>
      <c r="G472" t="s">
        <v>370</v>
      </c>
      <c r="H472" t="s">
        <v>5</v>
      </c>
      <c r="I472" t="s">
        <v>1935</v>
      </c>
      <c r="J472" t="s">
        <v>1936</v>
      </c>
      <c r="K472" s="8">
        <v>29</v>
      </c>
    </row>
    <row r="473" spans="1:11">
      <c r="A473" t="s">
        <v>2411</v>
      </c>
      <c r="B473" s="15">
        <v>45411</v>
      </c>
      <c r="C473" s="4">
        <v>45383</v>
      </c>
      <c r="D473" t="s">
        <v>62</v>
      </c>
      <c r="E473" t="s">
        <v>25</v>
      </c>
      <c r="F473" t="s">
        <v>64</v>
      </c>
      <c r="G473" t="s">
        <v>328</v>
      </c>
      <c r="H473" t="s">
        <v>5</v>
      </c>
      <c r="I473" t="s">
        <v>1935</v>
      </c>
      <c r="J473" t="s">
        <v>1936</v>
      </c>
      <c r="K473" s="8">
        <v>14</v>
      </c>
    </row>
    <row r="474" spans="1:11">
      <c r="A474" t="s">
        <v>2412</v>
      </c>
      <c r="B474" s="15">
        <v>45396</v>
      </c>
      <c r="C474" s="4">
        <v>45383</v>
      </c>
      <c r="D474" t="s">
        <v>62</v>
      </c>
      <c r="E474" t="s">
        <v>25</v>
      </c>
      <c r="F474" t="s">
        <v>64</v>
      </c>
      <c r="G474" t="s">
        <v>370</v>
      </c>
      <c r="H474" t="s">
        <v>8</v>
      </c>
      <c r="I474" t="s">
        <v>1935</v>
      </c>
      <c r="J474" t="s">
        <v>1936</v>
      </c>
      <c r="K474" s="8">
        <v>27</v>
      </c>
    </row>
    <row r="475" spans="1:11">
      <c r="A475" t="s">
        <v>2413</v>
      </c>
      <c r="B475" s="15">
        <v>45404</v>
      </c>
      <c r="C475" s="4">
        <v>45383</v>
      </c>
      <c r="D475" t="s">
        <v>62</v>
      </c>
      <c r="E475" t="s">
        <v>25</v>
      </c>
      <c r="F475" t="s">
        <v>64</v>
      </c>
      <c r="G475" t="s">
        <v>364</v>
      </c>
      <c r="H475" t="s">
        <v>14</v>
      </c>
      <c r="I475" t="s">
        <v>1935</v>
      </c>
      <c r="J475" t="s">
        <v>1936</v>
      </c>
      <c r="K475" s="8">
        <v>22</v>
      </c>
    </row>
    <row r="476" spans="1:11">
      <c r="A476" t="s">
        <v>2414</v>
      </c>
      <c r="B476" s="15">
        <v>45389</v>
      </c>
      <c r="C476" s="4">
        <v>45383</v>
      </c>
      <c r="D476" t="s">
        <v>62</v>
      </c>
      <c r="E476" t="s">
        <v>25</v>
      </c>
      <c r="F476" t="s">
        <v>64</v>
      </c>
      <c r="G476" t="s">
        <v>370</v>
      </c>
      <c r="H476" t="s">
        <v>11</v>
      </c>
      <c r="I476" t="s">
        <v>1935</v>
      </c>
      <c r="J476" t="s">
        <v>1936</v>
      </c>
      <c r="K476" s="8">
        <v>23</v>
      </c>
    </row>
    <row r="477" spans="1:11">
      <c r="A477" t="s">
        <v>2415</v>
      </c>
      <c r="B477" s="15">
        <v>45411</v>
      </c>
      <c r="C477" s="4">
        <v>45383</v>
      </c>
      <c r="D477" t="s">
        <v>62</v>
      </c>
      <c r="E477" t="s">
        <v>25</v>
      </c>
      <c r="F477" t="s">
        <v>64</v>
      </c>
      <c r="G477" t="s">
        <v>328</v>
      </c>
      <c r="H477" t="s">
        <v>8</v>
      </c>
      <c r="I477" t="s">
        <v>1935</v>
      </c>
      <c r="J477" t="s">
        <v>1936</v>
      </c>
      <c r="K477" s="8">
        <v>20</v>
      </c>
    </row>
    <row r="478" spans="1:11">
      <c r="A478" t="s">
        <v>2416</v>
      </c>
      <c r="B478" s="15">
        <v>45396</v>
      </c>
      <c r="C478" s="4">
        <v>45383</v>
      </c>
      <c r="D478" t="s">
        <v>62</v>
      </c>
      <c r="E478" t="s">
        <v>25</v>
      </c>
      <c r="F478" t="s">
        <v>64</v>
      </c>
      <c r="G478" t="s">
        <v>358</v>
      </c>
      <c r="H478" t="s">
        <v>8</v>
      </c>
      <c r="I478" t="s">
        <v>1935</v>
      </c>
      <c r="J478" t="s">
        <v>1936</v>
      </c>
      <c r="K478" s="8">
        <v>28</v>
      </c>
    </row>
    <row r="479" spans="1:11">
      <c r="A479" t="s">
        <v>2417</v>
      </c>
      <c r="B479" s="15">
        <v>45395</v>
      </c>
      <c r="C479" s="4">
        <v>45383</v>
      </c>
      <c r="D479" t="s">
        <v>62</v>
      </c>
      <c r="E479" t="s">
        <v>25</v>
      </c>
      <c r="F479" t="s">
        <v>64</v>
      </c>
      <c r="G479" t="s">
        <v>316</v>
      </c>
      <c r="H479" t="s">
        <v>8</v>
      </c>
      <c r="I479" t="s">
        <v>1935</v>
      </c>
      <c r="J479" t="s">
        <v>1936</v>
      </c>
      <c r="K479" s="8">
        <v>25</v>
      </c>
    </row>
    <row r="480" spans="1:11">
      <c r="A480" t="s">
        <v>2418</v>
      </c>
      <c r="B480" s="15">
        <v>45388</v>
      </c>
      <c r="C480" s="4">
        <v>45383</v>
      </c>
      <c r="D480" t="s">
        <v>62</v>
      </c>
      <c r="E480" t="s">
        <v>25</v>
      </c>
      <c r="F480" t="s">
        <v>64</v>
      </c>
      <c r="G480" t="s">
        <v>370</v>
      </c>
      <c r="H480" t="s">
        <v>5</v>
      </c>
      <c r="I480" t="s">
        <v>1935</v>
      </c>
      <c r="J480" t="s">
        <v>1936</v>
      </c>
      <c r="K480" s="8">
        <v>11</v>
      </c>
    </row>
    <row r="481" spans="1:11">
      <c r="A481" t="s">
        <v>2419</v>
      </c>
      <c r="B481" s="15">
        <v>45396</v>
      </c>
      <c r="C481" s="4">
        <v>45383</v>
      </c>
      <c r="D481" t="s">
        <v>62</v>
      </c>
      <c r="E481" t="s">
        <v>25</v>
      </c>
      <c r="F481" t="s">
        <v>64</v>
      </c>
      <c r="G481" t="s">
        <v>370</v>
      </c>
      <c r="H481" t="s">
        <v>5</v>
      </c>
      <c r="I481" t="s">
        <v>1935</v>
      </c>
      <c r="J481" t="s">
        <v>1938</v>
      </c>
      <c r="K481" s="8">
        <v>31</v>
      </c>
    </row>
    <row r="482" spans="1:11">
      <c r="A482" t="s">
        <v>2420</v>
      </c>
      <c r="B482" s="15">
        <v>45398</v>
      </c>
      <c r="C482" s="4">
        <v>45383</v>
      </c>
      <c r="D482" t="s">
        <v>65</v>
      </c>
      <c r="E482" t="s">
        <v>25</v>
      </c>
      <c r="F482" t="s">
        <v>67</v>
      </c>
      <c r="G482" t="s">
        <v>342</v>
      </c>
      <c r="H482" t="s">
        <v>11</v>
      </c>
      <c r="I482" t="s">
        <v>1935</v>
      </c>
      <c r="J482" t="s">
        <v>1936</v>
      </c>
      <c r="K482" s="8">
        <v>32</v>
      </c>
    </row>
    <row r="483" spans="1:11">
      <c r="A483" t="s">
        <v>2421</v>
      </c>
      <c r="B483" s="15">
        <v>45400</v>
      </c>
      <c r="C483" s="4">
        <v>45383</v>
      </c>
      <c r="D483" t="s">
        <v>65</v>
      </c>
      <c r="E483" t="s">
        <v>25</v>
      </c>
      <c r="F483" t="s">
        <v>67</v>
      </c>
      <c r="G483" t="s">
        <v>354</v>
      </c>
      <c r="H483" t="s">
        <v>5</v>
      </c>
      <c r="I483" t="s">
        <v>1935</v>
      </c>
      <c r="J483" t="s">
        <v>1936</v>
      </c>
      <c r="K483" s="8">
        <v>12</v>
      </c>
    </row>
    <row r="484" spans="1:11">
      <c r="A484" t="s">
        <v>2422</v>
      </c>
      <c r="B484" s="15">
        <v>45392</v>
      </c>
      <c r="C484" s="4">
        <v>45383</v>
      </c>
      <c r="D484" t="s">
        <v>65</v>
      </c>
      <c r="E484" t="s">
        <v>25</v>
      </c>
      <c r="F484" t="s">
        <v>67</v>
      </c>
      <c r="G484" t="s">
        <v>342</v>
      </c>
      <c r="H484" t="s">
        <v>11</v>
      </c>
      <c r="I484" t="s">
        <v>1935</v>
      </c>
      <c r="J484" t="s">
        <v>1936</v>
      </c>
      <c r="K484" s="8">
        <v>31</v>
      </c>
    </row>
    <row r="485" spans="1:11">
      <c r="A485" t="s">
        <v>2423</v>
      </c>
      <c r="B485" s="15">
        <v>45396</v>
      </c>
      <c r="C485" s="4">
        <v>45383</v>
      </c>
      <c r="D485" t="s">
        <v>65</v>
      </c>
      <c r="E485" t="s">
        <v>25</v>
      </c>
      <c r="F485" t="s">
        <v>67</v>
      </c>
      <c r="G485" t="s">
        <v>348</v>
      </c>
      <c r="H485" t="s">
        <v>11</v>
      </c>
      <c r="I485" t="s">
        <v>1935</v>
      </c>
      <c r="J485" t="s">
        <v>1936</v>
      </c>
      <c r="K485" s="8">
        <v>14</v>
      </c>
    </row>
    <row r="486" spans="1:11">
      <c r="A486" t="s">
        <v>2424</v>
      </c>
      <c r="B486" s="15">
        <v>45397</v>
      </c>
      <c r="C486" s="4">
        <v>45383</v>
      </c>
      <c r="D486" t="s">
        <v>65</v>
      </c>
      <c r="E486" t="s">
        <v>25</v>
      </c>
      <c r="F486" t="s">
        <v>67</v>
      </c>
      <c r="G486" t="s">
        <v>354</v>
      </c>
      <c r="H486" t="s">
        <v>11</v>
      </c>
      <c r="I486" t="s">
        <v>1935</v>
      </c>
      <c r="J486" t="s">
        <v>1936</v>
      </c>
      <c r="K486" s="8">
        <v>33</v>
      </c>
    </row>
    <row r="487" spans="1:11">
      <c r="A487" t="s">
        <v>2425</v>
      </c>
      <c r="B487" s="15">
        <v>45411</v>
      </c>
      <c r="C487" s="4">
        <v>45383</v>
      </c>
      <c r="D487" t="s">
        <v>65</v>
      </c>
      <c r="E487" t="s">
        <v>25</v>
      </c>
      <c r="F487" t="s">
        <v>67</v>
      </c>
      <c r="G487" t="s">
        <v>324</v>
      </c>
      <c r="H487" t="s">
        <v>11</v>
      </c>
      <c r="I487" t="s">
        <v>1935</v>
      </c>
      <c r="J487" t="s">
        <v>1936</v>
      </c>
      <c r="K487" s="8">
        <v>27</v>
      </c>
    </row>
    <row r="488" spans="1:11">
      <c r="A488" t="s">
        <v>2426</v>
      </c>
      <c r="B488" s="15">
        <v>45406</v>
      </c>
      <c r="C488" s="4">
        <v>45383</v>
      </c>
      <c r="D488" t="s">
        <v>65</v>
      </c>
      <c r="E488" t="s">
        <v>25</v>
      </c>
      <c r="F488" t="s">
        <v>67</v>
      </c>
      <c r="G488" t="s">
        <v>342</v>
      </c>
      <c r="H488" t="s">
        <v>11</v>
      </c>
      <c r="I488" t="s">
        <v>1935</v>
      </c>
      <c r="J488" t="s">
        <v>1954</v>
      </c>
      <c r="K488" s="8">
        <v>20</v>
      </c>
    </row>
    <row r="489" spans="1:11">
      <c r="A489" t="s">
        <v>2427</v>
      </c>
      <c r="B489" s="15">
        <v>45386</v>
      </c>
      <c r="C489" s="4">
        <v>45383</v>
      </c>
      <c r="D489" t="s">
        <v>65</v>
      </c>
      <c r="E489" t="s">
        <v>25</v>
      </c>
      <c r="F489" t="s">
        <v>67</v>
      </c>
      <c r="G489" t="s">
        <v>318</v>
      </c>
      <c r="H489" t="s">
        <v>14</v>
      </c>
      <c r="I489" t="s">
        <v>1935</v>
      </c>
      <c r="J489" t="s">
        <v>1936</v>
      </c>
      <c r="K489" s="8">
        <v>32</v>
      </c>
    </row>
    <row r="490" spans="1:11">
      <c r="A490" t="s">
        <v>2428</v>
      </c>
      <c r="B490" s="15">
        <v>45392</v>
      </c>
      <c r="C490" s="4">
        <v>45383</v>
      </c>
      <c r="D490" t="s">
        <v>65</v>
      </c>
      <c r="E490" t="s">
        <v>25</v>
      </c>
      <c r="F490" t="s">
        <v>67</v>
      </c>
      <c r="G490" t="s">
        <v>372</v>
      </c>
      <c r="H490" t="s">
        <v>5</v>
      </c>
      <c r="I490" t="s">
        <v>1935</v>
      </c>
      <c r="J490" t="s">
        <v>1954</v>
      </c>
      <c r="K490" s="8">
        <v>25</v>
      </c>
    </row>
    <row r="491" spans="1:11">
      <c r="A491" t="s">
        <v>2429</v>
      </c>
      <c r="B491" s="15">
        <v>45389</v>
      </c>
      <c r="C491" s="4">
        <v>45383</v>
      </c>
      <c r="D491" t="s">
        <v>65</v>
      </c>
      <c r="E491" t="s">
        <v>25</v>
      </c>
      <c r="F491" t="s">
        <v>67</v>
      </c>
      <c r="G491" t="s">
        <v>336</v>
      </c>
      <c r="H491" t="s">
        <v>5</v>
      </c>
      <c r="I491" t="s">
        <v>1935</v>
      </c>
      <c r="J491" t="s">
        <v>1936</v>
      </c>
      <c r="K491" s="8">
        <v>11</v>
      </c>
    </row>
    <row r="492" spans="1:11">
      <c r="A492" t="s">
        <v>2430</v>
      </c>
      <c r="B492" s="15">
        <v>45413</v>
      </c>
      <c r="C492" s="4">
        <v>45413</v>
      </c>
      <c r="D492" t="s">
        <v>32</v>
      </c>
      <c r="E492" t="s">
        <v>19</v>
      </c>
      <c r="F492" t="s">
        <v>34</v>
      </c>
      <c r="G492" t="s">
        <v>130</v>
      </c>
      <c r="H492" t="s">
        <v>14</v>
      </c>
      <c r="I492" t="s">
        <v>1935</v>
      </c>
      <c r="J492" t="s">
        <v>1936</v>
      </c>
      <c r="K492" s="8">
        <v>28</v>
      </c>
    </row>
    <row r="493" spans="1:11">
      <c r="A493" t="s">
        <v>2431</v>
      </c>
      <c r="B493" s="15">
        <v>45434</v>
      </c>
      <c r="C493" s="4">
        <v>45413</v>
      </c>
      <c r="D493" t="s">
        <v>32</v>
      </c>
      <c r="E493" t="s">
        <v>19</v>
      </c>
      <c r="F493" t="s">
        <v>34</v>
      </c>
      <c r="G493" t="s">
        <v>85</v>
      </c>
      <c r="H493" t="s">
        <v>14</v>
      </c>
      <c r="I493" t="s">
        <v>1935</v>
      </c>
      <c r="J493" t="s">
        <v>1938</v>
      </c>
      <c r="K493" s="8">
        <v>19</v>
      </c>
    </row>
    <row r="494" spans="1:11">
      <c r="A494" t="s">
        <v>2432</v>
      </c>
      <c r="B494" s="15">
        <v>45419</v>
      </c>
      <c r="C494" s="4">
        <v>45413</v>
      </c>
      <c r="D494" t="s">
        <v>32</v>
      </c>
      <c r="E494" t="s">
        <v>19</v>
      </c>
      <c r="F494" t="s">
        <v>34</v>
      </c>
      <c r="G494" t="s">
        <v>160</v>
      </c>
      <c r="H494" t="s">
        <v>5</v>
      </c>
      <c r="I494" t="s">
        <v>1935</v>
      </c>
      <c r="J494" t="s">
        <v>1936</v>
      </c>
      <c r="K494" s="8">
        <v>22</v>
      </c>
    </row>
    <row r="495" spans="1:11">
      <c r="A495" t="s">
        <v>2433</v>
      </c>
      <c r="B495" s="15">
        <v>45433</v>
      </c>
      <c r="C495" s="4">
        <v>45413</v>
      </c>
      <c r="D495" t="s">
        <v>32</v>
      </c>
      <c r="E495" t="s">
        <v>19</v>
      </c>
      <c r="F495" t="s">
        <v>34</v>
      </c>
      <c r="G495" t="s">
        <v>92</v>
      </c>
      <c r="H495" t="s">
        <v>8</v>
      </c>
      <c r="I495" t="s">
        <v>1935</v>
      </c>
      <c r="J495" t="s">
        <v>1936</v>
      </c>
      <c r="K495" s="8">
        <v>13</v>
      </c>
    </row>
    <row r="496" spans="1:11">
      <c r="A496" t="s">
        <v>2434</v>
      </c>
      <c r="B496" s="15">
        <v>45420</v>
      </c>
      <c r="C496" s="4">
        <v>45413</v>
      </c>
      <c r="D496" t="s">
        <v>32</v>
      </c>
      <c r="E496" t="s">
        <v>19</v>
      </c>
      <c r="F496" t="s">
        <v>34</v>
      </c>
      <c r="G496" t="s">
        <v>154</v>
      </c>
      <c r="H496" t="s">
        <v>14</v>
      </c>
      <c r="I496" t="s">
        <v>1935</v>
      </c>
      <c r="J496" t="s">
        <v>1936</v>
      </c>
      <c r="K496" s="8">
        <v>10</v>
      </c>
    </row>
    <row r="497" spans="1:11">
      <c r="A497" t="s">
        <v>2435</v>
      </c>
      <c r="B497" s="15">
        <v>45440</v>
      </c>
      <c r="C497" s="4">
        <v>45413</v>
      </c>
      <c r="D497" t="s">
        <v>32</v>
      </c>
      <c r="E497" t="s">
        <v>19</v>
      </c>
      <c r="F497" t="s">
        <v>34</v>
      </c>
      <c r="G497" t="s">
        <v>148</v>
      </c>
      <c r="H497" t="s">
        <v>5</v>
      </c>
      <c r="I497" t="s">
        <v>1935</v>
      </c>
      <c r="J497" t="s">
        <v>1936</v>
      </c>
      <c r="K497" s="8">
        <v>12</v>
      </c>
    </row>
    <row r="498" spans="1:11">
      <c r="A498" t="s">
        <v>2436</v>
      </c>
      <c r="B498" s="15">
        <v>45441</v>
      </c>
      <c r="C498" s="4">
        <v>45413</v>
      </c>
      <c r="D498" t="s">
        <v>32</v>
      </c>
      <c r="E498" t="s">
        <v>19</v>
      </c>
      <c r="F498" t="s">
        <v>34</v>
      </c>
      <c r="G498" t="s">
        <v>111</v>
      </c>
      <c r="H498" t="s">
        <v>5</v>
      </c>
      <c r="I498" t="s">
        <v>1935</v>
      </c>
      <c r="J498" t="s">
        <v>1938</v>
      </c>
      <c r="K498" s="8">
        <v>27</v>
      </c>
    </row>
    <row r="499" spans="1:11">
      <c r="A499" t="s">
        <v>2437</v>
      </c>
      <c r="B499" s="15">
        <v>45437</v>
      </c>
      <c r="C499" s="4">
        <v>45413</v>
      </c>
      <c r="D499" t="s">
        <v>35</v>
      </c>
      <c r="E499" t="s">
        <v>19</v>
      </c>
      <c r="F499" t="s">
        <v>37</v>
      </c>
      <c r="G499" t="s">
        <v>78</v>
      </c>
      <c r="H499" t="s">
        <v>8</v>
      </c>
      <c r="I499" t="s">
        <v>1935</v>
      </c>
      <c r="J499" t="s">
        <v>1936</v>
      </c>
      <c r="K499" s="8">
        <v>16</v>
      </c>
    </row>
    <row r="500" spans="1:11">
      <c r="A500" t="s">
        <v>2438</v>
      </c>
      <c r="B500" s="15">
        <v>45419</v>
      </c>
      <c r="C500" s="4">
        <v>45413</v>
      </c>
      <c r="D500" t="s">
        <v>35</v>
      </c>
      <c r="E500" t="s">
        <v>19</v>
      </c>
      <c r="F500" t="s">
        <v>37</v>
      </c>
      <c r="G500" t="s">
        <v>101</v>
      </c>
      <c r="H500" t="s">
        <v>5</v>
      </c>
      <c r="I500" t="s">
        <v>1935</v>
      </c>
      <c r="J500" t="s">
        <v>1936</v>
      </c>
      <c r="K500" s="8">
        <v>29</v>
      </c>
    </row>
    <row r="501" spans="1:11">
      <c r="A501" t="s">
        <v>2439</v>
      </c>
      <c r="B501" s="15">
        <v>45430</v>
      </c>
      <c r="C501" s="4">
        <v>45413</v>
      </c>
      <c r="D501" t="s">
        <v>35</v>
      </c>
      <c r="E501" t="s">
        <v>19</v>
      </c>
      <c r="F501" t="s">
        <v>37</v>
      </c>
      <c r="G501" t="s">
        <v>107</v>
      </c>
      <c r="H501" t="s">
        <v>8</v>
      </c>
      <c r="I501" t="s">
        <v>1935</v>
      </c>
      <c r="J501" t="s">
        <v>1936</v>
      </c>
      <c r="K501" s="8">
        <v>15</v>
      </c>
    </row>
    <row r="502" spans="1:11">
      <c r="A502" t="s">
        <v>2440</v>
      </c>
      <c r="B502" s="15">
        <v>45435</v>
      </c>
      <c r="C502" s="4">
        <v>45413</v>
      </c>
      <c r="D502" t="s">
        <v>35</v>
      </c>
      <c r="E502" t="s">
        <v>19</v>
      </c>
      <c r="F502" t="s">
        <v>37</v>
      </c>
      <c r="G502" t="s">
        <v>101</v>
      </c>
      <c r="H502" t="s">
        <v>8</v>
      </c>
      <c r="I502" t="s">
        <v>1935</v>
      </c>
      <c r="J502" t="s">
        <v>1936</v>
      </c>
      <c r="K502" s="8">
        <v>20</v>
      </c>
    </row>
    <row r="503" spans="1:11">
      <c r="A503" t="s">
        <v>2441</v>
      </c>
      <c r="B503" s="15">
        <v>45437</v>
      </c>
      <c r="C503" s="4">
        <v>45413</v>
      </c>
      <c r="D503" t="s">
        <v>35</v>
      </c>
      <c r="E503" t="s">
        <v>19</v>
      </c>
      <c r="F503" t="s">
        <v>37</v>
      </c>
      <c r="G503" t="s">
        <v>107</v>
      </c>
      <c r="H503" t="s">
        <v>8</v>
      </c>
      <c r="I503" t="s">
        <v>1935</v>
      </c>
      <c r="J503" t="s">
        <v>1936</v>
      </c>
      <c r="K503" s="8">
        <v>27</v>
      </c>
    </row>
    <row r="504" spans="1:11">
      <c r="A504" t="s">
        <v>2442</v>
      </c>
      <c r="B504" s="15">
        <v>45433</v>
      </c>
      <c r="C504" s="4">
        <v>45413</v>
      </c>
      <c r="D504" t="s">
        <v>35</v>
      </c>
      <c r="E504" t="s">
        <v>19</v>
      </c>
      <c r="F504" t="s">
        <v>37</v>
      </c>
      <c r="G504" t="s">
        <v>101</v>
      </c>
      <c r="H504" t="s">
        <v>11</v>
      </c>
      <c r="I504" t="s">
        <v>1935</v>
      </c>
      <c r="J504" t="s">
        <v>1936</v>
      </c>
      <c r="K504" s="8">
        <v>16</v>
      </c>
    </row>
    <row r="505" spans="1:11">
      <c r="A505" t="s">
        <v>2443</v>
      </c>
      <c r="B505" s="15">
        <v>45417</v>
      </c>
      <c r="C505" s="4">
        <v>45413</v>
      </c>
      <c r="D505" t="s">
        <v>35</v>
      </c>
      <c r="E505" t="s">
        <v>19</v>
      </c>
      <c r="F505" t="s">
        <v>37</v>
      </c>
      <c r="G505" t="s">
        <v>113</v>
      </c>
      <c r="H505" t="s">
        <v>14</v>
      </c>
      <c r="I505" t="s">
        <v>1935</v>
      </c>
      <c r="J505" t="s">
        <v>1936</v>
      </c>
      <c r="K505" s="8">
        <v>10</v>
      </c>
    </row>
    <row r="506" spans="1:11">
      <c r="A506" t="s">
        <v>2444</v>
      </c>
      <c r="B506" s="15">
        <v>45440</v>
      </c>
      <c r="C506" s="4">
        <v>45413</v>
      </c>
      <c r="D506" t="s">
        <v>35</v>
      </c>
      <c r="E506" t="s">
        <v>19</v>
      </c>
      <c r="F506" t="s">
        <v>37</v>
      </c>
      <c r="G506" t="s">
        <v>101</v>
      </c>
      <c r="H506" t="s">
        <v>8</v>
      </c>
      <c r="I506" t="s">
        <v>1942</v>
      </c>
      <c r="J506" t="s">
        <v>1936</v>
      </c>
      <c r="K506" s="8">
        <v>1</v>
      </c>
    </row>
    <row r="507" spans="1:11">
      <c r="A507" t="s">
        <v>2445</v>
      </c>
      <c r="B507" s="15">
        <v>45436</v>
      </c>
      <c r="C507" s="4">
        <v>45413</v>
      </c>
      <c r="D507" t="s">
        <v>35</v>
      </c>
      <c r="E507" t="s">
        <v>19</v>
      </c>
      <c r="F507" t="s">
        <v>37</v>
      </c>
      <c r="G507" t="s">
        <v>101</v>
      </c>
      <c r="H507" t="s">
        <v>8</v>
      </c>
      <c r="I507" t="s">
        <v>1935</v>
      </c>
      <c r="J507" t="s">
        <v>1938</v>
      </c>
      <c r="K507" s="8">
        <v>30</v>
      </c>
    </row>
    <row r="508" spans="1:11">
      <c r="A508" t="s">
        <v>2446</v>
      </c>
      <c r="B508" s="15">
        <v>45443</v>
      </c>
      <c r="C508" s="4">
        <v>45413</v>
      </c>
      <c r="D508" t="s">
        <v>35</v>
      </c>
      <c r="E508" t="s">
        <v>19</v>
      </c>
      <c r="F508" t="s">
        <v>37</v>
      </c>
      <c r="G508" t="s">
        <v>101</v>
      </c>
      <c r="H508" t="s">
        <v>5</v>
      </c>
      <c r="I508" t="s">
        <v>1935</v>
      </c>
      <c r="J508" t="s">
        <v>1938</v>
      </c>
      <c r="K508" s="8">
        <v>26</v>
      </c>
    </row>
    <row r="509" spans="1:11">
      <c r="A509" t="s">
        <v>2447</v>
      </c>
      <c r="B509" s="15">
        <v>45415</v>
      </c>
      <c r="C509" s="4">
        <v>45413</v>
      </c>
      <c r="D509" t="s">
        <v>38</v>
      </c>
      <c r="E509" t="s">
        <v>19</v>
      </c>
      <c r="F509" t="s">
        <v>40</v>
      </c>
      <c r="G509" t="s">
        <v>152</v>
      </c>
      <c r="H509" t="s">
        <v>5</v>
      </c>
      <c r="I509" t="s">
        <v>1935</v>
      </c>
      <c r="J509" t="s">
        <v>1936</v>
      </c>
      <c r="K509" s="8">
        <v>14</v>
      </c>
    </row>
    <row r="510" spans="1:11">
      <c r="A510" t="s">
        <v>2448</v>
      </c>
      <c r="B510" s="15">
        <v>45427</v>
      </c>
      <c r="C510" s="4">
        <v>45413</v>
      </c>
      <c r="D510" t="s">
        <v>38</v>
      </c>
      <c r="E510" t="s">
        <v>19</v>
      </c>
      <c r="F510" t="s">
        <v>40</v>
      </c>
      <c r="G510" t="s">
        <v>152</v>
      </c>
      <c r="H510" t="s">
        <v>5</v>
      </c>
      <c r="I510" t="s">
        <v>1942</v>
      </c>
      <c r="J510" t="s">
        <v>1954</v>
      </c>
      <c r="K510" s="8">
        <v>4</v>
      </c>
    </row>
    <row r="511" spans="1:11">
      <c r="A511" t="s">
        <v>2449</v>
      </c>
      <c r="B511" s="15">
        <v>45435</v>
      </c>
      <c r="C511" s="4">
        <v>45413</v>
      </c>
      <c r="D511" t="s">
        <v>38</v>
      </c>
      <c r="E511" t="s">
        <v>19</v>
      </c>
      <c r="F511" t="s">
        <v>40</v>
      </c>
      <c r="G511" t="s">
        <v>103</v>
      </c>
      <c r="H511" t="s">
        <v>8</v>
      </c>
      <c r="I511" t="s">
        <v>1935</v>
      </c>
      <c r="J511" t="s">
        <v>1936</v>
      </c>
      <c r="K511" s="8">
        <v>31</v>
      </c>
    </row>
    <row r="512" spans="1:11">
      <c r="A512" t="s">
        <v>2450</v>
      </c>
      <c r="B512" s="15">
        <v>45415</v>
      </c>
      <c r="C512" s="4">
        <v>45413</v>
      </c>
      <c r="D512" t="s">
        <v>38</v>
      </c>
      <c r="E512" t="s">
        <v>19</v>
      </c>
      <c r="F512" t="s">
        <v>40</v>
      </c>
      <c r="G512" t="s">
        <v>96</v>
      </c>
      <c r="H512" t="s">
        <v>11</v>
      </c>
      <c r="I512" t="s">
        <v>1935</v>
      </c>
      <c r="J512" t="s">
        <v>1936</v>
      </c>
      <c r="K512" s="8">
        <v>24</v>
      </c>
    </row>
    <row r="513" spans="1:11">
      <c r="A513" t="s">
        <v>2451</v>
      </c>
      <c r="B513" s="15">
        <v>45443</v>
      </c>
      <c r="C513" s="4">
        <v>45413</v>
      </c>
      <c r="D513" t="s">
        <v>38</v>
      </c>
      <c r="E513" t="s">
        <v>19</v>
      </c>
      <c r="F513" t="s">
        <v>40</v>
      </c>
      <c r="G513" t="s">
        <v>82</v>
      </c>
      <c r="H513" t="s">
        <v>11</v>
      </c>
      <c r="I513" t="s">
        <v>1935</v>
      </c>
      <c r="J513" t="s">
        <v>1938</v>
      </c>
      <c r="K513" s="8">
        <v>24</v>
      </c>
    </row>
    <row r="514" spans="1:11">
      <c r="A514" t="s">
        <v>2452</v>
      </c>
      <c r="B514" s="15">
        <v>45421</v>
      </c>
      <c r="C514" s="4">
        <v>45413</v>
      </c>
      <c r="D514" t="s">
        <v>38</v>
      </c>
      <c r="E514" t="s">
        <v>19</v>
      </c>
      <c r="F514" t="s">
        <v>40</v>
      </c>
      <c r="G514" t="s">
        <v>128</v>
      </c>
      <c r="H514" t="s">
        <v>5</v>
      </c>
      <c r="I514" t="s">
        <v>1935</v>
      </c>
      <c r="J514" t="s">
        <v>1938</v>
      </c>
      <c r="K514" s="8">
        <v>28</v>
      </c>
    </row>
    <row r="515" spans="1:11">
      <c r="A515" t="s">
        <v>2453</v>
      </c>
      <c r="B515" s="15">
        <v>45419</v>
      </c>
      <c r="C515" s="4">
        <v>45413</v>
      </c>
      <c r="D515" t="s">
        <v>38</v>
      </c>
      <c r="E515" t="s">
        <v>19</v>
      </c>
      <c r="F515" t="s">
        <v>40</v>
      </c>
      <c r="G515" t="s">
        <v>140</v>
      </c>
      <c r="H515" t="s">
        <v>8</v>
      </c>
      <c r="I515" t="s">
        <v>1942</v>
      </c>
      <c r="J515" t="s">
        <v>1936</v>
      </c>
      <c r="K515" s="8">
        <v>4</v>
      </c>
    </row>
    <row r="516" spans="1:11">
      <c r="A516" t="s">
        <v>2454</v>
      </c>
      <c r="B516" s="15">
        <v>45424</v>
      </c>
      <c r="C516" s="4">
        <v>45413</v>
      </c>
      <c r="D516" t="s">
        <v>38</v>
      </c>
      <c r="E516" t="s">
        <v>19</v>
      </c>
      <c r="F516" t="s">
        <v>40</v>
      </c>
      <c r="G516" t="s">
        <v>90</v>
      </c>
      <c r="H516" t="s">
        <v>5</v>
      </c>
      <c r="I516" t="s">
        <v>1935</v>
      </c>
      <c r="J516" t="s">
        <v>1936</v>
      </c>
      <c r="K516" s="8">
        <v>10</v>
      </c>
    </row>
    <row r="517" spans="1:11">
      <c r="A517" t="s">
        <v>2455</v>
      </c>
      <c r="B517" s="15">
        <v>45416</v>
      </c>
      <c r="C517" s="4">
        <v>45413</v>
      </c>
      <c r="D517" t="s">
        <v>38</v>
      </c>
      <c r="E517" t="s">
        <v>19</v>
      </c>
      <c r="F517" t="s">
        <v>40</v>
      </c>
      <c r="G517" t="s">
        <v>146</v>
      </c>
      <c r="H517" t="s">
        <v>8</v>
      </c>
      <c r="I517" t="s">
        <v>1935</v>
      </c>
      <c r="J517" t="s">
        <v>1936</v>
      </c>
      <c r="K517" s="8">
        <v>29</v>
      </c>
    </row>
    <row r="518" spans="1:11">
      <c r="A518" t="s">
        <v>2456</v>
      </c>
      <c r="B518" s="15">
        <v>45421</v>
      </c>
      <c r="C518" s="4">
        <v>45413</v>
      </c>
      <c r="D518" t="s">
        <v>38</v>
      </c>
      <c r="E518" t="s">
        <v>19</v>
      </c>
      <c r="F518" t="s">
        <v>40</v>
      </c>
      <c r="G518" t="s">
        <v>103</v>
      </c>
      <c r="H518" t="s">
        <v>5</v>
      </c>
      <c r="I518" t="s">
        <v>1935</v>
      </c>
      <c r="J518" t="s">
        <v>1936</v>
      </c>
      <c r="K518" s="8">
        <v>20</v>
      </c>
    </row>
    <row r="519" spans="1:11">
      <c r="A519" t="s">
        <v>2457</v>
      </c>
      <c r="B519" s="15">
        <v>45435</v>
      </c>
      <c r="C519" s="4">
        <v>45413</v>
      </c>
      <c r="D519" t="s">
        <v>41</v>
      </c>
      <c r="E519" t="s">
        <v>21</v>
      </c>
      <c r="F519" t="s">
        <v>43</v>
      </c>
      <c r="G519" t="s">
        <v>166</v>
      </c>
      <c r="H519" t="s">
        <v>14</v>
      </c>
      <c r="I519" t="s">
        <v>1935</v>
      </c>
      <c r="J519" t="s">
        <v>1936</v>
      </c>
      <c r="K519" s="8">
        <v>28</v>
      </c>
    </row>
    <row r="520" spans="1:11">
      <c r="A520" t="s">
        <v>2458</v>
      </c>
      <c r="B520" s="15">
        <v>45423</v>
      </c>
      <c r="C520" s="4">
        <v>45413</v>
      </c>
      <c r="D520" t="s">
        <v>41</v>
      </c>
      <c r="E520" t="s">
        <v>21</v>
      </c>
      <c r="F520" t="s">
        <v>43</v>
      </c>
      <c r="G520" t="s">
        <v>226</v>
      </c>
      <c r="H520" t="s">
        <v>5</v>
      </c>
      <c r="I520" t="s">
        <v>1942</v>
      </c>
      <c r="J520" t="s">
        <v>1936</v>
      </c>
      <c r="K520" s="8">
        <v>2</v>
      </c>
    </row>
    <row r="521" spans="1:11">
      <c r="A521" t="s">
        <v>2459</v>
      </c>
      <c r="B521" s="15">
        <v>45433</v>
      </c>
      <c r="C521" s="4">
        <v>45413</v>
      </c>
      <c r="D521" t="s">
        <v>41</v>
      </c>
      <c r="E521" t="s">
        <v>21</v>
      </c>
      <c r="F521" t="s">
        <v>43</v>
      </c>
      <c r="G521" t="s">
        <v>178</v>
      </c>
      <c r="H521" t="s">
        <v>11</v>
      </c>
      <c r="I521" t="s">
        <v>1935</v>
      </c>
      <c r="J521" t="s">
        <v>1936</v>
      </c>
      <c r="K521" s="8">
        <v>12</v>
      </c>
    </row>
    <row r="522" spans="1:11">
      <c r="A522" t="s">
        <v>2460</v>
      </c>
      <c r="B522" s="15">
        <v>45429</v>
      </c>
      <c r="C522" s="4">
        <v>45413</v>
      </c>
      <c r="D522" t="s">
        <v>41</v>
      </c>
      <c r="E522" t="s">
        <v>21</v>
      </c>
      <c r="F522" t="s">
        <v>43</v>
      </c>
      <c r="G522" t="s">
        <v>178</v>
      </c>
      <c r="H522" t="s">
        <v>8</v>
      </c>
      <c r="I522" t="s">
        <v>1935</v>
      </c>
      <c r="J522" t="s">
        <v>1936</v>
      </c>
      <c r="K522" s="8">
        <v>29</v>
      </c>
    </row>
    <row r="523" spans="1:11">
      <c r="A523" t="s">
        <v>2461</v>
      </c>
      <c r="B523" s="15">
        <v>45443</v>
      </c>
      <c r="C523" s="4">
        <v>45413</v>
      </c>
      <c r="D523" t="s">
        <v>41</v>
      </c>
      <c r="E523" t="s">
        <v>21</v>
      </c>
      <c r="F523" t="s">
        <v>43</v>
      </c>
      <c r="G523" t="s">
        <v>172</v>
      </c>
      <c r="H523" t="s">
        <v>5</v>
      </c>
      <c r="I523" t="s">
        <v>1935</v>
      </c>
      <c r="J523" t="s">
        <v>1954</v>
      </c>
      <c r="K523" s="8">
        <v>33</v>
      </c>
    </row>
    <row r="524" spans="1:11">
      <c r="A524" t="s">
        <v>2462</v>
      </c>
      <c r="B524" s="15">
        <v>45432</v>
      </c>
      <c r="C524" s="4">
        <v>45413</v>
      </c>
      <c r="D524" t="s">
        <v>41</v>
      </c>
      <c r="E524" t="s">
        <v>21</v>
      </c>
      <c r="F524" t="s">
        <v>43</v>
      </c>
      <c r="G524" t="s">
        <v>208</v>
      </c>
      <c r="H524" t="s">
        <v>14</v>
      </c>
      <c r="I524" t="s">
        <v>1935</v>
      </c>
      <c r="J524" t="s">
        <v>1938</v>
      </c>
      <c r="K524" s="8">
        <v>29</v>
      </c>
    </row>
    <row r="525" spans="1:11">
      <c r="A525" t="s">
        <v>2463</v>
      </c>
      <c r="B525" s="15">
        <v>45420</v>
      </c>
      <c r="C525" s="4">
        <v>45413</v>
      </c>
      <c r="D525" t="s">
        <v>41</v>
      </c>
      <c r="E525" t="s">
        <v>21</v>
      </c>
      <c r="F525" t="s">
        <v>43</v>
      </c>
      <c r="G525" t="s">
        <v>220</v>
      </c>
      <c r="H525" t="s">
        <v>11</v>
      </c>
      <c r="I525" t="s">
        <v>1935</v>
      </c>
      <c r="J525" t="s">
        <v>1938</v>
      </c>
      <c r="K525" s="8">
        <v>21</v>
      </c>
    </row>
    <row r="526" spans="1:11">
      <c r="A526" t="s">
        <v>2464</v>
      </c>
      <c r="B526" s="15">
        <v>45422</v>
      </c>
      <c r="C526" s="4">
        <v>45413</v>
      </c>
      <c r="D526" t="s">
        <v>41</v>
      </c>
      <c r="E526" t="s">
        <v>21</v>
      </c>
      <c r="F526" t="s">
        <v>43</v>
      </c>
      <c r="G526" t="s">
        <v>214</v>
      </c>
      <c r="H526" t="s">
        <v>5</v>
      </c>
      <c r="I526" t="s">
        <v>1935</v>
      </c>
      <c r="J526" t="s">
        <v>1936</v>
      </c>
      <c r="K526" s="8">
        <v>29</v>
      </c>
    </row>
    <row r="527" spans="1:11">
      <c r="A527" t="s">
        <v>2465</v>
      </c>
      <c r="B527" s="15">
        <v>45439</v>
      </c>
      <c r="C527" s="4">
        <v>45413</v>
      </c>
      <c r="D527" t="s">
        <v>44</v>
      </c>
      <c r="E527" t="s">
        <v>21</v>
      </c>
      <c r="F527" t="s">
        <v>46</v>
      </c>
      <c r="G527" t="s">
        <v>222</v>
      </c>
      <c r="H527" t="s">
        <v>11</v>
      </c>
      <c r="I527" t="s">
        <v>1935</v>
      </c>
      <c r="J527" t="s">
        <v>1954</v>
      </c>
      <c r="K527" s="8">
        <v>17</v>
      </c>
    </row>
    <row r="528" spans="1:11">
      <c r="A528" t="s">
        <v>2466</v>
      </c>
      <c r="B528" s="15">
        <v>45428</v>
      </c>
      <c r="C528" s="4">
        <v>45413</v>
      </c>
      <c r="D528" t="s">
        <v>44</v>
      </c>
      <c r="E528" t="s">
        <v>21</v>
      </c>
      <c r="F528" t="s">
        <v>46</v>
      </c>
      <c r="G528" t="s">
        <v>204</v>
      </c>
      <c r="H528" t="s">
        <v>5</v>
      </c>
      <c r="I528" t="s">
        <v>1935</v>
      </c>
      <c r="J528" t="s">
        <v>1954</v>
      </c>
      <c r="K528" s="8">
        <v>16</v>
      </c>
    </row>
    <row r="529" spans="1:11">
      <c r="A529" t="s">
        <v>2467</v>
      </c>
      <c r="B529" s="15">
        <v>45416</v>
      </c>
      <c r="C529" s="4">
        <v>45413</v>
      </c>
      <c r="D529" t="s">
        <v>44</v>
      </c>
      <c r="E529" t="s">
        <v>21</v>
      </c>
      <c r="F529" t="s">
        <v>46</v>
      </c>
      <c r="G529" t="s">
        <v>198</v>
      </c>
      <c r="H529" t="s">
        <v>14</v>
      </c>
      <c r="I529" t="s">
        <v>1935</v>
      </c>
      <c r="J529" t="s">
        <v>1936</v>
      </c>
      <c r="K529" s="8">
        <v>23</v>
      </c>
    </row>
    <row r="530" spans="1:11">
      <c r="A530" t="s">
        <v>2468</v>
      </c>
      <c r="B530" s="15">
        <v>45431</v>
      </c>
      <c r="C530" s="4">
        <v>45413</v>
      </c>
      <c r="D530" t="s">
        <v>44</v>
      </c>
      <c r="E530" t="s">
        <v>21</v>
      </c>
      <c r="F530" t="s">
        <v>46</v>
      </c>
      <c r="G530" t="s">
        <v>198</v>
      </c>
      <c r="H530" t="s">
        <v>14</v>
      </c>
      <c r="I530" t="s">
        <v>1935</v>
      </c>
      <c r="J530" t="s">
        <v>1936</v>
      </c>
      <c r="K530" s="8">
        <v>26</v>
      </c>
    </row>
    <row r="531" spans="1:11">
      <c r="A531" t="s">
        <v>2469</v>
      </c>
      <c r="B531" s="15">
        <v>45413</v>
      </c>
      <c r="C531" s="4">
        <v>45413</v>
      </c>
      <c r="D531" t="s">
        <v>44</v>
      </c>
      <c r="E531" t="s">
        <v>21</v>
      </c>
      <c r="F531" t="s">
        <v>46</v>
      </c>
      <c r="G531" t="s">
        <v>186</v>
      </c>
      <c r="H531" t="s">
        <v>5</v>
      </c>
      <c r="I531" t="s">
        <v>1935</v>
      </c>
      <c r="J531" t="s">
        <v>1936</v>
      </c>
      <c r="K531" s="8">
        <v>29</v>
      </c>
    </row>
    <row r="532" spans="1:11">
      <c r="A532" t="s">
        <v>2470</v>
      </c>
      <c r="B532" s="15">
        <v>45437</v>
      </c>
      <c r="C532" s="4">
        <v>45413</v>
      </c>
      <c r="D532" t="s">
        <v>44</v>
      </c>
      <c r="E532" t="s">
        <v>21</v>
      </c>
      <c r="F532" t="s">
        <v>46</v>
      </c>
      <c r="G532" t="s">
        <v>234</v>
      </c>
      <c r="H532" t="s">
        <v>5</v>
      </c>
      <c r="I532" t="s">
        <v>1942</v>
      </c>
      <c r="J532" t="s">
        <v>1936</v>
      </c>
      <c r="K532" s="8">
        <v>1</v>
      </c>
    </row>
    <row r="533" spans="1:11">
      <c r="A533" t="s">
        <v>2471</v>
      </c>
      <c r="B533" s="15">
        <v>45421</v>
      </c>
      <c r="C533" s="4">
        <v>45413</v>
      </c>
      <c r="D533" t="s">
        <v>44</v>
      </c>
      <c r="E533" t="s">
        <v>21</v>
      </c>
      <c r="F533" t="s">
        <v>46</v>
      </c>
      <c r="G533" t="s">
        <v>186</v>
      </c>
      <c r="H533" t="s">
        <v>11</v>
      </c>
      <c r="I533" t="s">
        <v>1995</v>
      </c>
      <c r="J533" t="s">
        <v>1936</v>
      </c>
      <c r="K533" s="8">
        <v>3</v>
      </c>
    </row>
    <row r="534" spans="1:11">
      <c r="A534" t="s">
        <v>2472</v>
      </c>
      <c r="B534" s="15">
        <v>45415</v>
      </c>
      <c r="C534" s="4">
        <v>45413</v>
      </c>
      <c r="D534" t="s">
        <v>44</v>
      </c>
      <c r="E534" t="s">
        <v>21</v>
      </c>
      <c r="F534" t="s">
        <v>46</v>
      </c>
      <c r="G534" t="s">
        <v>228</v>
      </c>
      <c r="H534" t="s">
        <v>11</v>
      </c>
      <c r="I534" t="s">
        <v>1935</v>
      </c>
      <c r="J534" t="s">
        <v>1936</v>
      </c>
      <c r="K534" s="8">
        <v>20</v>
      </c>
    </row>
    <row r="535" spans="1:11">
      <c r="A535" t="s">
        <v>2473</v>
      </c>
      <c r="B535" s="15">
        <v>45431</v>
      </c>
      <c r="C535" s="4">
        <v>45413</v>
      </c>
      <c r="D535" t="s">
        <v>44</v>
      </c>
      <c r="E535" t="s">
        <v>21</v>
      </c>
      <c r="F535" t="s">
        <v>46</v>
      </c>
      <c r="G535" t="s">
        <v>198</v>
      </c>
      <c r="H535" t="s">
        <v>11</v>
      </c>
      <c r="I535" t="s">
        <v>1935</v>
      </c>
      <c r="J535" t="s">
        <v>1936</v>
      </c>
      <c r="K535" s="8">
        <v>25</v>
      </c>
    </row>
    <row r="536" spans="1:11">
      <c r="A536" t="s">
        <v>2474</v>
      </c>
      <c r="B536" s="15">
        <v>45427</v>
      </c>
      <c r="C536" s="4">
        <v>45413</v>
      </c>
      <c r="D536" t="s">
        <v>44</v>
      </c>
      <c r="E536" t="s">
        <v>21</v>
      </c>
      <c r="F536" t="s">
        <v>46</v>
      </c>
      <c r="G536" t="s">
        <v>198</v>
      </c>
      <c r="H536" t="s">
        <v>5</v>
      </c>
      <c r="I536" t="s">
        <v>1935</v>
      </c>
      <c r="J536" t="s">
        <v>1936</v>
      </c>
      <c r="K536" s="8">
        <v>22</v>
      </c>
    </row>
    <row r="537" spans="1:11">
      <c r="A537" t="s">
        <v>2475</v>
      </c>
      <c r="B537" s="15">
        <v>45425</v>
      </c>
      <c r="C537" s="4">
        <v>45413</v>
      </c>
      <c r="D537" t="s">
        <v>47</v>
      </c>
      <c r="E537" t="s">
        <v>21</v>
      </c>
      <c r="F537" t="s">
        <v>49</v>
      </c>
      <c r="G537" t="s">
        <v>176</v>
      </c>
      <c r="H537" t="s">
        <v>8</v>
      </c>
      <c r="I537" t="s">
        <v>1935</v>
      </c>
      <c r="J537" t="s">
        <v>1936</v>
      </c>
      <c r="K537" s="8">
        <v>22</v>
      </c>
    </row>
    <row r="538" spans="1:11">
      <c r="A538" t="s">
        <v>2476</v>
      </c>
      <c r="B538" s="15">
        <v>45424</v>
      </c>
      <c r="C538" s="4">
        <v>45413</v>
      </c>
      <c r="D538" t="s">
        <v>47</v>
      </c>
      <c r="E538" t="s">
        <v>21</v>
      </c>
      <c r="F538" t="s">
        <v>49</v>
      </c>
      <c r="G538" t="s">
        <v>218</v>
      </c>
      <c r="H538" t="s">
        <v>8</v>
      </c>
      <c r="I538" t="s">
        <v>1935</v>
      </c>
      <c r="J538" t="s">
        <v>1936</v>
      </c>
      <c r="K538" s="8">
        <v>21</v>
      </c>
    </row>
    <row r="539" spans="1:11">
      <c r="A539" t="s">
        <v>2477</v>
      </c>
      <c r="B539" s="15">
        <v>45417</v>
      </c>
      <c r="C539" s="4">
        <v>45413</v>
      </c>
      <c r="D539" t="s">
        <v>47</v>
      </c>
      <c r="E539" t="s">
        <v>21</v>
      </c>
      <c r="F539" t="s">
        <v>49</v>
      </c>
      <c r="G539" t="s">
        <v>212</v>
      </c>
      <c r="H539" t="s">
        <v>14</v>
      </c>
      <c r="I539" t="s">
        <v>1935</v>
      </c>
      <c r="J539" t="s">
        <v>1936</v>
      </c>
      <c r="K539" s="8">
        <v>15</v>
      </c>
    </row>
    <row r="540" spans="1:11">
      <c r="A540" t="s">
        <v>2478</v>
      </c>
      <c r="B540" s="15">
        <v>45420</v>
      </c>
      <c r="C540" s="4">
        <v>45413</v>
      </c>
      <c r="D540" t="s">
        <v>47</v>
      </c>
      <c r="E540" t="s">
        <v>21</v>
      </c>
      <c r="F540" t="s">
        <v>49</v>
      </c>
      <c r="G540" t="s">
        <v>224</v>
      </c>
      <c r="H540" t="s">
        <v>14</v>
      </c>
      <c r="I540" t="s">
        <v>1935</v>
      </c>
      <c r="J540" t="s">
        <v>1954</v>
      </c>
      <c r="K540" s="8">
        <v>35</v>
      </c>
    </row>
    <row r="541" spans="1:11">
      <c r="A541" t="s">
        <v>2479</v>
      </c>
      <c r="B541" s="15">
        <v>45435</v>
      </c>
      <c r="C541" s="4">
        <v>45413</v>
      </c>
      <c r="D541" t="s">
        <v>47</v>
      </c>
      <c r="E541" t="s">
        <v>21</v>
      </c>
      <c r="F541" t="s">
        <v>49</v>
      </c>
      <c r="G541" t="s">
        <v>218</v>
      </c>
      <c r="H541" t="s">
        <v>14</v>
      </c>
      <c r="I541" t="s">
        <v>1935</v>
      </c>
      <c r="J541" t="s">
        <v>1938</v>
      </c>
      <c r="K541" s="8">
        <v>35</v>
      </c>
    </row>
    <row r="542" spans="1:11">
      <c r="A542" t="s">
        <v>2480</v>
      </c>
      <c r="B542" s="15">
        <v>45429</v>
      </c>
      <c r="C542" s="4">
        <v>45413</v>
      </c>
      <c r="D542" t="s">
        <v>47</v>
      </c>
      <c r="E542" t="s">
        <v>21</v>
      </c>
      <c r="F542" t="s">
        <v>49</v>
      </c>
      <c r="G542" t="s">
        <v>188</v>
      </c>
      <c r="H542" t="s">
        <v>14</v>
      </c>
      <c r="I542" t="s">
        <v>1935</v>
      </c>
      <c r="J542" t="s">
        <v>1936</v>
      </c>
      <c r="K542" s="8">
        <v>33</v>
      </c>
    </row>
    <row r="543" spans="1:11">
      <c r="A543" t="s">
        <v>2481</v>
      </c>
      <c r="B543" s="15">
        <v>45420</v>
      </c>
      <c r="C543" s="4">
        <v>45413</v>
      </c>
      <c r="D543" t="s">
        <v>47</v>
      </c>
      <c r="E543" t="s">
        <v>21</v>
      </c>
      <c r="F543" t="s">
        <v>49</v>
      </c>
      <c r="G543" t="s">
        <v>224</v>
      </c>
      <c r="H543" t="s">
        <v>11</v>
      </c>
      <c r="I543" t="s">
        <v>1935</v>
      </c>
      <c r="J543" t="s">
        <v>1936</v>
      </c>
      <c r="K543" s="8">
        <v>13</v>
      </c>
    </row>
    <row r="544" spans="1:11">
      <c r="A544" t="s">
        <v>2482</v>
      </c>
      <c r="B544" s="15">
        <v>45443</v>
      </c>
      <c r="C544" s="4">
        <v>45413</v>
      </c>
      <c r="D544" t="s">
        <v>47</v>
      </c>
      <c r="E544" t="s">
        <v>21</v>
      </c>
      <c r="F544" t="s">
        <v>49</v>
      </c>
      <c r="G544" t="s">
        <v>212</v>
      </c>
      <c r="H544" t="s">
        <v>14</v>
      </c>
      <c r="I544" t="s">
        <v>1935</v>
      </c>
      <c r="J544" t="s">
        <v>1936</v>
      </c>
      <c r="K544" s="8">
        <v>20</v>
      </c>
    </row>
    <row r="545" spans="1:11">
      <c r="A545" t="s">
        <v>2483</v>
      </c>
      <c r="B545" s="15">
        <v>45424</v>
      </c>
      <c r="C545" s="4">
        <v>45413</v>
      </c>
      <c r="D545" t="s">
        <v>47</v>
      </c>
      <c r="E545" t="s">
        <v>21</v>
      </c>
      <c r="F545" t="s">
        <v>49</v>
      </c>
      <c r="G545" t="s">
        <v>218</v>
      </c>
      <c r="H545" t="s">
        <v>14</v>
      </c>
      <c r="I545" t="s">
        <v>1942</v>
      </c>
      <c r="J545" t="s">
        <v>1936</v>
      </c>
      <c r="K545" s="8">
        <v>2</v>
      </c>
    </row>
    <row r="546" spans="1:11">
      <c r="A546" t="s">
        <v>2484</v>
      </c>
      <c r="B546" s="15">
        <v>45423</v>
      </c>
      <c r="C546" s="4">
        <v>45413</v>
      </c>
      <c r="D546" t="s">
        <v>47</v>
      </c>
      <c r="E546" t="s">
        <v>21</v>
      </c>
      <c r="F546" t="s">
        <v>49</v>
      </c>
      <c r="G546" t="s">
        <v>236</v>
      </c>
      <c r="H546" t="s">
        <v>5</v>
      </c>
      <c r="I546" t="s">
        <v>1935</v>
      </c>
      <c r="J546" t="s">
        <v>1938</v>
      </c>
      <c r="K546" s="8">
        <v>24</v>
      </c>
    </row>
    <row r="547" spans="1:11">
      <c r="A547" t="s">
        <v>2485</v>
      </c>
      <c r="B547" s="15">
        <v>45428</v>
      </c>
      <c r="C547" s="4">
        <v>45413</v>
      </c>
      <c r="D547" t="s">
        <v>47</v>
      </c>
      <c r="E547" t="s">
        <v>21</v>
      </c>
      <c r="F547" t="s">
        <v>49</v>
      </c>
      <c r="G547" t="s">
        <v>194</v>
      </c>
      <c r="H547" t="s">
        <v>14</v>
      </c>
      <c r="I547" t="s">
        <v>1942</v>
      </c>
      <c r="J547" t="s">
        <v>1936</v>
      </c>
      <c r="K547" s="8">
        <v>8</v>
      </c>
    </row>
    <row r="548" spans="1:11">
      <c r="A548" t="s">
        <v>2486</v>
      </c>
      <c r="B548" s="15">
        <v>45424</v>
      </c>
      <c r="C548" s="4">
        <v>45413</v>
      </c>
      <c r="D548" t="s">
        <v>50</v>
      </c>
      <c r="E548" t="s">
        <v>23</v>
      </c>
      <c r="F548" t="s">
        <v>52</v>
      </c>
      <c r="G548" t="s">
        <v>292</v>
      </c>
      <c r="H548" t="s">
        <v>11</v>
      </c>
      <c r="I548" t="s">
        <v>1935</v>
      </c>
      <c r="J548" t="s">
        <v>1936</v>
      </c>
      <c r="K548" s="8">
        <v>28</v>
      </c>
    </row>
    <row r="549" spans="1:11">
      <c r="A549" t="s">
        <v>2487</v>
      </c>
      <c r="B549" s="15">
        <v>45438</v>
      </c>
      <c r="C549" s="4">
        <v>45413</v>
      </c>
      <c r="D549" t="s">
        <v>50</v>
      </c>
      <c r="E549" t="s">
        <v>23</v>
      </c>
      <c r="F549" t="s">
        <v>52</v>
      </c>
      <c r="G549" t="s">
        <v>250</v>
      </c>
      <c r="H549" t="s">
        <v>11</v>
      </c>
      <c r="I549" t="s">
        <v>1935</v>
      </c>
      <c r="J549" t="s">
        <v>1936</v>
      </c>
      <c r="K549" s="8">
        <v>18</v>
      </c>
    </row>
    <row r="550" spans="1:11">
      <c r="A550" t="s">
        <v>2488</v>
      </c>
      <c r="B550" s="15">
        <v>45416</v>
      </c>
      <c r="C550" s="4">
        <v>45413</v>
      </c>
      <c r="D550" t="s">
        <v>50</v>
      </c>
      <c r="E550" t="s">
        <v>23</v>
      </c>
      <c r="F550" t="s">
        <v>52</v>
      </c>
      <c r="G550" t="s">
        <v>292</v>
      </c>
      <c r="H550" t="s">
        <v>11</v>
      </c>
      <c r="I550" t="s">
        <v>1942</v>
      </c>
      <c r="J550" t="s">
        <v>1936</v>
      </c>
      <c r="K550" s="8">
        <v>3</v>
      </c>
    </row>
    <row r="551" spans="1:11">
      <c r="A551" t="s">
        <v>2489</v>
      </c>
      <c r="B551" s="15">
        <v>45440</v>
      </c>
      <c r="C551" s="4">
        <v>45413</v>
      </c>
      <c r="D551" t="s">
        <v>50</v>
      </c>
      <c r="E551" t="s">
        <v>23</v>
      </c>
      <c r="F551" t="s">
        <v>52</v>
      </c>
      <c r="G551" t="s">
        <v>280</v>
      </c>
      <c r="H551" t="s">
        <v>11</v>
      </c>
      <c r="I551" t="s">
        <v>1935</v>
      </c>
      <c r="J551" t="s">
        <v>1938</v>
      </c>
      <c r="K551" s="8">
        <v>35</v>
      </c>
    </row>
    <row r="552" spans="1:11">
      <c r="A552" t="s">
        <v>2490</v>
      </c>
      <c r="B552" s="15">
        <v>45441</v>
      </c>
      <c r="C552" s="4">
        <v>45413</v>
      </c>
      <c r="D552" t="s">
        <v>50</v>
      </c>
      <c r="E552" t="s">
        <v>23</v>
      </c>
      <c r="F552" t="s">
        <v>52</v>
      </c>
      <c r="G552" t="s">
        <v>298</v>
      </c>
      <c r="H552" t="s">
        <v>5</v>
      </c>
      <c r="I552" t="s">
        <v>1935</v>
      </c>
      <c r="J552" t="s">
        <v>1936</v>
      </c>
      <c r="K552" s="8">
        <v>19</v>
      </c>
    </row>
    <row r="553" spans="1:11">
      <c r="A553" t="s">
        <v>2491</v>
      </c>
      <c r="B553" s="15">
        <v>45430</v>
      </c>
      <c r="C553" s="4">
        <v>45413</v>
      </c>
      <c r="D553" t="s">
        <v>50</v>
      </c>
      <c r="E553" t="s">
        <v>23</v>
      </c>
      <c r="F553" t="s">
        <v>52</v>
      </c>
      <c r="G553" t="s">
        <v>286</v>
      </c>
      <c r="H553" t="s">
        <v>8</v>
      </c>
      <c r="I553" t="s">
        <v>1935</v>
      </c>
      <c r="J553" t="s">
        <v>1936</v>
      </c>
      <c r="K553" s="8">
        <v>31</v>
      </c>
    </row>
    <row r="554" spans="1:11">
      <c r="A554" t="s">
        <v>2492</v>
      </c>
      <c r="B554" s="15">
        <v>45424</v>
      </c>
      <c r="C554" s="4">
        <v>45413</v>
      </c>
      <c r="D554" t="s">
        <v>50</v>
      </c>
      <c r="E554" t="s">
        <v>23</v>
      </c>
      <c r="F554" t="s">
        <v>52</v>
      </c>
      <c r="G554" t="s">
        <v>292</v>
      </c>
      <c r="H554" t="s">
        <v>11</v>
      </c>
      <c r="I554" t="s">
        <v>1935</v>
      </c>
      <c r="J554" t="s">
        <v>1954</v>
      </c>
      <c r="K554" s="8">
        <v>30</v>
      </c>
    </row>
    <row r="555" spans="1:11">
      <c r="A555" t="s">
        <v>2493</v>
      </c>
      <c r="B555" s="15">
        <v>45423</v>
      </c>
      <c r="C555" s="4">
        <v>45413</v>
      </c>
      <c r="D555" t="s">
        <v>50</v>
      </c>
      <c r="E555" t="s">
        <v>23</v>
      </c>
      <c r="F555" t="s">
        <v>52</v>
      </c>
      <c r="G555" t="s">
        <v>268</v>
      </c>
      <c r="H555" t="s">
        <v>8</v>
      </c>
      <c r="I555" t="s">
        <v>1935</v>
      </c>
      <c r="J555" t="s">
        <v>1936</v>
      </c>
      <c r="K555" s="8">
        <v>8</v>
      </c>
    </row>
    <row r="556" spans="1:11">
      <c r="A556" t="s">
        <v>2494</v>
      </c>
      <c r="B556" s="15">
        <v>45438</v>
      </c>
      <c r="C556" s="4">
        <v>45413</v>
      </c>
      <c r="D556" t="s">
        <v>50</v>
      </c>
      <c r="E556" t="s">
        <v>23</v>
      </c>
      <c r="F556" t="s">
        <v>52</v>
      </c>
      <c r="G556" t="s">
        <v>310</v>
      </c>
      <c r="H556" t="s">
        <v>11</v>
      </c>
      <c r="I556" t="s">
        <v>1935</v>
      </c>
      <c r="J556" t="s">
        <v>1954</v>
      </c>
      <c r="K556" s="8">
        <v>35</v>
      </c>
    </row>
    <row r="557" spans="1:11">
      <c r="A557" t="s">
        <v>2495</v>
      </c>
      <c r="B557" s="15">
        <v>45433</v>
      </c>
      <c r="C557" s="4">
        <v>45413</v>
      </c>
      <c r="D557" t="s">
        <v>50</v>
      </c>
      <c r="E557" t="s">
        <v>23</v>
      </c>
      <c r="F557" t="s">
        <v>52</v>
      </c>
      <c r="G557" t="s">
        <v>274</v>
      </c>
      <c r="H557" t="s">
        <v>11</v>
      </c>
      <c r="I557" t="s">
        <v>1935</v>
      </c>
      <c r="J557" t="s">
        <v>1936</v>
      </c>
      <c r="K557" s="8">
        <v>19</v>
      </c>
    </row>
    <row r="558" spans="1:11">
      <c r="A558" t="s">
        <v>2496</v>
      </c>
      <c r="B558" s="15">
        <v>45417</v>
      </c>
      <c r="C558" s="4">
        <v>45413</v>
      </c>
      <c r="D558" t="s">
        <v>50</v>
      </c>
      <c r="E558" t="s">
        <v>23</v>
      </c>
      <c r="F558" t="s">
        <v>52</v>
      </c>
      <c r="G558" t="s">
        <v>280</v>
      </c>
      <c r="H558" t="s">
        <v>11</v>
      </c>
      <c r="I558" t="s">
        <v>1995</v>
      </c>
      <c r="J558" t="s">
        <v>1936</v>
      </c>
      <c r="K558" s="8">
        <v>5</v>
      </c>
    </row>
    <row r="559" spans="1:11">
      <c r="A559" t="s">
        <v>2497</v>
      </c>
      <c r="B559" s="15">
        <v>45419</v>
      </c>
      <c r="C559" s="4">
        <v>45413</v>
      </c>
      <c r="D559" t="s">
        <v>53</v>
      </c>
      <c r="E559" t="s">
        <v>23</v>
      </c>
      <c r="F559" t="s">
        <v>55</v>
      </c>
      <c r="G559" t="s">
        <v>270</v>
      </c>
      <c r="H559" t="s">
        <v>8</v>
      </c>
      <c r="I559" t="s">
        <v>1935</v>
      </c>
      <c r="J559" t="s">
        <v>1936</v>
      </c>
      <c r="K559" s="8">
        <v>22</v>
      </c>
    </row>
    <row r="560" spans="1:11">
      <c r="A560" t="s">
        <v>2498</v>
      </c>
      <c r="B560" s="15">
        <v>45416</v>
      </c>
      <c r="C560" s="4">
        <v>45413</v>
      </c>
      <c r="D560" t="s">
        <v>53</v>
      </c>
      <c r="E560" t="s">
        <v>23</v>
      </c>
      <c r="F560" t="s">
        <v>55</v>
      </c>
      <c r="G560" t="s">
        <v>264</v>
      </c>
      <c r="H560" t="s">
        <v>14</v>
      </c>
      <c r="I560" t="s">
        <v>1935</v>
      </c>
      <c r="J560" t="s">
        <v>1954</v>
      </c>
      <c r="K560" s="8">
        <v>15</v>
      </c>
    </row>
    <row r="561" spans="1:11">
      <c r="A561" t="s">
        <v>2499</v>
      </c>
      <c r="B561" s="15">
        <v>45425</v>
      </c>
      <c r="C561" s="4">
        <v>45413</v>
      </c>
      <c r="D561" t="s">
        <v>53</v>
      </c>
      <c r="E561" t="s">
        <v>23</v>
      </c>
      <c r="F561" t="s">
        <v>55</v>
      </c>
      <c r="G561" t="s">
        <v>246</v>
      </c>
      <c r="H561" t="s">
        <v>14</v>
      </c>
      <c r="I561" t="s">
        <v>1935</v>
      </c>
      <c r="J561" t="s">
        <v>1954</v>
      </c>
      <c r="K561" s="8">
        <v>31</v>
      </c>
    </row>
    <row r="562" spans="1:11">
      <c r="A562" t="s">
        <v>2500</v>
      </c>
      <c r="B562" s="15">
        <v>45432</v>
      </c>
      <c r="C562" s="4">
        <v>45413</v>
      </c>
      <c r="D562" t="s">
        <v>53</v>
      </c>
      <c r="E562" t="s">
        <v>23</v>
      </c>
      <c r="F562" t="s">
        <v>55</v>
      </c>
      <c r="G562" t="s">
        <v>294</v>
      </c>
      <c r="H562" t="s">
        <v>8</v>
      </c>
      <c r="I562" t="s">
        <v>1935</v>
      </c>
      <c r="J562" t="s">
        <v>1936</v>
      </c>
      <c r="K562" s="8">
        <v>18</v>
      </c>
    </row>
    <row r="563" spans="1:11">
      <c r="A563" t="s">
        <v>2501</v>
      </c>
      <c r="B563" s="15">
        <v>45429</v>
      </c>
      <c r="C563" s="4">
        <v>45413</v>
      </c>
      <c r="D563" t="s">
        <v>53</v>
      </c>
      <c r="E563" t="s">
        <v>23</v>
      </c>
      <c r="F563" t="s">
        <v>55</v>
      </c>
      <c r="G563" t="s">
        <v>294</v>
      </c>
      <c r="H563" t="s">
        <v>8</v>
      </c>
      <c r="I563" t="s">
        <v>1935</v>
      </c>
      <c r="J563" t="s">
        <v>1938</v>
      </c>
      <c r="K563" s="8">
        <v>33</v>
      </c>
    </row>
    <row r="564" spans="1:11">
      <c r="A564" t="s">
        <v>2502</v>
      </c>
      <c r="B564" s="15">
        <v>45443</v>
      </c>
      <c r="C564" s="4">
        <v>45413</v>
      </c>
      <c r="D564" t="s">
        <v>53</v>
      </c>
      <c r="E564" t="s">
        <v>23</v>
      </c>
      <c r="F564" t="s">
        <v>55</v>
      </c>
      <c r="G564" t="s">
        <v>264</v>
      </c>
      <c r="H564" t="s">
        <v>14</v>
      </c>
      <c r="I564" t="s">
        <v>1935</v>
      </c>
      <c r="J564" t="s">
        <v>1936</v>
      </c>
      <c r="K564" s="8">
        <v>21</v>
      </c>
    </row>
    <row r="565" spans="1:11">
      <c r="A565" t="s">
        <v>2503</v>
      </c>
      <c r="B565" s="15">
        <v>45415</v>
      </c>
      <c r="C565" s="4">
        <v>45413</v>
      </c>
      <c r="D565" t="s">
        <v>53</v>
      </c>
      <c r="E565" t="s">
        <v>23</v>
      </c>
      <c r="F565" t="s">
        <v>55</v>
      </c>
      <c r="G565" t="s">
        <v>312</v>
      </c>
      <c r="H565" t="s">
        <v>5</v>
      </c>
      <c r="I565" t="s">
        <v>1935</v>
      </c>
      <c r="J565" t="s">
        <v>1936</v>
      </c>
      <c r="K565" s="8">
        <v>23</v>
      </c>
    </row>
    <row r="566" spans="1:11">
      <c r="A566" t="s">
        <v>2504</v>
      </c>
      <c r="B566" s="15">
        <v>45442</v>
      </c>
      <c r="C566" s="4">
        <v>45413</v>
      </c>
      <c r="D566" t="s">
        <v>53</v>
      </c>
      <c r="E566" t="s">
        <v>23</v>
      </c>
      <c r="F566" t="s">
        <v>55</v>
      </c>
      <c r="G566" t="s">
        <v>294</v>
      </c>
      <c r="H566" t="s">
        <v>8</v>
      </c>
      <c r="I566" t="s">
        <v>1935</v>
      </c>
      <c r="J566" t="s">
        <v>1936</v>
      </c>
      <c r="K566" s="8">
        <v>26</v>
      </c>
    </row>
    <row r="567" spans="1:11">
      <c r="A567" t="s">
        <v>2505</v>
      </c>
      <c r="B567" s="15">
        <v>45435</v>
      </c>
      <c r="C567" s="4">
        <v>45413</v>
      </c>
      <c r="D567" t="s">
        <v>53</v>
      </c>
      <c r="E567" t="s">
        <v>23</v>
      </c>
      <c r="F567" t="s">
        <v>55</v>
      </c>
      <c r="G567" t="s">
        <v>306</v>
      </c>
      <c r="H567" t="s">
        <v>8</v>
      </c>
      <c r="I567" t="s">
        <v>1935</v>
      </c>
      <c r="J567" t="s">
        <v>1936</v>
      </c>
      <c r="K567" s="8">
        <v>8</v>
      </c>
    </row>
    <row r="568" spans="1:11">
      <c r="A568" t="s">
        <v>2506</v>
      </c>
      <c r="B568" s="15">
        <v>45423</v>
      </c>
      <c r="C568" s="4">
        <v>45413</v>
      </c>
      <c r="D568" t="s">
        <v>53</v>
      </c>
      <c r="E568" t="s">
        <v>23</v>
      </c>
      <c r="F568" t="s">
        <v>55</v>
      </c>
      <c r="G568" t="s">
        <v>294</v>
      </c>
      <c r="H568" t="s">
        <v>8</v>
      </c>
      <c r="I568" t="s">
        <v>1935</v>
      </c>
      <c r="J568" t="s">
        <v>1936</v>
      </c>
      <c r="K568" s="8">
        <v>8</v>
      </c>
    </row>
    <row r="569" spans="1:11">
      <c r="A569" t="s">
        <v>2507</v>
      </c>
      <c r="B569" s="15">
        <v>45435</v>
      </c>
      <c r="C569" s="4">
        <v>45413</v>
      </c>
      <c r="D569" t="s">
        <v>53</v>
      </c>
      <c r="E569" t="s">
        <v>23</v>
      </c>
      <c r="F569" t="s">
        <v>55</v>
      </c>
      <c r="G569" t="s">
        <v>300</v>
      </c>
      <c r="H569" t="s">
        <v>5</v>
      </c>
      <c r="I569" t="s">
        <v>1935</v>
      </c>
      <c r="J569" t="s">
        <v>1938</v>
      </c>
      <c r="K569" s="8">
        <v>20</v>
      </c>
    </row>
    <row r="570" spans="1:11">
      <c r="A570" t="s">
        <v>2508</v>
      </c>
      <c r="B570" s="15">
        <v>45433</v>
      </c>
      <c r="C570" s="4">
        <v>45413</v>
      </c>
      <c r="D570" t="s">
        <v>56</v>
      </c>
      <c r="E570" t="s">
        <v>23</v>
      </c>
      <c r="F570" t="s">
        <v>58</v>
      </c>
      <c r="G570" t="s">
        <v>242</v>
      </c>
      <c r="H570" t="s">
        <v>5</v>
      </c>
      <c r="I570" t="s">
        <v>1935</v>
      </c>
      <c r="J570" t="s">
        <v>1936</v>
      </c>
      <c r="K570" s="8">
        <v>22</v>
      </c>
    </row>
    <row r="571" spans="1:11">
      <c r="A571" t="s">
        <v>2509</v>
      </c>
      <c r="B571" s="15">
        <v>45443</v>
      </c>
      <c r="C571" s="4">
        <v>45413</v>
      </c>
      <c r="D571" t="s">
        <v>56</v>
      </c>
      <c r="E571" t="s">
        <v>23</v>
      </c>
      <c r="F571" t="s">
        <v>58</v>
      </c>
      <c r="G571" t="s">
        <v>242</v>
      </c>
      <c r="H571" t="s">
        <v>11</v>
      </c>
      <c r="I571" t="s">
        <v>1935</v>
      </c>
      <c r="J571" t="s">
        <v>1936</v>
      </c>
      <c r="K571" s="8">
        <v>15</v>
      </c>
    </row>
    <row r="572" spans="1:11">
      <c r="A572" t="s">
        <v>2510</v>
      </c>
      <c r="B572" s="15">
        <v>45435</v>
      </c>
      <c r="C572" s="4">
        <v>45413</v>
      </c>
      <c r="D572" t="s">
        <v>56</v>
      </c>
      <c r="E572" t="s">
        <v>23</v>
      </c>
      <c r="F572" t="s">
        <v>58</v>
      </c>
      <c r="G572" t="s">
        <v>248</v>
      </c>
      <c r="H572" t="s">
        <v>11</v>
      </c>
      <c r="I572" t="s">
        <v>1935</v>
      </c>
      <c r="J572" t="s">
        <v>1936</v>
      </c>
      <c r="K572" s="8">
        <v>24</v>
      </c>
    </row>
    <row r="573" spans="1:11">
      <c r="A573" t="s">
        <v>2511</v>
      </c>
      <c r="B573" s="15">
        <v>45413</v>
      </c>
      <c r="C573" s="4">
        <v>45413</v>
      </c>
      <c r="D573" t="s">
        <v>56</v>
      </c>
      <c r="E573" t="s">
        <v>23</v>
      </c>
      <c r="F573" t="s">
        <v>58</v>
      </c>
      <c r="G573" t="s">
        <v>284</v>
      </c>
      <c r="H573" t="s">
        <v>14</v>
      </c>
      <c r="I573" t="s">
        <v>1935</v>
      </c>
      <c r="J573" t="s">
        <v>1936</v>
      </c>
      <c r="K573" s="8">
        <v>21</v>
      </c>
    </row>
    <row r="574" spans="1:11">
      <c r="A574" t="s">
        <v>2512</v>
      </c>
      <c r="B574" s="15">
        <v>45415</v>
      </c>
      <c r="C574" s="4">
        <v>45413</v>
      </c>
      <c r="D574" t="s">
        <v>56</v>
      </c>
      <c r="E574" t="s">
        <v>23</v>
      </c>
      <c r="F574" t="s">
        <v>58</v>
      </c>
      <c r="G574" t="s">
        <v>296</v>
      </c>
      <c r="H574" t="s">
        <v>5</v>
      </c>
      <c r="I574" t="s">
        <v>1935</v>
      </c>
      <c r="J574" t="s">
        <v>1936</v>
      </c>
      <c r="K574" s="8">
        <v>22</v>
      </c>
    </row>
    <row r="575" spans="1:11">
      <c r="A575" t="s">
        <v>2513</v>
      </c>
      <c r="B575" s="15">
        <v>45416</v>
      </c>
      <c r="C575" s="4">
        <v>45413</v>
      </c>
      <c r="D575" t="s">
        <v>56</v>
      </c>
      <c r="E575" t="s">
        <v>23</v>
      </c>
      <c r="F575" t="s">
        <v>58</v>
      </c>
      <c r="G575" t="s">
        <v>278</v>
      </c>
      <c r="H575" t="s">
        <v>14</v>
      </c>
      <c r="I575" t="s">
        <v>1935</v>
      </c>
      <c r="J575" t="s">
        <v>1936</v>
      </c>
      <c r="K575" s="8">
        <v>29</v>
      </c>
    </row>
    <row r="576" spans="1:11">
      <c r="A576" t="s">
        <v>2514</v>
      </c>
      <c r="B576" s="15">
        <v>45441</v>
      </c>
      <c r="C576" s="4">
        <v>45413</v>
      </c>
      <c r="D576" t="s">
        <v>56</v>
      </c>
      <c r="E576" t="s">
        <v>23</v>
      </c>
      <c r="F576" t="s">
        <v>58</v>
      </c>
      <c r="G576" t="s">
        <v>266</v>
      </c>
      <c r="H576" t="s">
        <v>5</v>
      </c>
      <c r="I576" t="s">
        <v>1935</v>
      </c>
      <c r="J576" t="s">
        <v>1936</v>
      </c>
      <c r="K576" s="8">
        <v>15</v>
      </c>
    </row>
    <row r="577" spans="1:11">
      <c r="A577" t="s">
        <v>2515</v>
      </c>
      <c r="B577" s="15">
        <v>45419</v>
      </c>
      <c r="C577" s="4">
        <v>45413</v>
      </c>
      <c r="D577" t="s">
        <v>56</v>
      </c>
      <c r="E577" t="s">
        <v>23</v>
      </c>
      <c r="F577" t="s">
        <v>58</v>
      </c>
      <c r="G577" t="s">
        <v>266</v>
      </c>
      <c r="H577" t="s">
        <v>8</v>
      </c>
      <c r="I577" t="s">
        <v>1935</v>
      </c>
      <c r="J577" t="s">
        <v>1936</v>
      </c>
      <c r="K577" s="8">
        <v>31</v>
      </c>
    </row>
    <row r="578" spans="1:11">
      <c r="A578" t="s">
        <v>2516</v>
      </c>
      <c r="B578" s="15">
        <v>45443</v>
      </c>
      <c r="C578" s="4">
        <v>45413</v>
      </c>
      <c r="D578" t="s">
        <v>56</v>
      </c>
      <c r="E578" t="s">
        <v>23</v>
      </c>
      <c r="F578" t="s">
        <v>58</v>
      </c>
      <c r="G578" t="s">
        <v>248</v>
      </c>
      <c r="H578" t="s">
        <v>11</v>
      </c>
      <c r="I578" t="s">
        <v>1995</v>
      </c>
      <c r="J578" t="s">
        <v>1936</v>
      </c>
      <c r="K578" s="8">
        <v>4</v>
      </c>
    </row>
    <row r="579" spans="1:11">
      <c r="A579" t="s">
        <v>2517</v>
      </c>
      <c r="B579" s="15">
        <v>45426</v>
      </c>
      <c r="C579" s="4">
        <v>45413</v>
      </c>
      <c r="D579" t="s">
        <v>56</v>
      </c>
      <c r="E579" t="s">
        <v>23</v>
      </c>
      <c r="F579" t="s">
        <v>58</v>
      </c>
      <c r="G579" t="s">
        <v>302</v>
      </c>
      <c r="H579" t="s">
        <v>5</v>
      </c>
      <c r="I579" t="s">
        <v>1935</v>
      </c>
      <c r="J579" t="s">
        <v>1954</v>
      </c>
      <c r="K579" s="8">
        <v>34</v>
      </c>
    </row>
    <row r="580" spans="1:11">
      <c r="A580" t="s">
        <v>2518</v>
      </c>
      <c r="B580" s="15">
        <v>45415</v>
      </c>
      <c r="C580" s="4">
        <v>45413</v>
      </c>
      <c r="D580" t="s">
        <v>59</v>
      </c>
      <c r="E580" t="s">
        <v>25</v>
      </c>
      <c r="F580" t="s">
        <v>61</v>
      </c>
      <c r="G580" t="s">
        <v>326</v>
      </c>
      <c r="H580" t="s">
        <v>8</v>
      </c>
      <c r="I580" t="s">
        <v>1935</v>
      </c>
      <c r="J580" t="s">
        <v>1936</v>
      </c>
      <c r="K580" s="8">
        <v>21</v>
      </c>
    </row>
    <row r="581" spans="1:11">
      <c r="A581" t="s">
        <v>2519</v>
      </c>
      <c r="B581" s="15">
        <v>45437</v>
      </c>
      <c r="C581" s="4">
        <v>45413</v>
      </c>
      <c r="D581" t="s">
        <v>59</v>
      </c>
      <c r="E581" t="s">
        <v>25</v>
      </c>
      <c r="F581" t="s">
        <v>61</v>
      </c>
      <c r="G581" t="s">
        <v>332</v>
      </c>
      <c r="H581" t="s">
        <v>8</v>
      </c>
      <c r="I581" t="s">
        <v>1935</v>
      </c>
      <c r="J581" t="s">
        <v>1938</v>
      </c>
      <c r="K581" s="8">
        <v>16</v>
      </c>
    </row>
    <row r="582" spans="1:11">
      <c r="A582" t="s">
        <v>2520</v>
      </c>
      <c r="B582" s="15">
        <v>45433</v>
      </c>
      <c r="C582" s="4">
        <v>45413</v>
      </c>
      <c r="D582" t="s">
        <v>59</v>
      </c>
      <c r="E582" t="s">
        <v>25</v>
      </c>
      <c r="F582" t="s">
        <v>61</v>
      </c>
      <c r="G582" t="s">
        <v>326</v>
      </c>
      <c r="H582" t="s">
        <v>11</v>
      </c>
      <c r="I582" t="s">
        <v>1935</v>
      </c>
      <c r="J582" t="s">
        <v>1936</v>
      </c>
      <c r="K582" s="8">
        <v>16</v>
      </c>
    </row>
    <row r="583" spans="1:11">
      <c r="A583" t="s">
        <v>2521</v>
      </c>
      <c r="B583" s="15">
        <v>45415</v>
      </c>
      <c r="C583" s="4">
        <v>45413</v>
      </c>
      <c r="D583" t="s">
        <v>59</v>
      </c>
      <c r="E583" t="s">
        <v>25</v>
      </c>
      <c r="F583" t="s">
        <v>61</v>
      </c>
      <c r="G583" t="s">
        <v>344</v>
      </c>
      <c r="H583" t="s">
        <v>8</v>
      </c>
      <c r="I583" t="s">
        <v>1935</v>
      </c>
      <c r="J583" t="s">
        <v>1936</v>
      </c>
      <c r="K583" s="8">
        <v>24</v>
      </c>
    </row>
    <row r="584" spans="1:11">
      <c r="A584" t="s">
        <v>2522</v>
      </c>
      <c r="B584" s="15">
        <v>45438</v>
      </c>
      <c r="C584" s="4">
        <v>45413</v>
      </c>
      <c r="D584" t="s">
        <v>59</v>
      </c>
      <c r="E584" t="s">
        <v>25</v>
      </c>
      <c r="F584" t="s">
        <v>61</v>
      </c>
      <c r="G584" t="s">
        <v>374</v>
      </c>
      <c r="H584" t="s">
        <v>8</v>
      </c>
      <c r="I584" t="s">
        <v>1935</v>
      </c>
      <c r="J584" t="s">
        <v>1936</v>
      </c>
      <c r="K584" s="8">
        <v>33</v>
      </c>
    </row>
    <row r="585" spans="1:11">
      <c r="A585" t="s">
        <v>2523</v>
      </c>
      <c r="B585" s="15">
        <v>45437</v>
      </c>
      <c r="C585" s="4">
        <v>45413</v>
      </c>
      <c r="D585" t="s">
        <v>59</v>
      </c>
      <c r="E585" t="s">
        <v>25</v>
      </c>
      <c r="F585" t="s">
        <v>61</v>
      </c>
      <c r="G585" t="s">
        <v>314</v>
      </c>
      <c r="H585" t="s">
        <v>8</v>
      </c>
      <c r="I585" t="s">
        <v>1935</v>
      </c>
      <c r="J585" t="s">
        <v>1936</v>
      </c>
      <c r="K585" s="8">
        <v>28</v>
      </c>
    </row>
    <row r="586" spans="1:11">
      <c r="A586" t="s">
        <v>2524</v>
      </c>
      <c r="B586" s="15">
        <v>45426</v>
      </c>
      <c r="C586" s="4">
        <v>45413</v>
      </c>
      <c r="D586" t="s">
        <v>59</v>
      </c>
      <c r="E586" t="s">
        <v>25</v>
      </c>
      <c r="F586" t="s">
        <v>61</v>
      </c>
      <c r="G586" t="s">
        <v>320</v>
      </c>
      <c r="H586" t="s">
        <v>11</v>
      </c>
      <c r="I586" t="s">
        <v>1935</v>
      </c>
      <c r="J586" t="s">
        <v>1936</v>
      </c>
      <c r="K586" s="8">
        <v>33</v>
      </c>
    </row>
    <row r="587" spans="1:11">
      <c r="A587" t="s">
        <v>2525</v>
      </c>
      <c r="B587" s="15">
        <v>45440</v>
      </c>
      <c r="C587" s="4">
        <v>45413</v>
      </c>
      <c r="D587" t="s">
        <v>59</v>
      </c>
      <c r="E587" t="s">
        <v>25</v>
      </c>
      <c r="F587" t="s">
        <v>61</v>
      </c>
      <c r="G587" t="s">
        <v>380</v>
      </c>
      <c r="H587" t="s">
        <v>11</v>
      </c>
      <c r="I587" t="s">
        <v>1935</v>
      </c>
      <c r="J587" t="s">
        <v>1954</v>
      </c>
      <c r="K587" s="8">
        <v>25</v>
      </c>
    </row>
    <row r="588" spans="1:11">
      <c r="A588" t="s">
        <v>2526</v>
      </c>
      <c r="B588" s="15">
        <v>45429</v>
      </c>
      <c r="C588" s="4">
        <v>45413</v>
      </c>
      <c r="D588" t="s">
        <v>59</v>
      </c>
      <c r="E588" t="s">
        <v>25</v>
      </c>
      <c r="F588" t="s">
        <v>61</v>
      </c>
      <c r="G588" t="s">
        <v>314</v>
      </c>
      <c r="H588" t="s">
        <v>11</v>
      </c>
      <c r="I588" t="s">
        <v>1935</v>
      </c>
      <c r="J588" t="s">
        <v>1936</v>
      </c>
      <c r="K588" s="8">
        <v>13</v>
      </c>
    </row>
    <row r="589" spans="1:11">
      <c r="A589" t="s">
        <v>2527</v>
      </c>
      <c r="B589" s="15">
        <v>45429</v>
      </c>
      <c r="C589" s="4">
        <v>45413</v>
      </c>
      <c r="D589" t="s">
        <v>62</v>
      </c>
      <c r="E589" t="s">
        <v>25</v>
      </c>
      <c r="F589" t="s">
        <v>64</v>
      </c>
      <c r="G589" t="s">
        <v>316</v>
      </c>
      <c r="H589" t="s">
        <v>8</v>
      </c>
      <c r="I589" t="s">
        <v>1935</v>
      </c>
      <c r="J589" t="s">
        <v>1936</v>
      </c>
      <c r="K589" s="8">
        <v>12</v>
      </c>
    </row>
    <row r="590" spans="1:11">
      <c r="A590" t="s">
        <v>2528</v>
      </c>
      <c r="B590" s="15">
        <v>45434</v>
      </c>
      <c r="C590" s="4">
        <v>45413</v>
      </c>
      <c r="D590" t="s">
        <v>62</v>
      </c>
      <c r="E590" t="s">
        <v>25</v>
      </c>
      <c r="F590" t="s">
        <v>64</v>
      </c>
      <c r="G590" t="s">
        <v>364</v>
      </c>
      <c r="H590" t="s">
        <v>14</v>
      </c>
      <c r="I590" t="s">
        <v>1935</v>
      </c>
      <c r="J590" t="s">
        <v>1936</v>
      </c>
      <c r="K590" s="8">
        <v>24</v>
      </c>
    </row>
    <row r="591" spans="1:11">
      <c r="A591" t="s">
        <v>2529</v>
      </c>
      <c r="B591" s="15">
        <v>45424</v>
      </c>
      <c r="C591" s="4">
        <v>45413</v>
      </c>
      <c r="D591" t="s">
        <v>62</v>
      </c>
      <c r="E591" t="s">
        <v>25</v>
      </c>
      <c r="F591" t="s">
        <v>64</v>
      </c>
      <c r="G591" t="s">
        <v>364</v>
      </c>
      <c r="H591" t="s">
        <v>14</v>
      </c>
      <c r="I591" t="s">
        <v>1935</v>
      </c>
      <c r="J591" t="s">
        <v>1938</v>
      </c>
      <c r="K591" s="8">
        <v>10</v>
      </c>
    </row>
    <row r="592" spans="1:11">
      <c r="A592" t="s">
        <v>2530</v>
      </c>
      <c r="B592" s="15">
        <v>45435</v>
      </c>
      <c r="C592" s="4">
        <v>45413</v>
      </c>
      <c r="D592" t="s">
        <v>62</v>
      </c>
      <c r="E592" t="s">
        <v>25</v>
      </c>
      <c r="F592" t="s">
        <v>64</v>
      </c>
      <c r="G592" t="s">
        <v>334</v>
      </c>
      <c r="H592" t="s">
        <v>11</v>
      </c>
      <c r="I592" t="s">
        <v>1935</v>
      </c>
      <c r="J592" t="s">
        <v>1936</v>
      </c>
      <c r="K592" s="8">
        <v>28</v>
      </c>
    </row>
    <row r="593" spans="1:11">
      <c r="A593" t="s">
        <v>2531</v>
      </c>
      <c r="B593" s="15">
        <v>45421</v>
      </c>
      <c r="C593" s="4">
        <v>45413</v>
      </c>
      <c r="D593" t="s">
        <v>62</v>
      </c>
      <c r="E593" t="s">
        <v>25</v>
      </c>
      <c r="F593" t="s">
        <v>64</v>
      </c>
      <c r="G593" t="s">
        <v>370</v>
      </c>
      <c r="H593" t="s">
        <v>5</v>
      </c>
      <c r="I593" t="s">
        <v>1935</v>
      </c>
      <c r="J593" t="s">
        <v>1936</v>
      </c>
      <c r="K593" s="8">
        <v>24</v>
      </c>
    </row>
    <row r="594" spans="1:11">
      <c r="A594" t="s">
        <v>2532</v>
      </c>
      <c r="B594" s="15">
        <v>45435</v>
      </c>
      <c r="C594" s="4">
        <v>45413</v>
      </c>
      <c r="D594" t="s">
        <v>62</v>
      </c>
      <c r="E594" t="s">
        <v>25</v>
      </c>
      <c r="F594" t="s">
        <v>64</v>
      </c>
      <c r="G594" t="s">
        <v>370</v>
      </c>
      <c r="H594" t="s">
        <v>8</v>
      </c>
      <c r="I594" t="s">
        <v>1935</v>
      </c>
      <c r="J594" t="s">
        <v>1936</v>
      </c>
      <c r="K594" s="8">
        <v>26</v>
      </c>
    </row>
    <row r="595" spans="1:11">
      <c r="A595" t="s">
        <v>2533</v>
      </c>
      <c r="B595" s="15">
        <v>45420</v>
      </c>
      <c r="C595" s="4">
        <v>45413</v>
      </c>
      <c r="D595" t="s">
        <v>62</v>
      </c>
      <c r="E595" t="s">
        <v>25</v>
      </c>
      <c r="F595" t="s">
        <v>64</v>
      </c>
      <c r="G595" t="s">
        <v>358</v>
      </c>
      <c r="H595" t="s">
        <v>8</v>
      </c>
      <c r="I595" t="s">
        <v>1935</v>
      </c>
      <c r="J595" t="s">
        <v>1936</v>
      </c>
      <c r="K595" s="8">
        <v>32</v>
      </c>
    </row>
    <row r="596" spans="1:11">
      <c r="A596" t="s">
        <v>2534</v>
      </c>
      <c r="B596" s="15">
        <v>45440</v>
      </c>
      <c r="C596" s="4">
        <v>45413</v>
      </c>
      <c r="D596" t="s">
        <v>62</v>
      </c>
      <c r="E596" t="s">
        <v>25</v>
      </c>
      <c r="F596" t="s">
        <v>64</v>
      </c>
      <c r="G596" t="s">
        <v>322</v>
      </c>
      <c r="H596" t="s">
        <v>11</v>
      </c>
      <c r="I596" t="s">
        <v>1935</v>
      </c>
      <c r="J596" t="s">
        <v>1936</v>
      </c>
      <c r="K596" s="8">
        <v>35</v>
      </c>
    </row>
    <row r="597" spans="1:11">
      <c r="A597" t="s">
        <v>2535</v>
      </c>
      <c r="B597" s="15">
        <v>45417</v>
      </c>
      <c r="C597" s="4">
        <v>45413</v>
      </c>
      <c r="D597" t="s">
        <v>62</v>
      </c>
      <c r="E597" t="s">
        <v>25</v>
      </c>
      <c r="F597" t="s">
        <v>64</v>
      </c>
      <c r="G597" t="s">
        <v>340</v>
      </c>
      <c r="H597" t="s">
        <v>8</v>
      </c>
      <c r="I597" t="s">
        <v>1935</v>
      </c>
      <c r="J597" t="s">
        <v>1936</v>
      </c>
      <c r="K597" s="8">
        <v>25</v>
      </c>
    </row>
    <row r="598" spans="1:11">
      <c r="A598" t="s">
        <v>2536</v>
      </c>
      <c r="B598" s="15">
        <v>45433</v>
      </c>
      <c r="C598" s="4">
        <v>45413</v>
      </c>
      <c r="D598" t="s">
        <v>62</v>
      </c>
      <c r="E598" t="s">
        <v>25</v>
      </c>
      <c r="F598" t="s">
        <v>64</v>
      </c>
      <c r="G598" t="s">
        <v>340</v>
      </c>
      <c r="H598" t="s">
        <v>8</v>
      </c>
      <c r="I598" t="s">
        <v>1935</v>
      </c>
      <c r="J598" t="s">
        <v>1936</v>
      </c>
      <c r="K598" s="8">
        <v>14</v>
      </c>
    </row>
    <row r="599" spans="1:11">
      <c r="A599" t="s">
        <v>2537</v>
      </c>
      <c r="B599" s="15">
        <v>45417</v>
      </c>
      <c r="C599" s="4">
        <v>45413</v>
      </c>
      <c r="D599" t="s">
        <v>65</v>
      </c>
      <c r="E599" t="s">
        <v>25</v>
      </c>
      <c r="F599" t="s">
        <v>67</v>
      </c>
      <c r="G599" t="s">
        <v>318</v>
      </c>
      <c r="H599" t="s">
        <v>11</v>
      </c>
      <c r="I599" t="s">
        <v>1935</v>
      </c>
      <c r="J599" t="s">
        <v>1936</v>
      </c>
      <c r="K599" s="8">
        <v>12</v>
      </c>
    </row>
    <row r="600" spans="1:11">
      <c r="A600" t="s">
        <v>2538</v>
      </c>
      <c r="B600" s="15">
        <v>45419</v>
      </c>
      <c r="C600" s="4">
        <v>45413</v>
      </c>
      <c r="D600" t="s">
        <v>65</v>
      </c>
      <c r="E600" t="s">
        <v>25</v>
      </c>
      <c r="F600" t="s">
        <v>67</v>
      </c>
      <c r="G600" t="s">
        <v>354</v>
      </c>
      <c r="H600" t="s">
        <v>8</v>
      </c>
      <c r="I600" t="s">
        <v>1935</v>
      </c>
      <c r="J600" t="s">
        <v>1936</v>
      </c>
      <c r="K600" s="8">
        <v>33</v>
      </c>
    </row>
    <row r="601" spans="1:11">
      <c r="A601" t="s">
        <v>2539</v>
      </c>
      <c r="B601" s="15">
        <v>45414</v>
      </c>
      <c r="C601" s="4">
        <v>45413</v>
      </c>
      <c r="D601" t="s">
        <v>65</v>
      </c>
      <c r="E601" t="s">
        <v>25</v>
      </c>
      <c r="F601" t="s">
        <v>67</v>
      </c>
      <c r="G601" t="s">
        <v>354</v>
      </c>
      <c r="H601" t="s">
        <v>8</v>
      </c>
      <c r="I601" t="s">
        <v>1942</v>
      </c>
      <c r="J601" t="s">
        <v>1936</v>
      </c>
      <c r="K601" s="8">
        <v>1</v>
      </c>
    </row>
    <row r="602" spans="1:11">
      <c r="A602" t="s">
        <v>2540</v>
      </c>
      <c r="B602" s="15">
        <v>45427</v>
      </c>
      <c r="C602" s="4">
        <v>45413</v>
      </c>
      <c r="D602" t="s">
        <v>65</v>
      </c>
      <c r="E602" t="s">
        <v>25</v>
      </c>
      <c r="F602" t="s">
        <v>67</v>
      </c>
      <c r="G602" t="s">
        <v>372</v>
      </c>
      <c r="H602" t="s">
        <v>5</v>
      </c>
      <c r="I602" t="s">
        <v>1935</v>
      </c>
      <c r="J602" t="s">
        <v>1936</v>
      </c>
      <c r="K602" s="8">
        <v>23</v>
      </c>
    </row>
    <row r="603" spans="1:11">
      <c r="A603" t="s">
        <v>2541</v>
      </c>
      <c r="B603" s="15">
        <v>45414</v>
      </c>
      <c r="C603" s="4">
        <v>45413</v>
      </c>
      <c r="D603" t="s">
        <v>65</v>
      </c>
      <c r="E603" t="s">
        <v>25</v>
      </c>
      <c r="F603" t="s">
        <v>67</v>
      </c>
      <c r="G603" t="s">
        <v>354</v>
      </c>
      <c r="H603" t="s">
        <v>5</v>
      </c>
      <c r="I603" t="s">
        <v>1995</v>
      </c>
      <c r="J603" t="s">
        <v>1938</v>
      </c>
      <c r="K603" s="8">
        <v>4</v>
      </c>
    </row>
    <row r="604" spans="1:11">
      <c r="A604" t="s">
        <v>2542</v>
      </c>
      <c r="B604" s="15">
        <v>45428</v>
      </c>
      <c r="C604" s="4">
        <v>45413</v>
      </c>
      <c r="D604" t="s">
        <v>65</v>
      </c>
      <c r="E604" t="s">
        <v>25</v>
      </c>
      <c r="F604" t="s">
        <v>67</v>
      </c>
      <c r="G604" t="s">
        <v>354</v>
      </c>
      <c r="H604" t="s">
        <v>11</v>
      </c>
      <c r="I604" t="s">
        <v>1935</v>
      </c>
      <c r="J604" t="s">
        <v>1936</v>
      </c>
      <c r="K604" s="8">
        <v>34</v>
      </c>
    </row>
    <row r="605" spans="1:11">
      <c r="A605" t="s">
        <v>2543</v>
      </c>
      <c r="B605" s="15">
        <v>45424</v>
      </c>
      <c r="C605" s="4">
        <v>45413</v>
      </c>
      <c r="D605" t="s">
        <v>65</v>
      </c>
      <c r="E605" t="s">
        <v>25</v>
      </c>
      <c r="F605" t="s">
        <v>67</v>
      </c>
      <c r="G605" t="s">
        <v>348</v>
      </c>
      <c r="H605" t="s">
        <v>11</v>
      </c>
      <c r="I605" t="s">
        <v>1935</v>
      </c>
      <c r="J605" t="s">
        <v>1936</v>
      </c>
      <c r="K605" s="8">
        <v>27</v>
      </c>
    </row>
    <row r="606" spans="1:11">
      <c r="A606" t="s">
        <v>2544</v>
      </c>
      <c r="B606" s="15">
        <v>45429</v>
      </c>
      <c r="C606" s="4">
        <v>45413</v>
      </c>
      <c r="D606" t="s">
        <v>65</v>
      </c>
      <c r="E606" t="s">
        <v>25</v>
      </c>
      <c r="F606" t="s">
        <v>67</v>
      </c>
      <c r="G606" t="s">
        <v>318</v>
      </c>
      <c r="H606" t="s">
        <v>14</v>
      </c>
      <c r="I606" t="s">
        <v>1935</v>
      </c>
      <c r="J606" t="s">
        <v>1938</v>
      </c>
      <c r="K606" s="8">
        <v>33</v>
      </c>
    </row>
    <row r="607" spans="1:11">
      <c r="A607" t="s">
        <v>2545</v>
      </c>
      <c r="B607" s="15">
        <v>45426</v>
      </c>
      <c r="C607" s="4">
        <v>45413</v>
      </c>
      <c r="D607" t="s">
        <v>65</v>
      </c>
      <c r="E607" t="s">
        <v>25</v>
      </c>
      <c r="F607" t="s">
        <v>67</v>
      </c>
      <c r="G607" t="s">
        <v>354</v>
      </c>
      <c r="H607" t="s">
        <v>11</v>
      </c>
      <c r="I607" t="s">
        <v>1935</v>
      </c>
      <c r="J607" t="s">
        <v>1936</v>
      </c>
      <c r="K607" s="8">
        <v>28</v>
      </c>
    </row>
    <row r="608" spans="1:11">
      <c r="A608" t="s">
        <v>2546</v>
      </c>
      <c r="B608" s="15">
        <v>45424</v>
      </c>
      <c r="C608" s="4">
        <v>45413</v>
      </c>
      <c r="D608" t="s">
        <v>65</v>
      </c>
      <c r="E608" t="s">
        <v>25</v>
      </c>
      <c r="F608" t="s">
        <v>67</v>
      </c>
      <c r="G608" t="s">
        <v>348</v>
      </c>
      <c r="H608" t="s">
        <v>11</v>
      </c>
      <c r="I608" t="s">
        <v>1935</v>
      </c>
      <c r="J608" t="s">
        <v>1936</v>
      </c>
      <c r="K608" s="8">
        <v>21</v>
      </c>
    </row>
    <row r="609" spans="1:11">
      <c r="A609" t="s">
        <v>2547</v>
      </c>
      <c r="B609" s="15">
        <v>45423</v>
      </c>
      <c r="C609" s="4">
        <v>45413</v>
      </c>
      <c r="D609" t="s">
        <v>65</v>
      </c>
      <c r="E609" t="s">
        <v>25</v>
      </c>
      <c r="F609" t="s">
        <v>67</v>
      </c>
      <c r="G609" t="s">
        <v>342</v>
      </c>
      <c r="H609" t="s">
        <v>5</v>
      </c>
      <c r="I609" t="s">
        <v>1935</v>
      </c>
      <c r="J609" t="s">
        <v>1936</v>
      </c>
      <c r="K609" s="8">
        <v>13</v>
      </c>
    </row>
    <row r="610" spans="1:11">
      <c r="A610" t="s">
        <v>2548</v>
      </c>
      <c r="B610" s="15">
        <v>45436</v>
      </c>
      <c r="C610" s="4">
        <v>45413</v>
      </c>
      <c r="D610" t="s">
        <v>65</v>
      </c>
      <c r="E610" t="s">
        <v>25</v>
      </c>
      <c r="F610" t="s">
        <v>67</v>
      </c>
      <c r="G610" t="s">
        <v>324</v>
      </c>
      <c r="H610" t="s">
        <v>8</v>
      </c>
      <c r="I610" t="s">
        <v>1935</v>
      </c>
      <c r="J610" t="s">
        <v>1936</v>
      </c>
      <c r="K610" s="8">
        <v>12</v>
      </c>
    </row>
    <row r="611" spans="1:11">
      <c r="A611" t="s">
        <v>2549</v>
      </c>
      <c r="B611" s="15">
        <v>45473</v>
      </c>
      <c r="C611" s="4">
        <v>45444</v>
      </c>
      <c r="D611" t="s">
        <v>32</v>
      </c>
      <c r="E611" t="s">
        <v>19</v>
      </c>
      <c r="F611" t="s">
        <v>34</v>
      </c>
      <c r="G611" t="s">
        <v>99</v>
      </c>
      <c r="H611" t="s">
        <v>5</v>
      </c>
      <c r="I611" t="s">
        <v>1935</v>
      </c>
      <c r="J611" t="s">
        <v>1936</v>
      </c>
      <c r="K611" s="8">
        <v>24</v>
      </c>
    </row>
    <row r="612" spans="1:11">
      <c r="A612" t="s">
        <v>2550</v>
      </c>
      <c r="B612" s="15">
        <v>45473</v>
      </c>
      <c r="C612" s="4">
        <v>45444</v>
      </c>
      <c r="D612" t="s">
        <v>32</v>
      </c>
      <c r="E612" t="s">
        <v>19</v>
      </c>
      <c r="F612" t="s">
        <v>34</v>
      </c>
      <c r="G612" t="s">
        <v>136</v>
      </c>
      <c r="H612" t="s">
        <v>11</v>
      </c>
      <c r="I612" t="s">
        <v>1935</v>
      </c>
      <c r="J612" t="s">
        <v>1936</v>
      </c>
      <c r="K612" s="8">
        <v>23</v>
      </c>
    </row>
    <row r="613" spans="1:11">
      <c r="A613" t="s">
        <v>2551</v>
      </c>
      <c r="B613" s="15">
        <v>45468</v>
      </c>
      <c r="C613" s="4">
        <v>45444</v>
      </c>
      <c r="D613" t="s">
        <v>32</v>
      </c>
      <c r="E613" t="s">
        <v>19</v>
      </c>
      <c r="F613" t="s">
        <v>34</v>
      </c>
      <c r="G613" t="s">
        <v>92</v>
      </c>
      <c r="H613" t="s">
        <v>8</v>
      </c>
      <c r="I613" t="s">
        <v>1935</v>
      </c>
      <c r="J613" t="s">
        <v>1954</v>
      </c>
      <c r="K613" s="8">
        <v>9</v>
      </c>
    </row>
    <row r="614" spans="1:11">
      <c r="A614" t="s">
        <v>2552</v>
      </c>
      <c r="B614" s="15">
        <v>45446</v>
      </c>
      <c r="C614" s="4">
        <v>45444</v>
      </c>
      <c r="D614" t="s">
        <v>32</v>
      </c>
      <c r="E614" t="s">
        <v>19</v>
      </c>
      <c r="F614" t="s">
        <v>34</v>
      </c>
      <c r="G614" t="s">
        <v>75</v>
      </c>
      <c r="H614" t="s">
        <v>5</v>
      </c>
      <c r="I614" t="s">
        <v>1935</v>
      </c>
      <c r="J614" t="s">
        <v>1936</v>
      </c>
      <c r="K614" s="8">
        <v>31</v>
      </c>
    </row>
    <row r="615" spans="1:11">
      <c r="A615" t="s">
        <v>2553</v>
      </c>
      <c r="B615" s="15">
        <v>45469</v>
      </c>
      <c r="C615" s="4">
        <v>45444</v>
      </c>
      <c r="D615" t="s">
        <v>32</v>
      </c>
      <c r="E615" t="s">
        <v>19</v>
      </c>
      <c r="F615" t="s">
        <v>34</v>
      </c>
      <c r="G615" t="s">
        <v>142</v>
      </c>
      <c r="H615" t="s">
        <v>14</v>
      </c>
      <c r="I615" t="s">
        <v>1935</v>
      </c>
      <c r="J615" t="s">
        <v>1936</v>
      </c>
      <c r="K615" s="8">
        <v>23</v>
      </c>
    </row>
    <row r="616" spans="1:11">
      <c r="A616" t="s">
        <v>2554</v>
      </c>
      <c r="B616" s="15">
        <v>45471</v>
      </c>
      <c r="C616" s="4">
        <v>45444</v>
      </c>
      <c r="D616" t="s">
        <v>32</v>
      </c>
      <c r="E616" t="s">
        <v>19</v>
      </c>
      <c r="F616" t="s">
        <v>34</v>
      </c>
      <c r="G616" t="s">
        <v>111</v>
      </c>
      <c r="H616" t="s">
        <v>5</v>
      </c>
      <c r="I616" t="s">
        <v>1935</v>
      </c>
      <c r="J616" t="s">
        <v>1936</v>
      </c>
      <c r="K616" s="8">
        <v>18</v>
      </c>
    </row>
    <row r="617" spans="1:11">
      <c r="A617" t="s">
        <v>2555</v>
      </c>
      <c r="B617" s="15">
        <v>45456</v>
      </c>
      <c r="C617" s="4">
        <v>45444</v>
      </c>
      <c r="D617" t="s">
        <v>32</v>
      </c>
      <c r="E617" t="s">
        <v>19</v>
      </c>
      <c r="F617" t="s">
        <v>34</v>
      </c>
      <c r="G617" t="s">
        <v>130</v>
      </c>
      <c r="H617" t="s">
        <v>14</v>
      </c>
      <c r="I617" t="s">
        <v>1935</v>
      </c>
      <c r="J617" t="s">
        <v>1938</v>
      </c>
      <c r="K617" s="8">
        <v>13</v>
      </c>
    </row>
    <row r="618" spans="1:11">
      <c r="A618" t="s">
        <v>2556</v>
      </c>
      <c r="B618" s="15">
        <v>45445</v>
      </c>
      <c r="C618" s="4">
        <v>45444</v>
      </c>
      <c r="D618" t="s">
        <v>32</v>
      </c>
      <c r="E618" t="s">
        <v>19</v>
      </c>
      <c r="F618" t="s">
        <v>34</v>
      </c>
      <c r="G618" t="s">
        <v>124</v>
      </c>
      <c r="H618" t="s">
        <v>5</v>
      </c>
      <c r="I618" t="s">
        <v>1935</v>
      </c>
      <c r="J618" t="s">
        <v>1936</v>
      </c>
      <c r="K618" s="8">
        <v>8</v>
      </c>
    </row>
    <row r="619" spans="1:11">
      <c r="A619" t="s">
        <v>2557</v>
      </c>
      <c r="B619" s="15">
        <v>45457</v>
      </c>
      <c r="C619" s="4">
        <v>45444</v>
      </c>
      <c r="D619" t="s">
        <v>32</v>
      </c>
      <c r="E619" t="s">
        <v>19</v>
      </c>
      <c r="F619" t="s">
        <v>34</v>
      </c>
      <c r="G619" t="s">
        <v>124</v>
      </c>
      <c r="H619" t="s">
        <v>5</v>
      </c>
      <c r="I619" t="s">
        <v>1942</v>
      </c>
      <c r="J619" t="s">
        <v>1938</v>
      </c>
      <c r="K619" s="8">
        <v>2</v>
      </c>
    </row>
    <row r="620" spans="1:11">
      <c r="A620" t="s">
        <v>2558</v>
      </c>
      <c r="B620" s="15">
        <v>45455</v>
      </c>
      <c r="C620" s="4">
        <v>45444</v>
      </c>
      <c r="D620" t="s">
        <v>32</v>
      </c>
      <c r="E620" t="s">
        <v>19</v>
      </c>
      <c r="F620" t="s">
        <v>34</v>
      </c>
      <c r="G620" t="s">
        <v>142</v>
      </c>
      <c r="H620" t="s">
        <v>8</v>
      </c>
      <c r="I620" t="s">
        <v>1935</v>
      </c>
      <c r="J620" t="s">
        <v>1936</v>
      </c>
      <c r="K620" s="8">
        <v>23</v>
      </c>
    </row>
    <row r="621" spans="1:11">
      <c r="A621" t="s">
        <v>2559</v>
      </c>
      <c r="B621" s="15">
        <v>45452</v>
      </c>
      <c r="C621" s="4">
        <v>45444</v>
      </c>
      <c r="D621" t="s">
        <v>35</v>
      </c>
      <c r="E621" t="s">
        <v>19</v>
      </c>
      <c r="F621" t="s">
        <v>37</v>
      </c>
      <c r="G621" t="s">
        <v>101</v>
      </c>
      <c r="H621" t="s">
        <v>11</v>
      </c>
      <c r="I621" t="s">
        <v>1942</v>
      </c>
      <c r="J621" t="s">
        <v>1938</v>
      </c>
      <c r="K621" s="8">
        <v>4</v>
      </c>
    </row>
    <row r="622" spans="1:11">
      <c r="A622" t="s">
        <v>2560</v>
      </c>
      <c r="B622" s="15">
        <v>45459</v>
      </c>
      <c r="C622" s="4">
        <v>45444</v>
      </c>
      <c r="D622" t="s">
        <v>35</v>
      </c>
      <c r="E622" t="s">
        <v>19</v>
      </c>
      <c r="F622" t="s">
        <v>37</v>
      </c>
      <c r="G622" t="s">
        <v>101</v>
      </c>
      <c r="H622" t="s">
        <v>11</v>
      </c>
      <c r="I622" t="s">
        <v>1935</v>
      </c>
      <c r="J622" t="s">
        <v>1936</v>
      </c>
      <c r="K622" s="8">
        <v>9</v>
      </c>
    </row>
    <row r="623" spans="1:11">
      <c r="A623" t="s">
        <v>2561</v>
      </c>
      <c r="B623" s="15">
        <v>45473</v>
      </c>
      <c r="C623" s="4">
        <v>45444</v>
      </c>
      <c r="D623" t="s">
        <v>35</v>
      </c>
      <c r="E623" t="s">
        <v>19</v>
      </c>
      <c r="F623" t="s">
        <v>37</v>
      </c>
      <c r="G623" t="s">
        <v>101</v>
      </c>
      <c r="H623" t="s">
        <v>8</v>
      </c>
      <c r="I623" t="s">
        <v>1935</v>
      </c>
      <c r="J623" t="s">
        <v>1936</v>
      </c>
      <c r="K623" s="8">
        <v>11</v>
      </c>
    </row>
    <row r="624" spans="1:11">
      <c r="A624" t="s">
        <v>2562</v>
      </c>
      <c r="B624" s="15">
        <v>45450</v>
      </c>
      <c r="C624" s="4">
        <v>45444</v>
      </c>
      <c r="D624" t="s">
        <v>35</v>
      </c>
      <c r="E624" t="s">
        <v>19</v>
      </c>
      <c r="F624" t="s">
        <v>37</v>
      </c>
      <c r="G624" t="s">
        <v>78</v>
      </c>
      <c r="H624" t="s">
        <v>8</v>
      </c>
      <c r="I624" t="s">
        <v>1935</v>
      </c>
      <c r="J624" t="s">
        <v>1936</v>
      </c>
      <c r="K624" s="8">
        <v>10</v>
      </c>
    </row>
    <row r="625" spans="1:11">
      <c r="A625" t="s">
        <v>2563</v>
      </c>
      <c r="B625" s="15">
        <v>45447</v>
      </c>
      <c r="C625" s="4">
        <v>45444</v>
      </c>
      <c r="D625" t="s">
        <v>35</v>
      </c>
      <c r="E625" t="s">
        <v>19</v>
      </c>
      <c r="F625" t="s">
        <v>37</v>
      </c>
      <c r="G625" t="s">
        <v>101</v>
      </c>
      <c r="H625" t="s">
        <v>5</v>
      </c>
      <c r="I625" t="s">
        <v>1935</v>
      </c>
      <c r="J625" t="s">
        <v>1936</v>
      </c>
      <c r="K625" s="8">
        <v>29</v>
      </c>
    </row>
    <row r="626" spans="1:11">
      <c r="A626" t="s">
        <v>2564</v>
      </c>
      <c r="B626" s="15">
        <v>45451</v>
      </c>
      <c r="C626" s="4">
        <v>45444</v>
      </c>
      <c r="D626" t="s">
        <v>35</v>
      </c>
      <c r="E626" t="s">
        <v>19</v>
      </c>
      <c r="F626" t="s">
        <v>37</v>
      </c>
      <c r="G626" t="s">
        <v>162</v>
      </c>
      <c r="H626" t="s">
        <v>5</v>
      </c>
      <c r="I626" t="s">
        <v>1935</v>
      </c>
      <c r="J626" t="s">
        <v>1936</v>
      </c>
      <c r="K626" s="8">
        <v>8</v>
      </c>
    </row>
    <row r="627" spans="1:11">
      <c r="A627" t="s">
        <v>2565</v>
      </c>
      <c r="B627" s="15">
        <v>45457</v>
      </c>
      <c r="C627" s="4">
        <v>45444</v>
      </c>
      <c r="D627" t="s">
        <v>35</v>
      </c>
      <c r="E627" t="s">
        <v>19</v>
      </c>
      <c r="F627" t="s">
        <v>37</v>
      </c>
      <c r="G627" t="s">
        <v>107</v>
      </c>
      <c r="H627" t="s">
        <v>8</v>
      </c>
      <c r="I627" t="s">
        <v>1935</v>
      </c>
      <c r="J627" t="s">
        <v>1938</v>
      </c>
      <c r="K627" s="8">
        <v>35</v>
      </c>
    </row>
    <row r="628" spans="1:11">
      <c r="A628" t="s">
        <v>2566</v>
      </c>
      <c r="B628" s="15">
        <v>45444</v>
      </c>
      <c r="C628" s="4">
        <v>45444</v>
      </c>
      <c r="D628" t="s">
        <v>35</v>
      </c>
      <c r="E628" t="s">
        <v>19</v>
      </c>
      <c r="F628" t="s">
        <v>37</v>
      </c>
      <c r="G628" t="s">
        <v>88</v>
      </c>
      <c r="H628" t="s">
        <v>8</v>
      </c>
      <c r="I628" t="s">
        <v>1935</v>
      </c>
      <c r="J628" t="s">
        <v>1938</v>
      </c>
      <c r="K628" s="8">
        <v>15</v>
      </c>
    </row>
    <row r="629" spans="1:11">
      <c r="A629" t="s">
        <v>2567</v>
      </c>
      <c r="B629" s="15">
        <v>45456</v>
      </c>
      <c r="C629" s="4">
        <v>45444</v>
      </c>
      <c r="D629" t="s">
        <v>35</v>
      </c>
      <c r="E629" t="s">
        <v>19</v>
      </c>
      <c r="F629" t="s">
        <v>37</v>
      </c>
      <c r="G629" t="s">
        <v>78</v>
      </c>
      <c r="H629" t="s">
        <v>5</v>
      </c>
      <c r="I629" t="s">
        <v>1935</v>
      </c>
      <c r="J629" t="s">
        <v>1936</v>
      </c>
      <c r="K629" s="8">
        <v>9</v>
      </c>
    </row>
    <row r="630" spans="1:11">
      <c r="A630" t="s">
        <v>2568</v>
      </c>
      <c r="B630" s="15">
        <v>45470</v>
      </c>
      <c r="C630" s="4">
        <v>45444</v>
      </c>
      <c r="D630" t="s">
        <v>38</v>
      </c>
      <c r="E630" t="s">
        <v>19</v>
      </c>
      <c r="F630" t="s">
        <v>40</v>
      </c>
      <c r="G630" t="s">
        <v>109</v>
      </c>
      <c r="H630" t="s">
        <v>11</v>
      </c>
      <c r="I630" t="s">
        <v>1935</v>
      </c>
      <c r="J630" t="s">
        <v>1936</v>
      </c>
      <c r="K630" s="8">
        <v>9</v>
      </c>
    </row>
    <row r="631" spans="1:11">
      <c r="A631" t="s">
        <v>2569</v>
      </c>
      <c r="B631" s="15">
        <v>45466</v>
      </c>
      <c r="C631" s="4">
        <v>45444</v>
      </c>
      <c r="D631" t="s">
        <v>38</v>
      </c>
      <c r="E631" t="s">
        <v>19</v>
      </c>
      <c r="F631" t="s">
        <v>40</v>
      </c>
      <c r="G631" t="s">
        <v>128</v>
      </c>
      <c r="H631" t="s">
        <v>5</v>
      </c>
      <c r="I631" t="s">
        <v>1935</v>
      </c>
      <c r="J631" t="s">
        <v>1936</v>
      </c>
      <c r="K631" s="8">
        <v>29</v>
      </c>
    </row>
    <row r="632" spans="1:11">
      <c r="A632" t="s">
        <v>2570</v>
      </c>
      <c r="B632" s="15">
        <v>45467</v>
      </c>
      <c r="C632" s="4">
        <v>45444</v>
      </c>
      <c r="D632" t="s">
        <v>38</v>
      </c>
      <c r="E632" t="s">
        <v>19</v>
      </c>
      <c r="F632" t="s">
        <v>40</v>
      </c>
      <c r="G632" t="s">
        <v>96</v>
      </c>
      <c r="H632" t="s">
        <v>11</v>
      </c>
      <c r="I632" t="s">
        <v>1935</v>
      </c>
      <c r="J632" t="s">
        <v>1936</v>
      </c>
      <c r="K632" s="8">
        <v>16</v>
      </c>
    </row>
    <row r="633" spans="1:11">
      <c r="A633" t="s">
        <v>2571</v>
      </c>
      <c r="B633" s="15">
        <v>45454</v>
      </c>
      <c r="C633" s="4">
        <v>45444</v>
      </c>
      <c r="D633" t="s">
        <v>38</v>
      </c>
      <c r="E633" t="s">
        <v>19</v>
      </c>
      <c r="F633" t="s">
        <v>40</v>
      </c>
      <c r="G633" t="s">
        <v>146</v>
      </c>
      <c r="H633" t="s">
        <v>5</v>
      </c>
      <c r="I633" t="s">
        <v>1935</v>
      </c>
      <c r="J633" t="s">
        <v>1936</v>
      </c>
      <c r="K633" s="8">
        <v>17</v>
      </c>
    </row>
    <row r="634" spans="1:11">
      <c r="A634" t="s">
        <v>2572</v>
      </c>
      <c r="B634" s="15">
        <v>45469</v>
      </c>
      <c r="C634" s="4">
        <v>45444</v>
      </c>
      <c r="D634" t="s">
        <v>38</v>
      </c>
      <c r="E634" t="s">
        <v>19</v>
      </c>
      <c r="F634" t="s">
        <v>40</v>
      </c>
      <c r="G634" t="s">
        <v>82</v>
      </c>
      <c r="H634" t="s">
        <v>5</v>
      </c>
      <c r="I634" t="s">
        <v>1935</v>
      </c>
      <c r="J634" t="s">
        <v>1936</v>
      </c>
      <c r="K634" s="8">
        <v>34</v>
      </c>
    </row>
    <row r="635" spans="1:11">
      <c r="A635" t="s">
        <v>2573</v>
      </c>
      <c r="B635" s="15">
        <v>45469</v>
      </c>
      <c r="C635" s="4">
        <v>45444</v>
      </c>
      <c r="D635" t="s">
        <v>38</v>
      </c>
      <c r="E635" t="s">
        <v>19</v>
      </c>
      <c r="F635" t="s">
        <v>40</v>
      </c>
      <c r="G635" t="s">
        <v>103</v>
      </c>
      <c r="H635" t="s">
        <v>5</v>
      </c>
      <c r="I635" t="s">
        <v>1935</v>
      </c>
      <c r="J635" t="s">
        <v>1936</v>
      </c>
      <c r="K635" s="8">
        <v>32</v>
      </c>
    </row>
    <row r="636" spans="1:11">
      <c r="A636" t="s">
        <v>2574</v>
      </c>
      <c r="B636" s="15">
        <v>45471</v>
      </c>
      <c r="C636" s="4">
        <v>45444</v>
      </c>
      <c r="D636" t="s">
        <v>38</v>
      </c>
      <c r="E636" t="s">
        <v>19</v>
      </c>
      <c r="F636" t="s">
        <v>40</v>
      </c>
      <c r="G636" t="s">
        <v>96</v>
      </c>
      <c r="H636" t="s">
        <v>11</v>
      </c>
      <c r="I636" t="s">
        <v>1935</v>
      </c>
      <c r="J636" t="s">
        <v>1936</v>
      </c>
      <c r="K636" s="8">
        <v>33</v>
      </c>
    </row>
    <row r="637" spans="1:11">
      <c r="A637" t="s">
        <v>2575</v>
      </c>
      <c r="B637" s="15">
        <v>45461</v>
      </c>
      <c r="C637" s="4">
        <v>45444</v>
      </c>
      <c r="D637" t="s">
        <v>38</v>
      </c>
      <c r="E637" t="s">
        <v>19</v>
      </c>
      <c r="F637" t="s">
        <v>40</v>
      </c>
      <c r="G637" t="s">
        <v>96</v>
      </c>
      <c r="H637" t="s">
        <v>11</v>
      </c>
      <c r="I637" t="s">
        <v>1935</v>
      </c>
      <c r="J637" t="s">
        <v>1936</v>
      </c>
      <c r="K637" s="8">
        <v>16</v>
      </c>
    </row>
    <row r="638" spans="1:11">
      <c r="A638" t="s">
        <v>2576</v>
      </c>
      <c r="B638" s="15">
        <v>45471</v>
      </c>
      <c r="C638" s="4">
        <v>45444</v>
      </c>
      <c r="D638" t="s">
        <v>38</v>
      </c>
      <c r="E638" t="s">
        <v>19</v>
      </c>
      <c r="F638" t="s">
        <v>40</v>
      </c>
      <c r="G638" t="s">
        <v>152</v>
      </c>
      <c r="H638" t="s">
        <v>5</v>
      </c>
      <c r="I638" t="s">
        <v>1935</v>
      </c>
      <c r="J638" t="s">
        <v>1938</v>
      </c>
      <c r="K638" s="8">
        <v>33</v>
      </c>
    </row>
    <row r="639" spans="1:11">
      <c r="A639" t="s">
        <v>2577</v>
      </c>
      <c r="B639" s="15">
        <v>45446</v>
      </c>
      <c r="C639" s="4">
        <v>45444</v>
      </c>
      <c r="D639" t="s">
        <v>38</v>
      </c>
      <c r="E639" t="s">
        <v>19</v>
      </c>
      <c r="F639" t="s">
        <v>40</v>
      </c>
      <c r="G639" t="s">
        <v>140</v>
      </c>
      <c r="H639" t="s">
        <v>11</v>
      </c>
      <c r="I639" t="s">
        <v>1942</v>
      </c>
      <c r="J639" t="s">
        <v>1938</v>
      </c>
      <c r="K639" s="8">
        <v>2</v>
      </c>
    </row>
    <row r="640" spans="1:11">
      <c r="A640" t="s">
        <v>2578</v>
      </c>
      <c r="B640" s="15">
        <v>45445</v>
      </c>
      <c r="C640" s="4">
        <v>45444</v>
      </c>
      <c r="D640" t="s">
        <v>38</v>
      </c>
      <c r="E640" t="s">
        <v>19</v>
      </c>
      <c r="F640" t="s">
        <v>40</v>
      </c>
      <c r="G640" t="s">
        <v>103</v>
      </c>
      <c r="H640" t="s">
        <v>5</v>
      </c>
      <c r="I640" t="s">
        <v>1935</v>
      </c>
      <c r="J640" t="s">
        <v>1936</v>
      </c>
      <c r="K640" s="8">
        <v>10</v>
      </c>
    </row>
    <row r="641" spans="1:11">
      <c r="A641" t="s">
        <v>2579</v>
      </c>
      <c r="B641" s="15">
        <v>45461</v>
      </c>
      <c r="C641" s="4">
        <v>45444</v>
      </c>
      <c r="D641" t="s">
        <v>38</v>
      </c>
      <c r="E641" t="s">
        <v>19</v>
      </c>
      <c r="F641" t="s">
        <v>40</v>
      </c>
      <c r="G641" t="s">
        <v>134</v>
      </c>
      <c r="H641" t="s">
        <v>11</v>
      </c>
      <c r="I641" t="s">
        <v>1935</v>
      </c>
      <c r="J641" t="s">
        <v>1936</v>
      </c>
      <c r="K641" s="8">
        <v>13</v>
      </c>
    </row>
    <row r="642" spans="1:11">
      <c r="A642" t="s">
        <v>2580</v>
      </c>
      <c r="B642" s="15">
        <v>45450</v>
      </c>
      <c r="C642" s="4">
        <v>45444</v>
      </c>
      <c r="D642" t="s">
        <v>41</v>
      </c>
      <c r="E642" t="s">
        <v>21</v>
      </c>
      <c r="F642" t="s">
        <v>43</v>
      </c>
      <c r="G642" t="s">
        <v>208</v>
      </c>
      <c r="H642" t="s">
        <v>11</v>
      </c>
      <c r="I642" t="s">
        <v>1935</v>
      </c>
      <c r="J642" t="s">
        <v>1936</v>
      </c>
      <c r="K642" s="8">
        <v>28</v>
      </c>
    </row>
    <row r="643" spans="1:11">
      <c r="A643" t="s">
        <v>2581</v>
      </c>
      <c r="B643" s="15">
        <v>45455</v>
      </c>
      <c r="C643" s="4">
        <v>45444</v>
      </c>
      <c r="D643" t="s">
        <v>41</v>
      </c>
      <c r="E643" t="s">
        <v>21</v>
      </c>
      <c r="F643" t="s">
        <v>43</v>
      </c>
      <c r="G643" t="s">
        <v>208</v>
      </c>
      <c r="H643" t="s">
        <v>11</v>
      </c>
      <c r="I643" t="s">
        <v>1935</v>
      </c>
      <c r="J643" t="s">
        <v>1936</v>
      </c>
      <c r="K643" s="8">
        <v>15</v>
      </c>
    </row>
    <row r="644" spans="1:11">
      <c r="A644" t="s">
        <v>2582</v>
      </c>
      <c r="B644" s="15">
        <v>45446</v>
      </c>
      <c r="C644" s="4">
        <v>45444</v>
      </c>
      <c r="D644" t="s">
        <v>41</v>
      </c>
      <c r="E644" t="s">
        <v>21</v>
      </c>
      <c r="F644" t="s">
        <v>43</v>
      </c>
      <c r="G644" t="s">
        <v>220</v>
      </c>
      <c r="H644" t="s">
        <v>11</v>
      </c>
      <c r="I644" t="s">
        <v>1935</v>
      </c>
      <c r="J644" t="s">
        <v>1938</v>
      </c>
      <c r="K644" s="8">
        <v>34</v>
      </c>
    </row>
    <row r="645" spans="1:11">
      <c r="A645" t="s">
        <v>2583</v>
      </c>
      <c r="B645" s="15">
        <v>45459</v>
      </c>
      <c r="C645" s="4">
        <v>45444</v>
      </c>
      <c r="D645" t="s">
        <v>41</v>
      </c>
      <c r="E645" t="s">
        <v>21</v>
      </c>
      <c r="F645" t="s">
        <v>43</v>
      </c>
      <c r="G645" t="s">
        <v>166</v>
      </c>
      <c r="H645" t="s">
        <v>14</v>
      </c>
      <c r="I645" t="s">
        <v>1935</v>
      </c>
      <c r="J645" t="s">
        <v>1936</v>
      </c>
      <c r="K645" s="8">
        <v>27</v>
      </c>
    </row>
    <row r="646" spans="1:11">
      <c r="A646" t="s">
        <v>2584</v>
      </c>
      <c r="B646" s="15">
        <v>45447</v>
      </c>
      <c r="C646" s="4">
        <v>45444</v>
      </c>
      <c r="D646" t="s">
        <v>41</v>
      </c>
      <c r="E646" t="s">
        <v>21</v>
      </c>
      <c r="F646" t="s">
        <v>43</v>
      </c>
      <c r="G646" t="s">
        <v>196</v>
      </c>
      <c r="H646" t="s">
        <v>5</v>
      </c>
      <c r="I646" t="s">
        <v>1935</v>
      </c>
      <c r="J646" t="s">
        <v>1954</v>
      </c>
      <c r="K646" s="8">
        <v>24</v>
      </c>
    </row>
    <row r="647" spans="1:11">
      <c r="A647" t="s">
        <v>2585</v>
      </c>
      <c r="B647" s="15">
        <v>45473</v>
      </c>
      <c r="C647" s="4">
        <v>45444</v>
      </c>
      <c r="D647" t="s">
        <v>41</v>
      </c>
      <c r="E647" t="s">
        <v>21</v>
      </c>
      <c r="F647" t="s">
        <v>43</v>
      </c>
      <c r="G647" t="s">
        <v>172</v>
      </c>
      <c r="H647" t="s">
        <v>8</v>
      </c>
      <c r="I647" t="s">
        <v>1935</v>
      </c>
      <c r="J647" t="s">
        <v>1936</v>
      </c>
      <c r="K647" s="8">
        <v>12</v>
      </c>
    </row>
    <row r="648" spans="1:11">
      <c r="A648" t="s">
        <v>2586</v>
      </c>
      <c r="B648" s="15">
        <v>45469</v>
      </c>
      <c r="C648" s="4">
        <v>45444</v>
      </c>
      <c r="D648" t="s">
        <v>41</v>
      </c>
      <c r="E648" t="s">
        <v>21</v>
      </c>
      <c r="F648" t="s">
        <v>43</v>
      </c>
      <c r="G648" t="s">
        <v>220</v>
      </c>
      <c r="H648" t="s">
        <v>11</v>
      </c>
      <c r="I648" t="s">
        <v>1935</v>
      </c>
      <c r="J648" t="s">
        <v>1954</v>
      </c>
      <c r="K648" s="8">
        <v>26</v>
      </c>
    </row>
    <row r="649" spans="1:11">
      <c r="A649" t="s">
        <v>2587</v>
      </c>
      <c r="B649" s="15">
        <v>45466</v>
      </c>
      <c r="C649" s="4">
        <v>45444</v>
      </c>
      <c r="D649" t="s">
        <v>41</v>
      </c>
      <c r="E649" t="s">
        <v>21</v>
      </c>
      <c r="F649" t="s">
        <v>43</v>
      </c>
      <c r="G649" t="s">
        <v>202</v>
      </c>
      <c r="H649" t="s">
        <v>11</v>
      </c>
      <c r="I649" t="s">
        <v>1935</v>
      </c>
      <c r="J649" t="s">
        <v>1936</v>
      </c>
      <c r="K649" s="8">
        <v>10</v>
      </c>
    </row>
    <row r="650" spans="1:11">
      <c r="A650" t="s">
        <v>2588</v>
      </c>
      <c r="B650" s="15">
        <v>45466</v>
      </c>
      <c r="C650" s="4">
        <v>45444</v>
      </c>
      <c r="D650" t="s">
        <v>41</v>
      </c>
      <c r="E650" t="s">
        <v>21</v>
      </c>
      <c r="F650" t="s">
        <v>43</v>
      </c>
      <c r="G650" t="s">
        <v>184</v>
      </c>
      <c r="H650" t="s">
        <v>8</v>
      </c>
      <c r="I650" t="s">
        <v>1935</v>
      </c>
      <c r="J650" t="s">
        <v>1936</v>
      </c>
      <c r="K650" s="8">
        <v>23</v>
      </c>
    </row>
    <row r="651" spans="1:11">
      <c r="A651" t="s">
        <v>2589</v>
      </c>
      <c r="B651" s="15">
        <v>45448</v>
      </c>
      <c r="C651" s="4">
        <v>45444</v>
      </c>
      <c r="D651" t="s">
        <v>41</v>
      </c>
      <c r="E651" t="s">
        <v>21</v>
      </c>
      <c r="F651" t="s">
        <v>43</v>
      </c>
      <c r="G651" t="s">
        <v>202</v>
      </c>
      <c r="H651" t="s">
        <v>8</v>
      </c>
      <c r="I651" t="s">
        <v>1935</v>
      </c>
      <c r="J651" t="s">
        <v>1938</v>
      </c>
      <c r="K651" s="8">
        <v>31</v>
      </c>
    </row>
    <row r="652" spans="1:11">
      <c r="A652" t="s">
        <v>2590</v>
      </c>
      <c r="B652" s="15">
        <v>45467</v>
      </c>
      <c r="C652" s="4">
        <v>45444</v>
      </c>
      <c r="D652" t="s">
        <v>41</v>
      </c>
      <c r="E652" t="s">
        <v>21</v>
      </c>
      <c r="F652" t="s">
        <v>43</v>
      </c>
      <c r="G652" t="s">
        <v>202</v>
      </c>
      <c r="H652" t="s">
        <v>5</v>
      </c>
      <c r="I652" t="s">
        <v>1935</v>
      </c>
      <c r="J652" t="s">
        <v>1938</v>
      </c>
      <c r="K652" s="8">
        <v>8</v>
      </c>
    </row>
    <row r="653" spans="1:11">
      <c r="A653" t="s">
        <v>2591</v>
      </c>
      <c r="B653" s="15">
        <v>45460</v>
      </c>
      <c r="C653" s="4">
        <v>45444</v>
      </c>
      <c r="D653" t="s">
        <v>44</v>
      </c>
      <c r="E653" t="s">
        <v>21</v>
      </c>
      <c r="F653" t="s">
        <v>46</v>
      </c>
      <c r="G653" t="s">
        <v>216</v>
      </c>
      <c r="H653" t="s">
        <v>14</v>
      </c>
      <c r="I653" t="s">
        <v>1935</v>
      </c>
      <c r="J653" t="s">
        <v>1938</v>
      </c>
      <c r="K653" s="8">
        <v>25</v>
      </c>
    </row>
    <row r="654" spans="1:11">
      <c r="A654" t="s">
        <v>2592</v>
      </c>
      <c r="B654" s="15">
        <v>45449</v>
      </c>
      <c r="C654" s="4">
        <v>45444</v>
      </c>
      <c r="D654" t="s">
        <v>44</v>
      </c>
      <c r="E654" t="s">
        <v>21</v>
      </c>
      <c r="F654" t="s">
        <v>46</v>
      </c>
      <c r="G654" t="s">
        <v>186</v>
      </c>
      <c r="H654" t="s">
        <v>14</v>
      </c>
      <c r="I654" t="s">
        <v>1935</v>
      </c>
      <c r="J654" t="s">
        <v>1954</v>
      </c>
      <c r="K654" s="8">
        <v>10</v>
      </c>
    </row>
    <row r="655" spans="1:11">
      <c r="A655" t="s">
        <v>2593</v>
      </c>
      <c r="B655" s="15">
        <v>45444</v>
      </c>
      <c r="C655" s="4">
        <v>45444</v>
      </c>
      <c r="D655" t="s">
        <v>44</v>
      </c>
      <c r="E655" t="s">
        <v>21</v>
      </c>
      <c r="F655" t="s">
        <v>46</v>
      </c>
      <c r="G655" t="s">
        <v>216</v>
      </c>
      <c r="H655" t="s">
        <v>11</v>
      </c>
      <c r="I655" t="s">
        <v>1935</v>
      </c>
      <c r="J655" t="s">
        <v>1936</v>
      </c>
      <c r="K655" s="8">
        <v>31</v>
      </c>
    </row>
    <row r="656" spans="1:11">
      <c r="A656" t="s">
        <v>2594</v>
      </c>
      <c r="B656" s="15">
        <v>45454</v>
      </c>
      <c r="C656" s="4">
        <v>45444</v>
      </c>
      <c r="D656" t="s">
        <v>44</v>
      </c>
      <c r="E656" t="s">
        <v>21</v>
      </c>
      <c r="F656" t="s">
        <v>46</v>
      </c>
      <c r="G656" t="s">
        <v>198</v>
      </c>
      <c r="H656" t="s">
        <v>8</v>
      </c>
      <c r="I656" t="s">
        <v>1935</v>
      </c>
      <c r="J656" t="s">
        <v>1936</v>
      </c>
      <c r="K656" s="8">
        <v>31</v>
      </c>
    </row>
    <row r="657" spans="1:11">
      <c r="A657" t="s">
        <v>2595</v>
      </c>
      <c r="B657" s="15">
        <v>45457</v>
      </c>
      <c r="C657" s="4">
        <v>45444</v>
      </c>
      <c r="D657" t="s">
        <v>44</v>
      </c>
      <c r="E657" t="s">
        <v>21</v>
      </c>
      <c r="F657" t="s">
        <v>46</v>
      </c>
      <c r="G657" t="s">
        <v>180</v>
      </c>
      <c r="H657" t="s">
        <v>14</v>
      </c>
      <c r="I657" t="s">
        <v>1995</v>
      </c>
      <c r="J657" t="s">
        <v>1938</v>
      </c>
      <c r="K657" s="8">
        <v>4</v>
      </c>
    </row>
    <row r="658" spans="1:11">
      <c r="A658" t="s">
        <v>2596</v>
      </c>
      <c r="B658" s="15">
        <v>45461</v>
      </c>
      <c r="C658" s="4">
        <v>45444</v>
      </c>
      <c r="D658" t="s">
        <v>44</v>
      </c>
      <c r="E658" t="s">
        <v>21</v>
      </c>
      <c r="F658" t="s">
        <v>46</v>
      </c>
      <c r="G658" t="s">
        <v>174</v>
      </c>
      <c r="H658" t="s">
        <v>8</v>
      </c>
      <c r="I658" t="s">
        <v>1935</v>
      </c>
      <c r="J658" t="s">
        <v>1936</v>
      </c>
      <c r="K658" s="8">
        <v>29</v>
      </c>
    </row>
    <row r="659" spans="1:11">
      <c r="A659" t="s">
        <v>2597</v>
      </c>
      <c r="B659" s="15">
        <v>45457</v>
      </c>
      <c r="C659" s="4">
        <v>45444</v>
      </c>
      <c r="D659" t="s">
        <v>44</v>
      </c>
      <c r="E659" t="s">
        <v>21</v>
      </c>
      <c r="F659" t="s">
        <v>46</v>
      </c>
      <c r="G659" t="s">
        <v>228</v>
      </c>
      <c r="H659" t="s">
        <v>11</v>
      </c>
      <c r="I659" t="s">
        <v>1935</v>
      </c>
      <c r="J659" t="s">
        <v>1936</v>
      </c>
      <c r="K659" s="8">
        <v>33</v>
      </c>
    </row>
    <row r="660" spans="1:11">
      <c r="A660" t="s">
        <v>2598</v>
      </c>
      <c r="B660" s="15">
        <v>45446</v>
      </c>
      <c r="C660" s="4">
        <v>45444</v>
      </c>
      <c r="D660" t="s">
        <v>44</v>
      </c>
      <c r="E660" t="s">
        <v>21</v>
      </c>
      <c r="F660" t="s">
        <v>46</v>
      </c>
      <c r="G660" t="s">
        <v>234</v>
      </c>
      <c r="H660" t="s">
        <v>5</v>
      </c>
      <c r="I660" t="s">
        <v>1935</v>
      </c>
      <c r="J660" t="s">
        <v>1936</v>
      </c>
      <c r="K660" s="8">
        <v>9</v>
      </c>
    </row>
    <row r="661" spans="1:11">
      <c r="A661" t="s">
        <v>2599</v>
      </c>
      <c r="B661" s="15">
        <v>45472</v>
      </c>
      <c r="C661" s="4">
        <v>45444</v>
      </c>
      <c r="D661" t="s">
        <v>44</v>
      </c>
      <c r="E661" t="s">
        <v>21</v>
      </c>
      <c r="F661" t="s">
        <v>46</v>
      </c>
      <c r="G661" t="s">
        <v>234</v>
      </c>
      <c r="H661" t="s">
        <v>5</v>
      </c>
      <c r="I661" t="s">
        <v>1935</v>
      </c>
      <c r="J661" t="s">
        <v>1936</v>
      </c>
      <c r="K661" s="8">
        <v>9</v>
      </c>
    </row>
    <row r="662" spans="1:11">
      <c r="A662" t="s">
        <v>2600</v>
      </c>
      <c r="B662" s="15">
        <v>45446</v>
      </c>
      <c r="C662" s="4">
        <v>45444</v>
      </c>
      <c r="D662" t="s">
        <v>44</v>
      </c>
      <c r="E662" t="s">
        <v>21</v>
      </c>
      <c r="F662" t="s">
        <v>46</v>
      </c>
      <c r="G662" t="s">
        <v>186</v>
      </c>
      <c r="H662" t="s">
        <v>8</v>
      </c>
      <c r="I662" t="s">
        <v>1935</v>
      </c>
      <c r="J662" t="s">
        <v>1936</v>
      </c>
      <c r="K662" s="8">
        <v>23</v>
      </c>
    </row>
    <row r="663" spans="1:11">
      <c r="A663" t="s">
        <v>2601</v>
      </c>
      <c r="B663" s="15">
        <v>45462</v>
      </c>
      <c r="C663" s="4">
        <v>45444</v>
      </c>
      <c r="D663" t="s">
        <v>44</v>
      </c>
      <c r="E663" t="s">
        <v>21</v>
      </c>
      <c r="F663" t="s">
        <v>46</v>
      </c>
      <c r="G663" t="s">
        <v>216</v>
      </c>
      <c r="H663" t="s">
        <v>14</v>
      </c>
      <c r="I663" t="s">
        <v>1935</v>
      </c>
      <c r="J663" t="s">
        <v>1936</v>
      </c>
      <c r="K663" s="8">
        <v>34</v>
      </c>
    </row>
    <row r="664" spans="1:11">
      <c r="A664" t="s">
        <v>2602</v>
      </c>
      <c r="B664" s="15">
        <v>45457</v>
      </c>
      <c r="C664" s="4">
        <v>45444</v>
      </c>
      <c r="D664" t="s">
        <v>47</v>
      </c>
      <c r="E664" t="s">
        <v>21</v>
      </c>
      <c r="F664" t="s">
        <v>49</v>
      </c>
      <c r="G664" t="s">
        <v>170</v>
      </c>
      <c r="H664" t="s">
        <v>8</v>
      </c>
      <c r="I664" t="s">
        <v>1935</v>
      </c>
      <c r="J664" t="s">
        <v>1954</v>
      </c>
      <c r="K664" s="8">
        <v>33</v>
      </c>
    </row>
    <row r="665" spans="1:11">
      <c r="A665" t="s">
        <v>2603</v>
      </c>
      <c r="B665" s="15">
        <v>45458</v>
      </c>
      <c r="C665" s="4">
        <v>45444</v>
      </c>
      <c r="D665" t="s">
        <v>47</v>
      </c>
      <c r="E665" t="s">
        <v>21</v>
      </c>
      <c r="F665" t="s">
        <v>49</v>
      </c>
      <c r="G665" t="s">
        <v>236</v>
      </c>
      <c r="H665" t="s">
        <v>5</v>
      </c>
      <c r="I665" t="s">
        <v>1935</v>
      </c>
      <c r="J665" t="s">
        <v>1936</v>
      </c>
      <c r="K665" s="8">
        <v>15</v>
      </c>
    </row>
    <row r="666" spans="1:11">
      <c r="A666" t="s">
        <v>2604</v>
      </c>
      <c r="B666" s="15">
        <v>45445</v>
      </c>
      <c r="C666" s="4">
        <v>45444</v>
      </c>
      <c r="D666" t="s">
        <v>47</v>
      </c>
      <c r="E666" t="s">
        <v>21</v>
      </c>
      <c r="F666" t="s">
        <v>49</v>
      </c>
      <c r="G666" t="s">
        <v>182</v>
      </c>
      <c r="H666" t="s">
        <v>14</v>
      </c>
      <c r="I666" t="s">
        <v>1935</v>
      </c>
      <c r="J666" t="s">
        <v>1936</v>
      </c>
      <c r="K666" s="8">
        <v>34</v>
      </c>
    </row>
    <row r="667" spans="1:11">
      <c r="A667" t="s">
        <v>2605</v>
      </c>
      <c r="B667" s="15">
        <v>45455</v>
      </c>
      <c r="C667" s="4">
        <v>45444</v>
      </c>
      <c r="D667" t="s">
        <v>47</v>
      </c>
      <c r="E667" t="s">
        <v>21</v>
      </c>
      <c r="F667" t="s">
        <v>49</v>
      </c>
      <c r="G667" t="s">
        <v>236</v>
      </c>
      <c r="H667" t="s">
        <v>5</v>
      </c>
      <c r="I667" t="s">
        <v>1935</v>
      </c>
      <c r="J667" t="s">
        <v>1938</v>
      </c>
      <c r="K667" s="8">
        <v>16</v>
      </c>
    </row>
    <row r="668" spans="1:11">
      <c r="A668" t="s">
        <v>2606</v>
      </c>
      <c r="B668" s="15">
        <v>45454</v>
      </c>
      <c r="C668" s="4">
        <v>45444</v>
      </c>
      <c r="D668" t="s">
        <v>47</v>
      </c>
      <c r="E668" t="s">
        <v>21</v>
      </c>
      <c r="F668" t="s">
        <v>49</v>
      </c>
      <c r="G668" t="s">
        <v>200</v>
      </c>
      <c r="H668" t="s">
        <v>11</v>
      </c>
      <c r="I668" t="s">
        <v>1935</v>
      </c>
      <c r="J668" t="s">
        <v>1936</v>
      </c>
      <c r="K668" s="8">
        <v>27</v>
      </c>
    </row>
    <row r="669" spans="1:11">
      <c r="A669" t="s">
        <v>2607</v>
      </c>
      <c r="B669" s="15">
        <v>45450</v>
      </c>
      <c r="C669" s="4">
        <v>45444</v>
      </c>
      <c r="D669" t="s">
        <v>47</v>
      </c>
      <c r="E669" t="s">
        <v>21</v>
      </c>
      <c r="F669" t="s">
        <v>49</v>
      </c>
      <c r="G669" t="s">
        <v>170</v>
      </c>
      <c r="H669" t="s">
        <v>8</v>
      </c>
      <c r="I669" t="s">
        <v>1935</v>
      </c>
      <c r="J669" t="s">
        <v>1936</v>
      </c>
      <c r="K669" s="8">
        <v>16</v>
      </c>
    </row>
    <row r="670" spans="1:11">
      <c r="A670" t="s">
        <v>2608</v>
      </c>
      <c r="B670" s="15">
        <v>45467</v>
      </c>
      <c r="C670" s="4">
        <v>45444</v>
      </c>
      <c r="D670" t="s">
        <v>47</v>
      </c>
      <c r="E670" t="s">
        <v>21</v>
      </c>
      <c r="F670" t="s">
        <v>49</v>
      </c>
      <c r="G670" t="s">
        <v>194</v>
      </c>
      <c r="H670" t="s">
        <v>5</v>
      </c>
      <c r="I670" t="s">
        <v>1935</v>
      </c>
      <c r="J670" t="s">
        <v>1936</v>
      </c>
      <c r="K670" s="8">
        <v>26</v>
      </c>
    </row>
    <row r="671" spans="1:11">
      <c r="A671" t="s">
        <v>2609</v>
      </c>
      <c r="B671" s="15">
        <v>45469</v>
      </c>
      <c r="C671" s="4">
        <v>45444</v>
      </c>
      <c r="D671" t="s">
        <v>47</v>
      </c>
      <c r="E671" t="s">
        <v>21</v>
      </c>
      <c r="F671" t="s">
        <v>49</v>
      </c>
      <c r="G671" t="s">
        <v>212</v>
      </c>
      <c r="H671" t="s">
        <v>8</v>
      </c>
      <c r="I671" t="s">
        <v>1995</v>
      </c>
      <c r="J671" t="s">
        <v>1954</v>
      </c>
      <c r="K671" s="8">
        <v>7</v>
      </c>
    </row>
    <row r="672" spans="1:11">
      <c r="A672" t="s">
        <v>2610</v>
      </c>
      <c r="B672" s="15">
        <v>45468</v>
      </c>
      <c r="C672" s="4">
        <v>45444</v>
      </c>
      <c r="D672" t="s">
        <v>47</v>
      </c>
      <c r="E672" t="s">
        <v>21</v>
      </c>
      <c r="F672" t="s">
        <v>49</v>
      </c>
      <c r="G672" t="s">
        <v>230</v>
      </c>
      <c r="H672" t="s">
        <v>5</v>
      </c>
      <c r="I672" t="s">
        <v>1935</v>
      </c>
      <c r="J672" t="s">
        <v>1954</v>
      </c>
      <c r="K672" s="8">
        <v>26</v>
      </c>
    </row>
    <row r="673" spans="1:11">
      <c r="A673" t="s">
        <v>2611</v>
      </c>
      <c r="B673" s="15">
        <v>45469</v>
      </c>
      <c r="C673" s="4">
        <v>45444</v>
      </c>
      <c r="D673" t="s">
        <v>47</v>
      </c>
      <c r="E673" t="s">
        <v>21</v>
      </c>
      <c r="F673" t="s">
        <v>49</v>
      </c>
      <c r="G673" t="s">
        <v>188</v>
      </c>
      <c r="H673" t="s">
        <v>14</v>
      </c>
      <c r="I673" t="s">
        <v>1942</v>
      </c>
      <c r="J673" t="s">
        <v>1936</v>
      </c>
      <c r="K673" s="8">
        <v>1</v>
      </c>
    </row>
    <row r="674" spans="1:11">
      <c r="A674" t="s">
        <v>2612</v>
      </c>
      <c r="B674" s="15">
        <v>45466</v>
      </c>
      <c r="C674" s="4">
        <v>45444</v>
      </c>
      <c r="D674" t="s">
        <v>47</v>
      </c>
      <c r="E674" t="s">
        <v>21</v>
      </c>
      <c r="F674" t="s">
        <v>49</v>
      </c>
      <c r="G674" t="s">
        <v>188</v>
      </c>
      <c r="H674" t="s">
        <v>14</v>
      </c>
      <c r="I674" t="s">
        <v>1935</v>
      </c>
      <c r="J674" t="s">
        <v>1936</v>
      </c>
      <c r="K674" s="8">
        <v>27</v>
      </c>
    </row>
    <row r="675" spans="1:11">
      <c r="A675" t="s">
        <v>2613</v>
      </c>
      <c r="B675" s="15">
        <v>45456</v>
      </c>
      <c r="C675" s="4">
        <v>45444</v>
      </c>
      <c r="D675" t="s">
        <v>47</v>
      </c>
      <c r="E675" t="s">
        <v>21</v>
      </c>
      <c r="F675" t="s">
        <v>49</v>
      </c>
      <c r="G675" t="s">
        <v>182</v>
      </c>
      <c r="H675" t="s">
        <v>14</v>
      </c>
      <c r="I675" t="s">
        <v>1935</v>
      </c>
      <c r="J675" t="s">
        <v>1936</v>
      </c>
      <c r="K675" s="8">
        <v>23</v>
      </c>
    </row>
    <row r="676" spans="1:11">
      <c r="A676" t="s">
        <v>2614</v>
      </c>
      <c r="B676" s="15">
        <v>45444</v>
      </c>
      <c r="C676" s="4">
        <v>45444</v>
      </c>
      <c r="D676" t="s">
        <v>47</v>
      </c>
      <c r="E676" t="s">
        <v>21</v>
      </c>
      <c r="F676" t="s">
        <v>49</v>
      </c>
      <c r="G676" t="s">
        <v>224</v>
      </c>
      <c r="H676" t="s">
        <v>11</v>
      </c>
      <c r="I676" t="s">
        <v>1935</v>
      </c>
      <c r="J676" t="s">
        <v>1936</v>
      </c>
      <c r="K676" s="8">
        <v>35</v>
      </c>
    </row>
    <row r="677" spans="1:11">
      <c r="A677" t="s">
        <v>2615</v>
      </c>
      <c r="B677" s="15">
        <v>45466</v>
      </c>
      <c r="C677" s="4">
        <v>45444</v>
      </c>
      <c r="D677" t="s">
        <v>50</v>
      </c>
      <c r="E677" t="s">
        <v>23</v>
      </c>
      <c r="F677" t="s">
        <v>52</v>
      </c>
      <c r="G677" t="s">
        <v>310</v>
      </c>
      <c r="H677" t="s">
        <v>11</v>
      </c>
      <c r="I677" t="s">
        <v>1935</v>
      </c>
      <c r="J677" t="s">
        <v>1936</v>
      </c>
      <c r="K677" s="8">
        <v>13</v>
      </c>
    </row>
    <row r="678" spans="1:11">
      <c r="A678" t="s">
        <v>2616</v>
      </c>
      <c r="B678" s="15">
        <v>45446</v>
      </c>
      <c r="C678" s="4">
        <v>45444</v>
      </c>
      <c r="D678" t="s">
        <v>50</v>
      </c>
      <c r="E678" t="s">
        <v>23</v>
      </c>
      <c r="F678" t="s">
        <v>52</v>
      </c>
      <c r="G678" t="s">
        <v>298</v>
      </c>
      <c r="H678" t="s">
        <v>5</v>
      </c>
      <c r="I678" t="s">
        <v>1935</v>
      </c>
      <c r="J678" t="s">
        <v>1954</v>
      </c>
      <c r="K678" s="8">
        <v>22</v>
      </c>
    </row>
    <row r="679" spans="1:11">
      <c r="A679" t="s">
        <v>2617</v>
      </c>
      <c r="B679" s="15">
        <v>45455</v>
      </c>
      <c r="C679" s="4">
        <v>45444</v>
      </c>
      <c r="D679" t="s">
        <v>50</v>
      </c>
      <c r="E679" t="s">
        <v>23</v>
      </c>
      <c r="F679" t="s">
        <v>52</v>
      </c>
      <c r="G679" t="s">
        <v>280</v>
      </c>
      <c r="H679" t="s">
        <v>11</v>
      </c>
      <c r="I679" t="s">
        <v>1935</v>
      </c>
      <c r="J679" t="s">
        <v>1936</v>
      </c>
      <c r="K679" s="8">
        <v>20</v>
      </c>
    </row>
    <row r="680" spans="1:11">
      <c r="A680" t="s">
        <v>2618</v>
      </c>
      <c r="B680" s="15">
        <v>45464</v>
      </c>
      <c r="C680" s="4">
        <v>45444</v>
      </c>
      <c r="D680" t="s">
        <v>50</v>
      </c>
      <c r="E680" t="s">
        <v>23</v>
      </c>
      <c r="F680" t="s">
        <v>52</v>
      </c>
      <c r="G680" t="s">
        <v>292</v>
      </c>
      <c r="H680" t="s">
        <v>5</v>
      </c>
      <c r="I680" t="s">
        <v>1935</v>
      </c>
      <c r="J680" t="s">
        <v>1954</v>
      </c>
      <c r="K680" s="8">
        <v>10</v>
      </c>
    </row>
    <row r="681" spans="1:11">
      <c r="A681" t="s">
        <v>2619</v>
      </c>
      <c r="B681" s="15">
        <v>45462</v>
      </c>
      <c r="C681" s="4">
        <v>45444</v>
      </c>
      <c r="D681" t="s">
        <v>50</v>
      </c>
      <c r="E681" t="s">
        <v>23</v>
      </c>
      <c r="F681" t="s">
        <v>52</v>
      </c>
      <c r="G681" t="s">
        <v>268</v>
      </c>
      <c r="H681" t="s">
        <v>11</v>
      </c>
      <c r="I681" t="s">
        <v>1935</v>
      </c>
      <c r="J681" t="s">
        <v>1936</v>
      </c>
      <c r="K681" s="8">
        <v>30</v>
      </c>
    </row>
    <row r="682" spans="1:11">
      <c r="A682" t="s">
        <v>2620</v>
      </c>
      <c r="B682" s="15">
        <v>45450</v>
      </c>
      <c r="C682" s="4">
        <v>45444</v>
      </c>
      <c r="D682" t="s">
        <v>50</v>
      </c>
      <c r="E682" t="s">
        <v>23</v>
      </c>
      <c r="F682" t="s">
        <v>52</v>
      </c>
      <c r="G682" t="s">
        <v>256</v>
      </c>
      <c r="H682" t="s">
        <v>5</v>
      </c>
      <c r="I682" t="s">
        <v>1935</v>
      </c>
      <c r="J682" t="s">
        <v>1938</v>
      </c>
      <c r="K682" s="8">
        <v>19</v>
      </c>
    </row>
    <row r="683" spans="1:11">
      <c r="A683" t="s">
        <v>2621</v>
      </c>
      <c r="B683" s="15">
        <v>45445</v>
      </c>
      <c r="C683" s="4">
        <v>45444</v>
      </c>
      <c r="D683" t="s">
        <v>50</v>
      </c>
      <c r="E683" t="s">
        <v>23</v>
      </c>
      <c r="F683" t="s">
        <v>52</v>
      </c>
      <c r="G683" t="s">
        <v>268</v>
      </c>
      <c r="H683" t="s">
        <v>11</v>
      </c>
      <c r="I683" t="s">
        <v>1935</v>
      </c>
      <c r="J683" t="s">
        <v>1936</v>
      </c>
      <c r="K683" s="8">
        <v>24</v>
      </c>
    </row>
    <row r="684" spans="1:11">
      <c r="A684" t="s">
        <v>2622</v>
      </c>
      <c r="B684" s="15">
        <v>45455</v>
      </c>
      <c r="C684" s="4">
        <v>45444</v>
      </c>
      <c r="D684" t="s">
        <v>50</v>
      </c>
      <c r="E684" t="s">
        <v>23</v>
      </c>
      <c r="F684" t="s">
        <v>52</v>
      </c>
      <c r="G684" t="s">
        <v>310</v>
      </c>
      <c r="H684" t="s">
        <v>14</v>
      </c>
      <c r="I684" t="s">
        <v>1935</v>
      </c>
      <c r="J684" t="s">
        <v>1936</v>
      </c>
      <c r="K684" s="8">
        <v>17</v>
      </c>
    </row>
    <row r="685" spans="1:11">
      <c r="A685" t="s">
        <v>2623</v>
      </c>
      <c r="B685" s="15">
        <v>45473</v>
      </c>
      <c r="C685" s="4">
        <v>45444</v>
      </c>
      <c r="D685" t="s">
        <v>53</v>
      </c>
      <c r="E685" t="s">
        <v>23</v>
      </c>
      <c r="F685" t="s">
        <v>55</v>
      </c>
      <c r="G685" t="s">
        <v>312</v>
      </c>
      <c r="H685" t="s">
        <v>5</v>
      </c>
      <c r="I685" t="s">
        <v>1935</v>
      </c>
      <c r="J685" t="s">
        <v>1936</v>
      </c>
      <c r="K685" s="8">
        <v>20</v>
      </c>
    </row>
    <row r="686" spans="1:11">
      <c r="A686" t="s">
        <v>2624</v>
      </c>
      <c r="B686" s="15">
        <v>45446</v>
      </c>
      <c r="C686" s="4">
        <v>45444</v>
      </c>
      <c r="D686" t="s">
        <v>53</v>
      </c>
      <c r="E686" t="s">
        <v>23</v>
      </c>
      <c r="F686" t="s">
        <v>55</v>
      </c>
      <c r="G686" t="s">
        <v>252</v>
      </c>
      <c r="H686" t="s">
        <v>5</v>
      </c>
      <c r="I686" t="s">
        <v>1935</v>
      </c>
      <c r="J686" t="s">
        <v>1938</v>
      </c>
      <c r="K686" s="8">
        <v>35</v>
      </c>
    </row>
    <row r="687" spans="1:11">
      <c r="A687" t="s">
        <v>2625</v>
      </c>
      <c r="B687" s="15">
        <v>45459</v>
      </c>
      <c r="C687" s="4">
        <v>45444</v>
      </c>
      <c r="D687" t="s">
        <v>53</v>
      </c>
      <c r="E687" t="s">
        <v>23</v>
      </c>
      <c r="F687" t="s">
        <v>55</v>
      </c>
      <c r="G687" t="s">
        <v>294</v>
      </c>
      <c r="H687" t="s">
        <v>8</v>
      </c>
      <c r="I687" t="s">
        <v>1935</v>
      </c>
      <c r="J687" t="s">
        <v>1936</v>
      </c>
      <c r="K687" s="8">
        <v>17</v>
      </c>
    </row>
    <row r="688" spans="1:11">
      <c r="A688" t="s">
        <v>2626</v>
      </c>
      <c r="B688" s="15">
        <v>45450</v>
      </c>
      <c r="C688" s="4">
        <v>45444</v>
      </c>
      <c r="D688" t="s">
        <v>53</v>
      </c>
      <c r="E688" t="s">
        <v>23</v>
      </c>
      <c r="F688" t="s">
        <v>55</v>
      </c>
      <c r="G688" t="s">
        <v>264</v>
      </c>
      <c r="H688" t="s">
        <v>14</v>
      </c>
      <c r="I688" t="s">
        <v>1935</v>
      </c>
      <c r="J688" t="s">
        <v>1936</v>
      </c>
      <c r="K688" s="8">
        <v>13</v>
      </c>
    </row>
    <row r="689" spans="1:11">
      <c r="A689" t="s">
        <v>2627</v>
      </c>
      <c r="B689" s="15">
        <v>45473</v>
      </c>
      <c r="C689" s="4">
        <v>45444</v>
      </c>
      <c r="D689" t="s">
        <v>53</v>
      </c>
      <c r="E689" t="s">
        <v>23</v>
      </c>
      <c r="F689" t="s">
        <v>55</v>
      </c>
      <c r="G689" t="s">
        <v>282</v>
      </c>
      <c r="H689" t="s">
        <v>8</v>
      </c>
      <c r="I689" t="s">
        <v>1935</v>
      </c>
      <c r="J689" t="s">
        <v>1936</v>
      </c>
      <c r="K689" s="8">
        <v>13</v>
      </c>
    </row>
    <row r="690" spans="1:11">
      <c r="A690" t="s">
        <v>2628</v>
      </c>
      <c r="B690" s="15">
        <v>45464</v>
      </c>
      <c r="C690" s="4">
        <v>45444</v>
      </c>
      <c r="D690" t="s">
        <v>53</v>
      </c>
      <c r="E690" t="s">
        <v>23</v>
      </c>
      <c r="F690" t="s">
        <v>55</v>
      </c>
      <c r="G690" t="s">
        <v>252</v>
      </c>
      <c r="H690" t="s">
        <v>5</v>
      </c>
      <c r="I690" t="s">
        <v>1935</v>
      </c>
      <c r="J690" t="s">
        <v>1954</v>
      </c>
      <c r="K690" s="8">
        <v>24</v>
      </c>
    </row>
    <row r="691" spans="1:11">
      <c r="A691" t="s">
        <v>2629</v>
      </c>
      <c r="B691" s="15">
        <v>45446</v>
      </c>
      <c r="C691" s="4">
        <v>45444</v>
      </c>
      <c r="D691" t="s">
        <v>53</v>
      </c>
      <c r="E691" t="s">
        <v>23</v>
      </c>
      <c r="F691" t="s">
        <v>55</v>
      </c>
      <c r="G691" t="s">
        <v>306</v>
      </c>
      <c r="H691" t="s">
        <v>8</v>
      </c>
      <c r="I691" t="s">
        <v>1935</v>
      </c>
      <c r="J691" t="s">
        <v>1936</v>
      </c>
      <c r="K691" s="8">
        <v>23</v>
      </c>
    </row>
    <row r="692" spans="1:11">
      <c r="A692" t="s">
        <v>2630</v>
      </c>
      <c r="B692" s="15">
        <v>45471</v>
      </c>
      <c r="C692" s="4">
        <v>45444</v>
      </c>
      <c r="D692" t="s">
        <v>53</v>
      </c>
      <c r="E692" t="s">
        <v>23</v>
      </c>
      <c r="F692" t="s">
        <v>55</v>
      </c>
      <c r="G692" t="s">
        <v>282</v>
      </c>
      <c r="H692" t="s">
        <v>8</v>
      </c>
      <c r="I692" t="s">
        <v>1935</v>
      </c>
      <c r="J692" t="s">
        <v>1936</v>
      </c>
      <c r="K692" s="8">
        <v>35</v>
      </c>
    </row>
    <row r="693" spans="1:11">
      <c r="A693" t="s">
        <v>2631</v>
      </c>
      <c r="B693" s="15">
        <v>45457</v>
      </c>
      <c r="C693" s="4">
        <v>45444</v>
      </c>
      <c r="D693" t="s">
        <v>53</v>
      </c>
      <c r="E693" t="s">
        <v>23</v>
      </c>
      <c r="F693" t="s">
        <v>55</v>
      </c>
      <c r="G693" t="s">
        <v>294</v>
      </c>
      <c r="H693" t="s">
        <v>8</v>
      </c>
      <c r="I693" t="s">
        <v>1935</v>
      </c>
      <c r="J693" t="s">
        <v>1938</v>
      </c>
      <c r="K693" s="8">
        <v>13</v>
      </c>
    </row>
    <row r="694" spans="1:11">
      <c r="A694" t="s">
        <v>2632</v>
      </c>
      <c r="B694" s="15">
        <v>45471</v>
      </c>
      <c r="C694" s="4">
        <v>45444</v>
      </c>
      <c r="D694" t="s">
        <v>53</v>
      </c>
      <c r="E694" t="s">
        <v>23</v>
      </c>
      <c r="F694" t="s">
        <v>55</v>
      </c>
      <c r="G694" t="s">
        <v>300</v>
      </c>
      <c r="H694" t="s">
        <v>5</v>
      </c>
      <c r="I694" t="s">
        <v>1935</v>
      </c>
      <c r="J694" t="s">
        <v>1936</v>
      </c>
      <c r="K694" s="8">
        <v>33</v>
      </c>
    </row>
    <row r="695" spans="1:11">
      <c r="A695" t="s">
        <v>2633</v>
      </c>
      <c r="B695" s="15">
        <v>45463</v>
      </c>
      <c r="C695" s="4">
        <v>45444</v>
      </c>
      <c r="D695" t="s">
        <v>53</v>
      </c>
      <c r="E695" t="s">
        <v>23</v>
      </c>
      <c r="F695" t="s">
        <v>55</v>
      </c>
      <c r="G695" t="s">
        <v>270</v>
      </c>
      <c r="H695" t="s">
        <v>8</v>
      </c>
      <c r="I695" t="s">
        <v>1935</v>
      </c>
      <c r="J695" t="s">
        <v>1936</v>
      </c>
      <c r="K695" s="8">
        <v>17</v>
      </c>
    </row>
    <row r="696" spans="1:11">
      <c r="A696" t="s">
        <v>2634</v>
      </c>
      <c r="B696" s="15">
        <v>45461</v>
      </c>
      <c r="C696" s="4">
        <v>45444</v>
      </c>
      <c r="D696" t="s">
        <v>53</v>
      </c>
      <c r="E696" t="s">
        <v>23</v>
      </c>
      <c r="F696" t="s">
        <v>55</v>
      </c>
      <c r="G696" t="s">
        <v>252</v>
      </c>
      <c r="H696" t="s">
        <v>5</v>
      </c>
      <c r="I696" t="s">
        <v>1942</v>
      </c>
      <c r="J696" t="s">
        <v>1936</v>
      </c>
      <c r="K696" s="8">
        <v>8</v>
      </c>
    </row>
    <row r="697" spans="1:11">
      <c r="A697" t="s">
        <v>2635</v>
      </c>
      <c r="B697" s="15">
        <v>45456</v>
      </c>
      <c r="C697" s="4">
        <v>45444</v>
      </c>
      <c r="D697" t="s">
        <v>53</v>
      </c>
      <c r="E697" t="s">
        <v>23</v>
      </c>
      <c r="F697" t="s">
        <v>55</v>
      </c>
      <c r="G697" t="s">
        <v>240</v>
      </c>
      <c r="H697" t="s">
        <v>14</v>
      </c>
      <c r="I697" t="s">
        <v>1995</v>
      </c>
      <c r="J697" t="s">
        <v>1936</v>
      </c>
      <c r="K697" s="8">
        <v>3</v>
      </c>
    </row>
    <row r="698" spans="1:11">
      <c r="A698" t="s">
        <v>2636</v>
      </c>
      <c r="B698" s="15">
        <v>45469</v>
      </c>
      <c r="C698" s="4">
        <v>45444</v>
      </c>
      <c r="D698" t="s">
        <v>53</v>
      </c>
      <c r="E698" t="s">
        <v>23</v>
      </c>
      <c r="F698" t="s">
        <v>55</v>
      </c>
      <c r="G698" t="s">
        <v>294</v>
      </c>
      <c r="H698" t="s">
        <v>8</v>
      </c>
      <c r="I698" t="s">
        <v>1942</v>
      </c>
      <c r="J698" t="s">
        <v>1936</v>
      </c>
      <c r="K698" s="8">
        <v>7</v>
      </c>
    </row>
    <row r="699" spans="1:11">
      <c r="A699" t="s">
        <v>2637</v>
      </c>
      <c r="B699" s="15">
        <v>45460</v>
      </c>
      <c r="C699" s="4">
        <v>45444</v>
      </c>
      <c r="D699" t="s">
        <v>56</v>
      </c>
      <c r="E699" t="s">
        <v>23</v>
      </c>
      <c r="F699" t="s">
        <v>58</v>
      </c>
      <c r="G699" t="s">
        <v>242</v>
      </c>
      <c r="H699" t="s">
        <v>8</v>
      </c>
      <c r="I699" t="s">
        <v>1935</v>
      </c>
      <c r="J699" t="s">
        <v>1936</v>
      </c>
      <c r="K699" s="8">
        <v>35</v>
      </c>
    </row>
    <row r="700" spans="1:11">
      <c r="A700" t="s">
        <v>2638</v>
      </c>
      <c r="B700" s="15">
        <v>45450</v>
      </c>
      <c r="C700" s="4">
        <v>45444</v>
      </c>
      <c r="D700" t="s">
        <v>56</v>
      </c>
      <c r="E700" t="s">
        <v>23</v>
      </c>
      <c r="F700" t="s">
        <v>58</v>
      </c>
      <c r="G700" t="s">
        <v>296</v>
      </c>
      <c r="H700" t="s">
        <v>5</v>
      </c>
      <c r="I700" t="s">
        <v>1935</v>
      </c>
      <c r="J700" t="s">
        <v>1938</v>
      </c>
      <c r="K700" s="8">
        <v>12</v>
      </c>
    </row>
    <row r="701" spans="1:11">
      <c r="A701" t="s">
        <v>2639</v>
      </c>
      <c r="B701" s="15">
        <v>45459</v>
      </c>
      <c r="C701" s="4">
        <v>45444</v>
      </c>
      <c r="D701" t="s">
        <v>56</v>
      </c>
      <c r="E701" t="s">
        <v>23</v>
      </c>
      <c r="F701" t="s">
        <v>58</v>
      </c>
      <c r="G701" t="s">
        <v>284</v>
      </c>
      <c r="H701" t="s">
        <v>14</v>
      </c>
      <c r="I701" t="s">
        <v>1935</v>
      </c>
      <c r="J701" t="s">
        <v>1936</v>
      </c>
      <c r="K701" s="8">
        <v>30</v>
      </c>
    </row>
    <row r="702" spans="1:11">
      <c r="A702" t="s">
        <v>2640</v>
      </c>
      <c r="B702" s="15">
        <v>45468</v>
      </c>
      <c r="C702" s="4">
        <v>45444</v>
      </c>
      <c r="D702" t="s">
        <v>56</v>
      </c>
      <c r="E702" t="s">
        <v>23</v>
      </c>
      <c r="F702" t="s">
        <v>58</v>
      </c>
      <c r="G702" t="s">
        <v>278</v>
      </c>
      <c r="H702" t="s">
        <v>5</v>
      </c>
      <c r="I702" t="s">
        <v>1942</v>
      </c>
      <c r="J702" t="s">
        <v>1936</v>
      </c>
      <c r="K702" s="8">
        <v>6</v>
      </c>
    </row>
    <row r="703" spans="1:11">
      <c r="A703" t="s">
        <v>2641</v>
      </c>
      <c r="B703" s="15">
        <v>45444</v>
      </c>
      <c r="C703" s="4">
        <v>45444</v>
      </c>
      <c r="D703" t="s">
        <v>56</v>
      </c>
      <c r="E703" t="s">
        <v>23</v>
      </c>
      <c r="F703" t="s">
        <v>58</v>
      </c>
      <c r="G703" t="s">
        <v>308</v>
      </c>
      <c r="H703" t="s">
        <v>11</v>
      </c>
      <c r="I703" t="s">
        <v>1935</v>
      </c>
      <c r="J703" t="s">
        <v>1936</v>
      </c>
      <c r="K703" s="8">
        <v>34</v>
      </c>
    </row>
    <row r="704" spans="1:11">
      <c r="A704" t="s">
        <v>2642</v>
      </c>
      <c r="B704" s="15">
        <v>45470</v>
      </c>
      <c r="C704" s="4">
        <v>45444</v>
      </c>
      <c r="D704" t="s">
        <v>56</v>
      </c>
      <c r="E704" t="s">
        <v>23</v>
      </c>
      <c r="F704" t="s">
        <v>58</v>
      </c>
      <c r="G704" t="s">
        <v>302</v>
      </c>
      <c r="H704" t="s">
        <v>5</v>
      </c>
      <c r="I704" t="s">
        <v>1935</v>
      </c>
      <c r="J704" t="s">
        <v>1936</v>
      </c>
      <c r="K704" s="8">
        <v>11</v>
      </c>
    </row>
    <row r="705" spans="1:11">
      <c r="A705" t="s">
        <v>2643</v>
      </c>
      <c r="B705" s="15">
        <v>45473</v>
      </c>
      <c r="C705" s="4">
        <v>45444</v>
      </c>
      <c r="D705" t="s">
        <v>56</v>
      </c>
      <c r="E705" t="s">
        <v>23</v>
      </c>
      <c r="F705" t="s">
        <v>58</v>
      </c>
      <c r="G705" t="s">
        <v>290</v>
      </c>
      <c r="H705" t="s">
        <v>8</v>
      </c>
      <c r="I705" t="s">
        <v>1942</v>
      </c>
      <c r="J705" t="s">
        <v>1936</v>
      </c>
      <c r="K705" s="8">
        <v>0</v>
      </c>
    </row>
    <row r="706" spans="1:11">
      <c r="A706" t="s">
        <v>2644</v>
      </c>
      <c r="B706" s="15">
        <v>45463</v>
      </c>
      <c r="C706" s="4">
        <v>45444</v>
      </c>
      <c r="D706" t="s">
        <v>56</v>
      </c>
      <c r="E706" t="s">
        <v>23</v>
      </c>
      <c r="F706" t="s">
        <v>58</v>
      </c>
      <c r="G706" t="s">
        <v>260</v>
      </c>
      <c r="H706" t="s">
        <v>8</v>
      </c>
      <c r="I706" t="s">
        <v>1935</v>
      </c>
      <c r="J706" t="s">
        <v>1936</v>
      </c>
      <c r="K706" s="8">
        <v>14</v>
      </c>
    </row>
    <row r="707" spans="1:11">
      <c r="A707" t="s">
        <v>2645</v>
      </c>
      <c r="B707" s="15">
        <v>45459</v>
      </c>
      <c r="C707" s="4">
        <v>45444</v>
      </c>
      <c r="D707" t="s">
        <v>56</v>
      </c>
      <c r="E707" t="s">
        <v>23</v>
      </c>
      <c r="F707" t="s">
        <v>58</v>
      </c>
      <c r="G707" t="s">
        <v>308</v>
      </c>
      <c r="H707" t="s">
        <v>11</v>
      </c>
      <c r="I707" t="s">
        <v>1935</v>
      </c>
      <c r="J707" t="s">
        <v>1936</v>
      </c>
      <c r="K707" s="8">
        <v>28</v>
      </c>
    </row>
    <row r="708" spans="1:11">
      <c r="A708" t="s">
        <v>2646</v>
      </c>
      <c r="B708" s="15">
        <v>45446</v>
      </c>
      <c r="C708" s="4">
        <v>45444</v>
      </c>
      <c r="D708" t="s">
        <v>56</v>
      </c>
      <c r="E708" t="s">
        <v>23</v>
      </c>
      <c r="F708" t="s">
        <v>58</v>
      </c>
      <c r="G708" t="s">
        <v>308</v>
      </c>
      <c r="H708" t="s">
        <v>11</v>
      </c>
      <c r="I708" t="s">
        <v>1935</v>
      </c>
      <c r="J708" t="s">
        <v>1936</v>
      </c>
      <c r="K708" s="8">
        <v>20</v>
      </c>
    </row>
    <row r="709" spans="1:11">
      <c r="A709" t="s">
        <v>2647</v>
      </c>
      <c r="B709" s="15">
        <v>45453</v>
      </c>
      <c r="C709" s="4">
        <v>45444</v>
      </c>
      <c r="D709" t="s">
        <v>56</v>
      </c>
      <c r="E709" t="s">
        <v>23</v>
      </c>
      <c r="F709" t="s">
        <v>58</v>
      </c>
      <c r="G709" t="s">
        <v>302</v>
      </c>
      <c r="H709" t="s">
        <v>5</v>
      </c>
      <c r="I709" t="s">
        <v>1935</v>
      </c>
      <c r="J709" t="s">
        <v>1936</v>
      </c>
      <c r="K709" s="8">
        <v>33</v>
      </c>
    </row>
    <row r="710" spans="1:11">
      <c r="A710" t="s">
        <v>2648</v>
      </c>
      <c r="B710" s="15">
        <v>45447</v>
      </c>
      <c r="C710" s="4">
        <v>45444</v>
      </c>
      <c r="D710" t="s">
        <v>59</v>
      </c>
      <c r="E710" t="s">
        <v>25</v>
      </c>
      <c r="F710" t="s">
        <v>61</v>
      </c>
      <c r="G710" t="s">
        <v>374</v>
      </c>
      <c r="H710" t="s">
        <v>11</v>
      </c>
      <c r="I710" t="s">
        <v>1935</v>
      </c>
      <c r="J710" t="s">
        <v>1938</v>
      </c>
      <c r="K710" s="8">
        <v>35</v>
      </c>
    </row>
    <row r="711" spans="1:11">
      <c r="A711" t="s">
        <v>2649</v>
      </c>
      <c r="B711" s="15">
        <v>45461</v>
      </c>
      <c r="C711" s="4">
        <v>45444</v>
      </c>
      <c r="D711" t="s">
        <v>59</v>
      </c>
      <c r="E711" t="s">
        <v>25</v>
      </c>
      <c r="F711" t="s">
        <v>61</v>
      </c>
      <c r="G711" t="s">
        <v>344</v>
      </c>
      <c r="H711" t="s">
        <v>8</v>
      </c>
      <c r="I711" t="s">
        <v>1935</v>
      </c>
      <c r="J711" t="s">
        <v>1936</v>
      </c>
      <c r="K711" s="8">
        <v>27</v>
      </c>
    </row>
    <row r="712" spans="1:11">
      <c r="A712" t="s">
        <v>2650</v>
      </c>
      <c r="B712" s="15">
        <v>45450</v>
      </c>
      <c r="C712" s="4">
        <v>45444</v>
      </c>
      <c r="D712" t="s">
        <v>59</v>
      </c>
      <c r="E712" t="s">
        <v>25</v>
      </c>
      <c r="F712" t="s">
        <v>61</v>
      </c>
      <c r="G712" t="s">
        <v>332</v>
      </c>
      <c r="H712" t="s">
        <v>8</v>
      </c>
      <c r="I712" t="s">
        <v>1935</v>
      </c>
      <c r="J712" t="s">
        <v>1936</v>
      </c>
      <c r="K712" s="8">
        <v>13</v>
      </c>
    </row>
    <row r="713" spans="1:11">
      <c r="A713" t="s">
        <v>2651</v>
      </c>
      <c r="B713" s="15">
        <v>45468</v>
      </c>
      <c r="C713" s="4">
        <v>45444</v>
      </c>
      <c r="D713" t="s">
        <v>59</v>
      </c>
      <c r="E713" t="s">
        <v>25</v>
      </c>
      <c r="F713" t="s">
        <v>61</v>
      </c>
      <c r="G713" t="s">
        <v>326</v>
      </c>
      <c r="H713" t="s">
        <v>8</v>
      </c>
      <c r="I713" t="s">
        <v>1935</v>
      </c>
      <c r="J713" t="s">
        <v>1938</v>
      </c>
      <c r="K713" s="8">
        <v>33</v>
      </c>
    </row>
    <row r="714" spans="1:11">
      <c r="A714" t="s">
        <v>2652</v>
      </c>
      <c r="B714" s="15">
        <v>45458</v>
      </c>
      <c r="C714" s="4">
        <v>45444</v>
      </c>
      <c r="D714" t="s">
        <v>59</v>
      </c>
      <c r="E714" t="s">
        <v>25</v>
      </c>
      <c r="F714" t="s">
        <v>61</v>
      </c>
      <c r="G714" t="s">
        <v>326</v>
      </c>
      <c r="H714" t="s">
        <v>5</v>
      </c>
      <c r="I714" t="s">
        <v>1935</v>
      </c>
      <c r="J714" t="s">
        <v>1936</v>
      </c>
      <c r="K714" s="8">
        <v>33</v>
      </c>
    </row>
    <row r="715" spans="1:11">
      <c r="A715" t="s">
        <v>2653</v>
      </c>
      <c r="B715" s="15">
        <v>45456</v>
      </c>
      <c r="C715" s="4">
        <v>45444</v>
      </c>
      <c r="D715" t="s">
        <v>59</v>
      </c>
      <c r="E715" t="s">
        <v>25</v>
      </c>
      <c r="F715" t="s">
        <v>61</v>
      </c>
      <c r="G715" t="s">
        <v>332</v>
      </c>
      <c r="H715" t="s">
        <v>8</v>
      </c>
      <c r="I715" t="s">
        <v>1935</v>
      </c>
      <c r="J715" t="s">
        <v>1954</v>
      </c>
      <c r="K715" s="8">
        <v>29</v>
      </c>
    </row>
    <row r="716" spans="1:11">
      <c r="A716" t="s">
        <v>2654</v>
      </c>
      <c r="B716" s="15">
        <v>45469</v>
      </c>
      <c r="C716" s="4">
        <v>45444</v>
      </c>
      <c r="D716" t="s">
        <v>59</v>
      </c>
      <c r="E716" t="s">
        <v>25</v>
      </c>
      <c r="F716" t="s">
        <v>61</v>
      </c>
      <c r="G716" t="s">
        <v>374</v>
      </c>
      <c r="H716" t="s">
        <v>8</v>
      </c>
      <c r="I716" t="s">
        <v>1935</v>
      </c>
      <c r="J716" t="s">
        <v>1936</v>
      </c>
      <c r="K716" s="8">
        <v>20</v>
      </c>
    </row>
    <row r="717" spans="1:11">
      <c r="A717" t="s">
        <v>2655</v>
      </c>
      <c r="B717" s="15">
        <v>45453</v>
      </c>
      <c r="C717" s="4">
        <v>45444</v>
      </c>
      <c r="D717" t="s">
        <v>59</v>
      </c>
      <c r="E717" t="s">
        <v>25</v>
      </c>
      <c r="F717" t="s">
        <v>61</v>
      </c>
      <c r="G717" t="s">
        <v>326</v>
      </c>
      <c r="H717" t="s">
        <v>14</v>
      </c>
      <c r="I717" t="s">
        <v>1935</v>
      </c>
      <c r="J717" t="s">
        <v>1936</v>
      </c>
      <c r="K717" s="8">
        <v>23</v>
      </c>
    </row>
    <row r="718" spans="1:11">
      <c r="A718" t="s">
        <v>2656</v>
      </c>
      <c r="B718" s="15">
        <v>45458</v>
      </c>
      <c r="C718" s="4">
        <v>45444</v>
      </c>
      <c r="D718" t="s">
        <v>59</v>
      </c>
      <c r="E718" t="s">
        <v>25</v>
      </c>
      <c r="F718" t="s">
        <v>61</v>
      </c>
      <c r="G718" t="s">
        <v>320</v>
      </c>
      <c r="H718" t="s">
        <v>11</v>
      </c>
      <c r="I718" t="s">
        <v>1935</v>
      </c>
      <c r="J718" t="s">
        <v>1936</v>
      </c>
      <c r="K718" s="8">
        <v>28</v>
      </c>
    </row>
    <row r="719" spans="1:11">
      <c r="A719" t="s">
        <v>2657</v>
      </c>
      <c r="B719" s="15">
        <v>45461</v>
      </c>
      <c r="C719" s="4">
        <v>45444</v>
      </c>
      <c r="D719" t="s">
        <v>59</v>
      </c>
      <c r="E719" t="s">
        <v>25</v>
      </c>
      <c r="F719" t="s">
        <v>61</v>
      </c>
      <c r="G719" t="s">
        <v>380</v>
      </c>
      <c r="H719" t="s">
        <v>11</v>
      </c>
      <c r="I719" t="s">
        <v>1935</v>
      </c>
      <c r="J719" t="s">
        <v>1936</v>
      </c>
      <c r="K719" s="8">
        <v>35</v>
      </c>
    </row>
    <row r="720" spans="1:11">
      <c r="A720" t="s">
        <v>2658</v>
      </c>
      <c r="B720" s="15">
        <v>45457</v>
      </c>
      <c r="C720" s="4">
        <v>45444</v>
      </c>
      <c r="D720" t="s">
        <v>62</v>
      </c>
      <c r="E720" t="s">
        <v>25</v>
      </c>
      <c r="F720" t="s">
        <v>64</v>
      </c>
      <c r="G720" t="s">
        <v>340</v>
      </c>
      <c r="H720" t="s">
        <v>8</v>
      </c>
      <c r="I720" t="s">
        <v>1935</v>
      </c>
      <c r="J720" t="s">
        <v>1936</v>
      </c>
      <c r="K720" s="8">
        <v>8</v>
      </c>
    </row>
    <row r="721" spans="1:11">
      <c r="A721" t="s">
        <v>2659</v>
      </c>
      <c r="B721" s="15">
        <v>45459</v>
      </c>
      <c r="C721" s="4">
        <v>45444</v>
      </c>
      <c r="D721" t="s">
        <v>62</v>
      </c>
      <c r="E721" t="s">
        <v>25</v>
      </c>
      <c r="F721" t="s">
        <v>64</v>
      </c>
      <c r="G721" t="s">
        <v>322</v>
      </c>
      <c r="H721" t="s">
        <v>14</v>
      </c>
      <c r="I721" t="s">
        <v>1935</v>
      </c>
      <c r="J721" t="s">
        <v>1936</v>
      </c>
      <c r="K721" s="8">
        <v>34</v>
      </c>
    </row>
    <row r="722" spans="1:11">
      <c r="A722" t="s">
        <v>2660</v>
      </c>
      <c r="B722" s="15">
        <v>45457</v>
      </c>
      <c r="C722" s="4">
        <v>45444</v>
      </c>
      <c r="D722" t="s">
        <v>62</v>
      </c>
      <c r="E722" t="s">
        <v>25</v>
      </c>
      <c r="F722" t="s">
        <v>64</v>
      </c>
      <c r="G722" t="s">
        <v>322</v>
      </c>
      <c r="H722" t="s">
        <v>11</v>
      </c>
      <c r="I722" t="s">
        <v>1935</v>
      </c>
      <c r="J722" t="s">
        <v>1936</v>
      </c>
      <c r="K722" s="8">
        <v>34</v>
      </c>
    </row>
    <row r="723" spans="1:11">
      <c r="A723" t="s">
        <v>2661</v>
      </c>
      <c r="B723" s="15">
        <v>45472</v>
      </c>
      <c r="C723" s="4">
        <v>45444</v>
      </c>
      <c r="D723" t="s">
        <v>62</v>
      </c>
      <c r="E723" t="s">
        <v>25</v>
      </c>
      <c r="F723" t="s">
        <v>64</v>
      </c>
      <c r="G723" t="s">
        <v>346</v>
      </c>
      <c r="H723" t="s">
        <v>14</v>
      </c>
      <c r="I723" t="s">
        <v>1935</v>
      </c>
      <c r="J723" t="s">
        <v>1936</v>
      </c>
      <c r="K723" s="8">
        <v>14</v>
      </c>
    </row>
    <row r="724" spans="1:11">
      <c r="A724" t="s">
        <v>2662</v>
      </c>
      <c r="B724" s="15">
        <v>45453</v>
      </c>
      <c r="C724" s="4">
        <v>45444</v>
      </c>
      <c r="D724" t="s">
        <v>62</v>
      </c>
      <c r="E724" t="s">
        <v>25</v>
      </c>
      <c r="F724" t="s">
        <v>64</v>
      </c>
      <c r="G724" t="s">
        <v>364</v>
      </c>
      <c r="H724" t="s">
        <v>14</v>
      </c>
      <c r="I724" t="s">
        <v>1935</v>
      </c>
      <c r="J724" t="s">
        <v>1938</v>
      </c>
      <c r="K724" s="8">
        <v>12</v>
      </c>
    </row>
    <row r="725" spans="1:11">
      <c r="A725" t="s">
        <v>2663</v>
      </c>
      <c r="B725" s="15">
        <v>45445</v>
      </c>
      <c r="C725" s="4">
        <v>45444</v>
      </c>
      <c r="D725" t="s">
        <v>62</v>
      </c>
      <c r="E725" t="s">
        <v>25</v>
      </c>
      <c r="F725" t="s">
        <v>64</v>
      </c>
      <c r="G725" t="s">
        <v>358</v>
      </c>
      <c r="H725" t="s">
        <v>8</v>
      </c>
      <c r="I725" t="s">
        <v>1935</v>
      </c>
      <c r="J725" t="s">
        <v>1936</v>
      </c>
      <c r="K725" s="8">
        <v>16</v>
      </c>
    </row>
    <row r="726" spans="1:11">
      <c r="A726" t="s">
        <v>2664</v>
      </c>
      <c r="B726" s="15">
        <v>45454</v>
      </c>
      <c r="C726" s="4">
        <v>45444</v>
      </c>
      <c r="D726" t="s">
        <v>62</v>
      </c>
      <c r="E726" t="s">
        <v>25</v>
      </c>
      <c r="F726" t="s">
        <v>64</v>
      </c>
      <c r="G726" t="s">
        <v>370</v>
      </c>
      <c r="H726" t="s">
        <v>5</v>
      </c>
      <c r="I726" t="s">
        <v>1942</v>
      </c>
      <c r="J726" t="s">
        <v>1936</v>
      </c>
      <c r="K726" s="8">
        <v>7</v>
      </c>
    </row>
    <row r="727" spans="1:11">
      <c r="A727" t="s">
        <v>2665</v>
      </c>
      <c r="B727" s="15">
        <v>45456</v>
      </c>
      <c r="C727" s="4">
        <v>45444</v>
      </c>
      <c r="D727" t="s">
        <v>62</v>
      </c>
      <c r="E727" t="s">
        <v>25</v>
      </c>
      <c r="F727" t="s">
        <v>64</v>
      </c>
      <c r="G727" t="s">
        <v>370</v>
      </c>
      <c r="H727" t="s">
        <v>8</v>
      </c>
      <c r="I727" t="s">
        <v>1935</v>
      </c>
      <c r="J727" t="s">
        <v>1936</v>
      </c>
      <c r="K727" s="8">
        <v>27</v>
      </c>
    </row>
    <row r="728" spans="1:11">
      <c r="A728" t="s">
        <v>2666</v>
      </c>
      <c r="B728" s="15">
        <v>45468</v>
      </c>
      <c r="C728" s="4">
        <v>45444</v>
      </c>
      <c r="D728" t="s">
        <v>62</v>
      </c>
      <c r="E728" t="s">
        <v>25</v>
      </c>
      <c r="F728" t="s">
        <v>64</v>
      </c>
      <c r="G728" t="s">
        <v>316</v>
      </c>
      <c r="H728" t="s">
        <v>8</v>
      </c>
      <c r="I728" t="s">
        <v>1935</v>
      </c>
      <c r="J728" t="s">
        <v>1954</v>
      </c>
      <c r="K728" s="8">
        <v>19</v>
      </c>
    </row>
    <row r="729" spans="1:11">
      <c r="A729" t="s">
        <v>2667</v>
      </c>
      <c r="B729" s="15">
        <v>45467</v>
      </c>
      <c r="C729" s="4">
        <v>45444</v>
      </c>
      <c r="D729" t="s">
        <v>65</v>
      </c>
      <c r="E729" t="s">
        <v>25</v>
      </c>
      <c r="F729" t="s">
        <v>67</v>
      </c>
      <c r="G729" t="s">
        <v>372</v>
      </c>
      <c r="H729" t="s">
        <v>5</v>
      </c>
      <c r="I729" t="s">
        <v>1942</v>
      </c>
      <c r="J729" t="s">
        <v>1936</v>
      </c>
      <c r="K729" s="8">
        <v>0</v>
      </c>
    </row>
    <row r="730" spans="1:11">
      <c r="A730" t="s">
        <v>2668</v>
      </c>
      <c r="B730" s="15">
        <v>45448</v>
      </c>
      <c r="C730" s="4">
        <v>45444</v>
      </c>
      <c r="D730" t="s">
        <v>65</v>
      </c>
      <c r="E730" t="s">
        <v>25</v>
      </c>
      <c r="F730" t="s">
        <v>67</v>
      </c>
      <c r="G730" t="s">
        <v>354</v>
      </c>
      <c r="H730" t="s">
        <v>11</v>
      </c>
      <c r="I730" t="s">
        <v>1935</v>
      </c>
      <c r="J730" t="s">
        <v>1936</v>
      </c>
      <c r="K730" s="8">
        <v>11</v>
      </c>
    </row>
    <row r="731" spans="1:11">
      <c r="A731" t="s">
        <v>2669</v>
      </c>
      <c r="B731" s="15">
        <v>45466</v>
      </c>
      <c r="C731" s="4">
        <v>45444</v>
      </c>
      <c r="D731" t="s">
        <v>65</v>
      </c>
      <c r="E731" t="s">
        <v>25</v>
      </c>
      <c r="F731" t="s">
        <v>67</v>
      </c>
      <c r="G731" t="s">
        <v>348</v>
      </c>
      <c r="H731" t="s">
        <v>11</v>
      </c>
      <c r="I731" t="s">
        <v>1935</v>
      </c>
      <c r="J731" t="s">
        <v>1936</v>
      </c>
      <c r="K731" s="8">
        <v>15</v>
      </c>
    </row>
    <row r="732" spans="1:11">
      <c r="A732" t="s">
        <v>2670</v>
      </c>
      <c r="B732" s="15">
        <v>45457</v>
      </c>
      <c r="C732" s="4">
        <v>45444</v>
      </c>
      <c r="D732" t="s">
        <v>65</v>
      </c>
      <c r="E732" t="s">
        <v>25</v>
      </c>
      <c r="F732" t="s">
        <v>67</v>
      </c>
      <c r="G732" t="s">
        <v>354</v>
      </c>
      <c r="H732" t="s">
        <v>5</v>
      </c>
      <c r="I732" t="s">
        <v>1935</v>
      </c>
      <c r="J732" t="s">
        <v>1938</v>
      </c>
      <c r="K732" s="8">
        <v>17</v>
      </c>
    </row>
    <row r="733" spans="1:11">
      <c r="A733" t="s">
        <v>2671</v>
      </c>
      <c r="B733" s="15">
        <v>45458</v>
      </c>
      <c r="C733" s="4">
        <v>45444</v>
      </c>
      <c r="D733" t="s">
        <v>65</v>
      </c>
      <c r="E733" t="s">
        <v>25</v>
      </c>
      <c r="F733" t="s">
        <v>67</v>
      </c>
      <c r="G733" t="s">
        <v>354</v>
      </c>
      <c r="H733" t="s">
        <v>8</v>
      </c>
      <c r="I733" t="s">
        <v>1935</v>
      </c>
      <c r="J733" t="s">
        <v>1936</v>
      </c>
      <c r="K733" s="8">
        <v>30</v>
      </c>
    </row>
    <row r="734" spans="1:11">
      <c r="A734" t="s">
        <v>2672</v>
      </c>
      <c r="B734" s="15">
        <v>45469</v>
      </c>
      <c r="C734" s="4">
        <v>45444</v>
      </c>
      <c r="D734" t="s">
        <v>65</v>
      </c>
      <c r="E734" t="s">
        <v>25</v>
      </c>
      <c r="F734" t="s">
        <v>67</v>
      </c>
      <c r="G734" t="s">
        <v>372</v>
      </c>
      <c r="H734" t="s">
        <v>5</v>
      </c>
      <c r="I734" t="s">
        <v>1935</v>
      </c>
      <c r="J734" t="s">
        <v>1936</v>
      </c>
      <c r="K734" s="8">
        <v>35</v>
      </c>
    </row>
    <row r="735" spans="1:11">
      <c r="A735" t="s">
        <v>2673</v>
      </c>
      <c r="B735" s="15">
        <v>45466</v>
      </c>
      <c r="C735" s="4">
        <v>45444</v>
      </c>
      <c r="D735" t="s">
        <v>65</v>
      </c>
      <c r="E735" t="s">
        <v>25</v>
      </c>
      <c r="F735" t="s">
        <v>67</v>
      </c>
      <c r="G735" t="s">
        <v>318</v>
      </c>
      <c r="H735" t="s">
        <v>14</v>
      </c>
      <c r="I735" t="s">
        <v>1935</v>
      </c>
      <c r="J735" t="s">
        <v>1936</v>
      </c>
      <c r="K735" s="8">
        <v>13</v>
      </c>
    </row>
    <row r="736" spans="1:11">
      <c r="A736" t="s">
        <v>2674</v>
      </c>
      <c r="B736" s="15">
        <v>45451</v>
      </c>
      <c r="C736" s="4">
        <v>45444</v>
      </c>
      <c r="D736" t="s">
        <v>65</v>
      </c>
      <c r="E736" t="s">
        <v>25</v>
      </c>
      <c r="F736" t="s">
        <v>67</v>
      </c>
      <c r="G736" t="s">
        <v>354</v>
      </c>
      <c r="H736" t="s">
        <v>14</v>
      </c>
      <c r="I736" t="s">
        <v>1935</v>
      </c>
      <c r="J736" t="s">
        <v>1954</v>
      </c>
      <c r="K736" s="8">
        <v>13</v>
      </c>
    </row>
    <row r="737" spans="1:11">
      <c r="A737" t="s">
        <v>2675</v>
      </c>
      <c r="B737" s="15">
        <v>45449</v>
      </c>
      <c r="C737" s="4">
        <v>45444</v>
      </c>
      <c r="D737" t="s">
        <v>65</v>
      </c>
      <c r="E737" t="s">
        <v>25</v>
      </c>
      <c r="F737" t="s">
        <v>67</v>
      </c>
      <c r="G737" t="s">
        <v>354</v>
      </c>
      <c r="H737" t="s">
        <v>11</v>
      </c>
      <c r="I737" t="s">
        <v>1935</v>
      </c>
      <c r="J737" t="s">
        <v>1936</v>
      </c>
      <c r="K737" s="8">
        <v>21</v>
      </c>
    </row>
    <row r="738" spans="1:11">
      <c r="A738" t="s">
        <v>2676</v>
      </c>
      <c r="B738" s="15">
        <v>45486</v>
      </c>
      <c r="C738" s="4">
        <v>45474</v>
      </c>
      <c r="D738" t="s">
        <v>32</v>
      </c>
      <c r="E738" t="s">
        <v>19</v>
      </c>
      <c r="F738" t="s">
        <v>34</v>
      </c>
      <c r="G738" t="s">
        <v>92</v>
      </c>
      <c r="H738" t="s">
        <v>8</v>
      </c>
      <c r="I738" t="s">
        <v>1935</v>
      </c>
      <c r="J738" t="s">
        <v>1936</v>
      </c>
      <c r="K738" s="8">
        <v>31</v>
      </c>
    </row>
    <row r="739" spans="1:11">
      <c r="A739" t="s">
        <v>2677</v>
      </c>
      <c r="B739" s="15">
        <v>45499</v>
      </c>
      <c r="C739" s="4">
        <v>45474</v>
      </c>
      <c r="D739" t="s">
        <v>32</v>
      </c>
      <c r="E739" t="s">
        <v>19</v>
      </c>
      <c r="F739" t="s">
        <v>34</v>
      </c>
      <c r="G739" t="s">
        <v>118</v>
      </c>
      <c r="H739" t="s">
        <v>5</v>
      </c>
      <c r="I739" t="s">
        <v>1935</v>
      </c>
      <c r="J739" t="s">
        <v>1936</v>
      </c>
      <c r="K739" s="8">
        <v>23</v>
      </c>
    </row>
    <row r="740" spans="1:11">
      <c r="A740" t="s">
        <v>2678</v>
      </c>
      <c r="B740" s="15">
        <v>45488</v>
      </c>
      <c r="C740" s="4">
        <v>45474</v>
      </c>
      <c r="D740" t="s">
        <v>32</v>
      </c>
      <c r="E740" t="s">
        <v>19</v>
      </c>
      <c r="F740" t="s">
        <v>34</v>
      </c>
      <c r="G740" t="s">
        <v>105</v>
      </c>
      <c r="H740" t="s">
        <v>8</v>
      </c>
      <c r="I740" t="s">
        <v>1935</v>
      </c>
      <c r="J740" t="s">
        <v>1936</v>
      </c>
      <c r="K740" s="8">
        <v>18</v>
      </c>
    </row>
    <row r="741" spans="1:11">
      <c r="A741" t="s">
        <v>2679</v>
      </c>
      <c r="B741" s="15">
        <v>45489</v>
      </c>
      <c r="C741" s="4">
        <v>45474</v>
      </c>
      <c r="D741" t="s">
        <v>32</v>
      </c>
      <c r="E741" t="s">
        <v>19</v>
      </c>
      <c r="F741" t="s">
        <v>34</v>
      </c>
      <c r="G741" t="s">
        <v>105</v>
      </c>
      <c r="H741" t="s">
        <v>11</v>
      </c>
      <c r="I741" t="s">
        <v>1935</v>
      </c>
      <c r="J741" t="s">
        <v>1936</v>
      </c>
      <c r="K741" s="8">
        <v>18</v>
      </c>
    </row>
    <row r="742" spans="1:11">
      <c r="A742" t="s">
        <v>2680</v>
      </c>
      <c r="B742" s="15">
        <v>45486</v>
      </c>
      <c r="C742" s="4">
        <v>45474</v>
      </c>
      <c r="D742" t="s">
        <v>32</v>
      </c>
      <c r="E742" t="s">
        <v>19</v>
      </c>
      <c r="F742" t="s">
        <v>34</v>
      </c>
      <c r="G742" t="s">
        <v>92</v>
      </c>
      <c r="H742" t="s">
        <v>5</v>
      </c>
      <c r="I742" t="s">
        <v>1935</v>
      </c>
      <c r="J742" t="s">
        <v>1938</v>
      </c>
      <c r="K742" s="8">
        <v>22</v>
      </c>
    </row>
    <row r="743" spans="1:11">
      <c r="A743" t="s">
        <v>2681</v>
      </c>
      <c r="B743" s="15">
        <v>45485</v>
      </c>
      <c r="C743" s="4">
        <v>45474</v>
      </c>
      <c r="D743" t="s">
        <v>32</v>
      </c>
      <c r="E743" t="s">
        <v>19</v>
      </c>
      <c r="F743" t="s">
        <v>34</v>
      </c>
      <c r="G743" t="s">
        <v>92</v>
      </c>
      <c r="H743" t="s">
        <v>8</v>
      </c>
      <c r="I743" t="s">
        <v>1935</v>
      </c>
      <c r="J743" t="s">
        <v>1936</v>
      </c>
      <c r="K743" s="8">
        <v>20</v>
      </c>
    </row>
    <row r="744" spans="1:11">
      <c r="A744" t="s">
        <v>2682</v>
      </c>
      <c r="B744" s="15">
        <v>45501</v>
      </c>
      <c r="C744" s="4">
        <v>45474</v>
      </c>
      <c r="D744" t="s">
        <v>32</v>
      </c>
      <c r="E744" t="s">
        <v>19</v>
      </c>
      <c r="F744" t="s">
        <v>34</v>
      </c>
      <c r="G744" t="s">
        <v>154</v>
      </c>
      <c r="H744" t="s">
        <v>14</v>
      </c>
      <c r="I744" t="s">
        <v>1935</v>
      </c>
      <c r="J744" t="s">
        <v>1936</v>
      </c>
      <c r="K744" s="8">
        <v>22</v>
      </c>
    </row>
    <row r="745" spans="1:11">
      <c r="A745" t="s">
        <v>2683</v>
      </c>
      <c r="B745" s="15">
        <v>45485</v>
      </c>
      <c r="C745" s="4">
        <v>45474</v>
      </c>
      <c r="D745" t="s">
        <v>32</v>
      </c>
      <c r="E745" t="s">
        <v>19</v>
      </c>
      <c r="F745" t="s">
        <v>34</v>
      </c>
      <c r="G745" t="s">
        <v>136</v>
      </c>
      <c r="H745" t="s">
        <v>11</v>
      </c>
      <c r="I745" t="s">
        <v>1935</v>
      </c>
      <c r="J745" t="s">
        <v>1938</v>
      </c>
      <c r="K745" s="8">
        <v>19</v>
      </c>
    </row>
    <row r="746" spans="1:11">
      <c r="A746" t="s">
        <v>2684</v>
      </c>
      <c r="B746" s="15">
        <v>45481</v>
      </c>
      <c r="C746" s="4">
        <v>45474</v>
      </c>
      <c r="D746" t="s">
        <v>32</v>
      </c>
      <c r="E746" t="s">
        <v>19</v>
      </c>
      <c r="F746" t="s">
        <v>34</v>
      </c>
      <c r="G746" t="s">
        <v>136</v>
      </c>
      <c r="H746" t="s">
        <v>5</v>
      </c>
      <c r="I746" t="s">
        <v>1935</v>
      </c>
      <c r="J746" t="s">
        <v>1936</v>
      </c>
      <c r="K746" s="8">
        <v>12</v>
      </c>
    </row>
    <row r="747" spans="1:11">
      <c r="A747" t="s">
        <v>2685</v>
      </c>
      <c r="B747" s="15">
        <v>45484</v>
      </c>
      <c r="C747" s="4">
        <v>45474</v>
      </c>
      <c r="D747" t="s">
        <v>32</v>
      </c>
      <c r="E747" t="s">
        <v>19</v>
      </c>
      <c r="F747" t="s">
        <v>34</v>
      </c>
      <c r="G747" t="s">
        <v>136</v>
      </c>
      <c r="H747" t="s">
        <v>11</v>
      </c>
      <c r="I747" t="s">
        <v>1935</v>
      </c>
      <c r="J747" t="s">
        <v>1936</v>
      </c>
      <c r="K747" s="8">
        <v>14</v>
      </c>
    </row>
    <row r="748" spans="1:11">
      <c r="A748" t="s">
        <v>2686</v>
      </c>
      <c r="B748" s="15">
        <v>45475</v>
      </c>
      <c r="C748" s="4">
        <v>45474</v>
      </c>
      <c r="D748" t="s">
        <v>35</v>
      </c>
      <c r="E748" t="s">
        <v>19</v>
      </c>
      <c r="F748" t="s">
        <v>37</v>
      </c>
      <c r="G748" t="s">
        <v>107</v>
      </c>
      <c r="H748" t="s">
        <v>8</v>
      </c>
      <c r="I748" t="s">
        <v>1935</v>
      </c>
      <c r="J748" t="s">
        <v>1936</v>
      </c>
      <c r="K748" s="8">
        <v>22</v>
      </c>
    </row>
    <row r="749" spans="1:11">
      <c r="A749" t="s">
        <v>2687</v>
      </c>
      <c r="B749" s="15">
        <v>45504</v>
      </c>
      <c r="C749" s="4">
        <v>45474</v>
      </c>
      <c r="D749" t="s">
        <v>35</v>
      </c>
      <c r="E749" t="s">
        <v>19</v>
      </c>
      <c r="F749" t="s">
        <v>37</v>
      </c>
      <c r="G749" t="s">
        <v>88</v>
      </c>
      <c r="H749" t="s">
        <v>8</v>
      </c>
      <c r="I749" t="s">
        <v>1935</v>
      </c>
      <c r="J749" t="s">
        <v>1936</v>
      </c>
      <c r="K749" s="8">
        <v>33</v>
      </c>
    </row>
    <row r="750" spans="1:11">
      <c r="A750" t="s">
        <v>2688</v>
      </c>
      <c r="B750" s="15">
        <v>45499</v>
      </c>
      <c r="C750" s="4">
        <v>45474</v>
      </c>
      <c r="D750" t="s">
        <v>35</v>
      </c>
      <c r="E750" t="s">
        <v>19</v>
      </c>
      <c r="F750" t="s">
        <v>37</v>
      </c>
      <c r="G750" t="s">
        <v>78</v>
      </c>
      <c r="H750" t="s">
        <v>8</v>
      </c>
      <c r="I750" t="s">
        <v>1935</v>
      </c>
      <c r="J750" t="s">
        <v>1936</v>
      </c>
      <c r="K750" s="8">
        <v>9</v>
      </c>
    </row>
    <row r="751" spans="1:11">
      <c r="A751" t="s">
        <v>2689</v>
      </c>
      <c r="B751" s="15">
        <v>45498</v>
      </c>
      <c r="C751" s="4">
        <v>45474</v>
      </c>
      <c r="D751" t="s">
        <v>35</v>
      </c>
      <c r="E751" t="s">
        <v>19</v>
      </c>
      <c r="F751" t="s">
        <v>37</v>
      </c>
      <c r="G751" t="s">
        <v>107</v>
      </c>
      <c r="H751" t="s">
        <v>8</v>
      </c>
      <c r="I751" t="s">
        <v>1935</v>
      </c>
      <c r="J751" t="s">
        <v>1936</v>
      </c>
      <c r="K751" s="8">
        <v>11</v>
      </c>
    </row>
    <row r="752" spans="1:11">
      <c r="A752" t="s">
        <v>2690</v>
      </c>
      <c r="B752" s="15">
        <v>45503</v>
      </c>
      <c r="C752" s="4">
        <v>45474</v>
      </c>
      <c r="D752" t="s">
        <v>35</v>
      </c>
      <c r="E752" t="s">
        <v>19</v>
      </c>
      <c r="F752" t="s">
        <v>37</v>
      </c>
      <c r="G752" t="s">
        <v>150</v>
      </c>
      <c r="H752" t="s">
        <v>5</v>
      </c>
      <c r="I752" t="s">
        <v>1935</v>
      </c>
      <c r="J752" t="s">
        <v>1936</v>
      </c>
      <c r="K752" s="8">
        <v>25</v>
      </c>
    </row>
    <row r="753" spans="1:11">
      <c r="A753" t="s">
        <v>2691</v>
      </c>
      <c r="B753" s="15">
        <v>45501</v>
      </c>
      <c r="C753" s="4">
        <v>45474</v>
      </c>
      <c r="D753" t="s">
        <v>35</v>
      </c>
      <c r="E753" t="s">
        <v>19</v>
      </c>
      <c r="F753" t="s">
        <v>37</v>
      </c>
      <c r="G753" t="s">
        <v>101</v>
      </c>
      <c r="H753" t="s">
        <v>5</v>
      </c>
      <c r="I753" t="s">
        <v>1935</v>
      </c>
      <c r="J753" t="s">
        <v>1936</v>
      </c>
      <c r="K753" s="8">
        <v>18</v>
      </c>
    </row>
    <row r="754" spans="1:11">
      <c r="A754" t="s">
        <v>2692</v>
      </c>
      <c r="B754" s="15">
        <v>45474</v>
      </c>
      <c r="C754" s="4">
        <v>45474</v>
      </c>
      <c r="D754" t="s">
        <v>35</v>
      </c>
      <c r="E754" t="s">
        <v>19</v>
      </c>
      <c r="F754" t="s">
        <v>37</v>
      </c>
      <c r="G754" t="s">
        <v>107</v>
      </c>
      <c r="H754" t="s">
        <v>8</v>
      </c>
      <c r="I754" t="s">
        <v>1935</v>
      </c>
      <c r="J754" t="s">
        <v>1936</v>
      </c>
      <c r="K754" s="8">
        <v>13</v>
      </c>
    </row>
    <row r="755" spans="1:11">
      <c r="A755" t="s">
        <v>2693</v>
      </c>
      <c r="B755" s="15">
        <v>45475</v>
      </c>
      <c r="C755" s="4">
        <v>45474</v>
      </c>
      <c r="D755" t="s">
        <v>35</v>
      </c>
      <c r="E755" t="s">
        <v>19</v>
      </c>
      <c r="F755" t="s">
        <v>37</v>
      </c>
      <c r="G755" t="s">
        <v>101</v>
      </c>
      <c r="H755" t="s">
        <v>11</v>
      </c>
      <c r="I755" t="s">
        <v>1935</v>
      </c>
      <c r="J755" t="s">
        <v>1938</v>
      </c>
      <c r="K755" s="8">
        <v>22</v>
      </c>
    </row>
    <row r="756" spans="1:11">
      <c r="A756" t="s">
        <v>2694</v>
      </c>
      <c r="B756" s="15">
        <v>45491</v>
      </c>
      <c r="C756" s="4">
        <v>45474</v>
      </c>
      <c r="D756" t="s">
        <v>35</v>
      </c>
      <c r="E756" t="s">
        <v>19</v>
      </c>
      <c r="F756" t="s">
        <v>37</v>
      </c>
      <c r="G756" t="s">
        <v>88</v>
      </c>
      <c r="H756" t="s">
        <v>8</v>
      </c>
      <c r="I756" t="s">
        <v>1935</v>
      </c>
      <c r="J756" t="s">
        <v>1936</v>
      </c>
      <c r="K756" s="8">
        <v>10</v>
      </c>
    </row>
    <row r="757" spans="1:11">
      <c r="A757" t="s">
        <v>2695</v>
      </c>
      <c r="B757" s="15">
        <v>45480</v>
      </c>
      <c r="C757" s="4">
        <v>45474</v>
      </c>
      <c r="D757" t="s">
        <v>35</v>
      </c>
      <c r="E757" t="s">
        <v>19</v>
      </c>
      <c r="F757" t="s">
        <v>37</v>
      </c>
      <c r="G757" t="s">
        <v>101</v>
      </c>
      <c r="H757" t="s">
        <v>8</v>
      </c>
      <c r="I757" t="s">
        <v>1942</v>
      </c>
      <c r="J757" t="s">
        <v>1938</v>
      </c>
      <c r="K757" s="8">
        <v>3</v>
      </c>
    </row>
    <row r="758" spans="1:11">
      <c r="A758" t="s">
        <v>2696</v>
      </c>
      <c r="B758" s="15">
        <v>45483</v>
      </c>
      <c r="C758" s="4">
        <v>45474</v>
      </c>
      <c r="D758" t="s">
        <v>35</v>
      </c>
      <c r="E758" t="s">
        <v>19</v>
      </c>
      <c r="F758" t="s">
        <v>37</v>
      </c>
      <c r="G758" t="s">
        <v>107</v>
      </c>
      <c r="H758" t="s">
        <v>8</v>
      </c>
      <c r="I758" t="s">
        <v>1935</v>
      </c>
      <c r="J758" t="s">
        <v>1938</v>
      </c>
      <c r="K758" s="8">
        <v>8</v>
      </c>
    </row>
    <row r="759" spans="1:11">
      <c r="A759" t="s">
        <v>2697</v>
      </c>
      <c r="B759" s="15">
        <v>45490</v>
      </c>
      <c r="C759" s="4">
        <v>45474</v>
      </c>
      <c r="D759" t="s">
        <v>38</v>
      </c>
      <c r="E759" t="s">
        <v>19</v>
      </c>
      <c r="F759" t="s">
        <v>40</v>
      </c>
      <c r="G759" t="s">
        <v>128</v>
      </c>
      <c r="H759" t="s">
        <v>14</v>
      </c>
      <c r="I759" t="s">
        <v>1935</v>
      </c>
      <c r="J759" t="s">
        <v>1936</v>
      </c>
      <c r="K759" s="8">
        <v>14</v>
      </c>
    </row>
    <row r="760" spans="1:11">
      <c r="A760" t="s">
        <v>2698</v>
      </c>
      <c r="B760" s="15">
        <v>45474</v>
      </c>
      <c r="C760" s="4">
        <v>45474</v>
      </c>
      <c r="D760" t="s">
        <v>38</v>
      </c>
      <c r="E760" t="s">
        <v>19</v>
      </c>
      <c r="F760" t="s">
        <v>40</v>
      </c>
      <c r="G760" t="s">
        <v>109</v>
      </c>
      <c r="H760" t="s">
        <v>11</v>
      </c>
      <c r="I760" t="s">
        <v>1935</v>
      </c>
      <c r="J760" t="s">
        <v>1954</v>
      </c>
      <c r="K760" s="8">
        <v>29</v>
      </c>
    </row>
    <row r="761" spans="1:11">
      <c r="A761" t="s">
        <v>2699</v>
      </c>
      <c r="B761" s="15">
        <v>45490</v>
      </c>
      <c r="C761" s="4">
        <v>45474</v>
      </c>
      <c r="D761" t="s">
        <v>38</v>
      </c>
      <c r="E761" t="s">
        <v>19</v>
      </c>
      <c r="F761" t="s">
        <v>40</v>
      </c>
      <c r="G761" t="s">
        <v>164</v>
      </c>
      <c r="H761" t="s">
        <v>5</v>
      </c>
      <c r="I761" t="s">
        <v>1935</v>
      </c>
      <c r="J761" t="s">
        <v>1936</v>
      </c>
      <c r="K761" s="8">
        <v>33</v>
      </c>
    </row>
    <row r="762" spans="1:11">
      <c r="A762" t="s">
        <v>2700</v>
      </c>
      <c r="B762" s="15">
        <v>45486</v>
      </c>
      <c r="C762" s="4">
        <v>45474</v>
      </c>
      <c r="D762" t="s">
        <v>38</v>
      </c>
      <c r="E762" t="s">
        <v>19</v>
      </c>
      <c r="F762" t="s">
        <v>40</v>
      </c>
      <c r="G762" t="s">
        <v>109</v>
      </c>
      <c r="H762" t="s">
        <v>5</v>
      </c>
      <c r="I762" t="s">
        <v>1935</v>
      </c>
      <c r="J762" t="s">
        <v>1954</v>
      </c>
      <c r="K762" s="8">
        <v>23</v>
      </c>
    </row>
    <row r="763" spans="1:11">
      <c r="A763" t="s">
        <v>2701</v>
      </c>
      <c r="B763" s="15">
        <v>45475</v>
      </c>
      <c r="C763" s="4">
        <v>45474</v>
      </c>
      <c r="D763" t="s">
        <v>38</v>
      </c>
      <c r="E763" t="s">
        <v>19</v>
      </c>
      <c r="F763" t="s">
        <v>40</v>
      </c>
      <c r="G763" t="s">
        <v>122</v>
      </c>
      <c r="H763" t="s">
        <v>11</v>
      </c>
      <c r="I763" t="s">
        <v>1935</v>
      </c>
      <c r="J763" t="s">
        <v>1936</v>
      </c>
      <c r="K763" s="8">
        <v>25</v>
      </c>
    </row>
    <row r="764" spans="1:11">
      <c r="A764" t="s">
        <v>2702</v>
      </c>
      <c r="B764" s="15">
        <v>45493</v>
      </c>
      <c r="C764" s="4">
        <v>45474</v>
      </c>
      <c r="D764" t="s">
        <v>38</v>
      </c>
      <c r="E764" t="s">
        <v>19</v>
      </c>
      <c r="F764" t="s">
        <v>40</v>
      </c>
      <c r="G764" t="s">
        <v>164</v>
      </c>
      <c r="H764" t="s">
        <v>5</v>
      </c>
      <c r="I764" t="s">
        <v>1935</v>
      </c>
      <c r="J764" t="s">
        <v>1936</v>
      </c>
      <c r="K764" s="8">
        <v>21</v>
      </c>
    </row>
    <row r="765" spans="1:11">
      <c r="A765" t="s">
        <v>2703</v>
      </c>
      <c r="B765" s="15">
        <v>45477</v>
      </c>
      <c r="C765" s="4">
        <v>45474</v>
      </c>
      <c r="D765" t="s">
        <v>38</v>
      </c>
      <c r="E765" t="s">
        <v>19</v>
      </c>
      <c r="F765" t="s">
        <v>40</v>
      </c>
      <c r="G765" t="s">
        <v>158</v>
      </c>
      <c r="H765" t="s">
        <v>5</v>
      </c>
      <c r="I765" t="s">
        <v>1935</v>
      </c>
      <c r="J765" t="s">
        <v>1936</v>
      </c>
      <c r="K765" s="8">
        <v>26</v>
      </c>
    </row>
    <row r="766" spans="1:11">
      <c r="A766" t="s">
        <v>2704</v>
      </c>
      <c r="B766" s="15">
        <v>45494</v>
      </c>
      <c r="C766" s="4">
        <v>45474</v>
      </c>
      <c r="D766" t="s">
        <v>38</v>
      </c>
      <c r="E766" t="s">
        <v>19</v>
      </c>
      <c r="F766" t="s">
        <v>40</v>
      </c>
      <c r="G766" t="s">
        <v>164</v>
      </c>
      <c r="H766" t="s">
        <v>5</v>
      </c>
      <c r="I766" t="s">
        <v>1935</v>
      </c>
      <c r="J766" t="s">
        <v>1936</v>
      </c>
      <c r="K766" s="8">
        <v>31</v>
      </c>
    </row>
    <row r="767" spans="1:11">
      <c r="A767" t="s">
        <v>2705</v>
      </c>
      <c r="B767" s="15">
        <v>45495</v>
      </c>
      <c r="C767" s="4">
        <v>45474</v>
      </c>
      <c r="D767" t="s">
        <v>38</v>
      </c>
      <c r="E767" t="s">
        <v>19</v>
      </c>
      <c r="F767" t="s">
        <v>40</v>
      </c>
      <c r="G767" t="s">
        <v>134</v>
      </c>
      <c r="H767" t="s">
        <v>11</v>
      </c>
      <c r="I767" t="s">
        <v>1935</v>
      </c>
      <c r="J767" t="s">
        <v>1936</v>
      </c>
      <c r="K767" s="8">
        <v>13</v>
      </c>
    </row>
    <row r="768" spans="1:11">
      <c r="A768" t="s">
        <v>2706</v>
      </c>
      <c r="B768" s="15">
        <v>45476</v>
      </c>
      <c r="C768" s="4">
        <v>45474</v>
      </c>
      <c r="D768" t="s">
        <v>41</v>
      </c>
      <c r="E768" t="s">
        <v>21</v>
      </c>
      <c r="F768" t="s">
        <v>43</v>
      </c>
      <c r="G768" t="s">
        <v>184</v>
      </c>
      <c r="H768" t="s">
        <v>5</v>
      </c>
      <c r="I768" t="s">
        <v>1935</v>
      </c>
      <c r="J768" t="s">
        <v>1936</v>
      </c>
      <c r="K768" s="8">
        <v>10</v>
      </c>
    </row>
    <row r="769" spans="1:11">
      <c r="A769" t="s">
        <v>2707</v>
      </c>
      <c r="B769" s="15">
        <v>45498</v>
      </c>
      <c r="C769" s="4">
        <v>45474</v>
      </c>
      <c r="D769" t="s">
        <v>41</v>
      </c>
      <c r="E769" t="s">
        <v>21</v>
      </c>
      <c r="F769" t="s">
        <v>43</v>
      </c>
      <c r="G769" t="s">
        <v>220</v>
      </c>
      <c r="H769" t="s">
        <v>11</v>
      </c>
      <c r="I769" t="s">
        <v>1935</v>
      </c>
      <c r="J769" t="s">
        <v>1936</v>
      </c>
      <c r="K769" s="8">
        <v>10</v>
      </c>
    </row>
    <row r="770" spans="1:11">
      <c r="A770" t="s">
        <v>2708</v>
      </c>
      <c r="B770" s="15">
        <v>45496</v>
      </c>
      <c r="C770" s="4">
        <v>45474</v>
      </c>
      <c r="D770" t="s">
        <v>41</v>
      </c>
      <c r="E770" t="s">
        <v>21</v>
      </c>
      <c r="F770" t="s">
        <v>43</v>
      </c>
      <c r="G770" t="s">
        <v>172</v>
      </c>
      <c r="H770" t="s">
        <v>5</v>
      </c>
      <c r="I770" t="s">
        <v>1942</v>
      </c>
      <c r="J770" t="s">
        <v>1936</v>
      </c>
      <c r="K770" s="8">
        <v>5</v>
      </c>
    </row>
    <row r="771" spans="1:11">
      <c r="A771" t="s">
        <v>2709</v>
      </c>
      <c r="B771" s="15">
        <v>45477</v>
      </c>
      <c r="C771" s="4">
        <v>45474</v>
      </c>
      <c r="D771" t="s">
        <v>41</v>
      </c>
      <c r="E771" t="s">
        <v>21</v>
      </c>
      <c r="F771" t="s">
        <v>43</v>
      </c>
      <c r="G771" t="s">
        <v>172</v>
      </c>
      <c r="H771" t="s">
        <v>5</v>
      </c>
      <c r="I771" t="s">
        <v>1935</v>
      </c>
      <c r="J771" t="s">
        <v>1954</v>
      </c>
      <c r="K771" s="8">
        <v>22</v>
      </c>
    </row>
    <row r="772" spans="1:11">
      <c r="A772" t="s">
        <v>2710</v>
      </c>
      <c r="B772" s="15">
        <v>45489</v>
      </c>
      <c r="C772" s="4">
        <v>45474</v>
      </c>
      <c r="D772" t="s">
        <v>41</v>
      </c>
      <c r="E772" t="s">
        <v>21</v>
      </c>
      <c r="F772" t="s">
        <v>43</v>
      </c>
      <c r="G772" t="s">
        <v>178</v>
      </c>
      <c r="H772" t="s">
        <v>11</v>
      </c>
      <c r="I772" t="s">
        <v>1935</v>
      </c>
      <c r="J772" t="s">
        <v>1936</v>
      </c>
      <c r="K772" s="8">
        <v>31</v>
      </c>
    </row>
    <row r="773" spans="1:11">
      <c r="A773" t="s">
        <v>2711</v>
      </c>
      <c r="B773" s="15">
        <v>45476</v>
      </c>
      <c r="C773" s="4">
        <v>45474</v>
      </c>
      <c r="D773" t="s">
        <v>41</v>
      </c>
      <c r="E773" t="s">
        <v>21</v>
      </c>
      <c r="F773" t="s">
        <v>43</v>
      </c>
      <c r="G773" t="s">
        <v>196</v>
      </c>
      <c r="H773" t="s">
        <v>11</v>
      </c>
      <c r="I773" t="s">
        <v>1935</v>
      </c>
      <c r="J773" t="s">
        <v>1938</v>
      </c>
      <c r="K773" s="8">
        <v>29</v>
      </c>
    </row>
    <row r="774" spans="1:11">
      <c r="A774" t="s">
        <v>2712</v>
      </c>
      <c r="B774" s="15">
        <v>45499</v>
      </c>
      <c r="C774" s="4">
        <v>45474</v>
      </c>
      <c r="D774" t="s">
        <v>41</v>
      </c>
      <c r="E774" t="s">
        <v>21</v>
      </c>
      <c r="F774" t="s">
        <v>43</v>
      </c>
      <c r="G774" t="s">
        <v>220</v>
      </c>
      <c r="H774" t="s">
        <v>11</v>
      </c>
      <c r="I774" t="s">
        <v>1935</v>
      </c>
      <c r="J774" t="s">
        <v>1954</v>
      </c>
      <c r="K774" s="8">
        <v>32</v>
      </c>
    </row>
    <row r="775" spans="1:11">
      <c r="A775" t="s">
        <v>2713</v>
      </c>
      <c r="B775" s="15">
        <v>45496</v>
      </c>
      <c r="C775" s="4">
        <v>45474</v>
      </c>
      <c r="D775" t="s">
        <v>41</v>
      </c>
      <c r="E775" t="s">
        <v>21</v>
      </c>
      <c r="F775" t="s">
        <v>43</v>
      </c>
      <c r="G775" t="s">
        <v>208</v>
      </c>
      <c r="H775" t="s">
        <v>11</v>
      </c>
      <c r="I775" t="s">
        <v>1935</v>
      </c>
      <c r="J775" t="s">
        <v>1954</v>
      </c>
      <c r="K775" s="8">
        <v>34</v>
      </c>
    </row>
    <row r="776" spans="1:11">
      <c r="A776" t="s">
        <v>2714</v>
      </c>
      <c r="B776" s="15">
        <v>45474</v>
      </c>
      <c r="C776" s="4">
        <v>45474</v>
      </c>
      <c r="D776" t="s">
        <v>41</v>
      </c>
      <c r="E776" t="s">
        <v>21</v>
      </c>
      <c r="F776" t="s">
        <v>43</v>
      </c>
      <c r="G776" t="s">
        <v>214</v>
      </c>
      <c r="H776" t="s">
        <v>11</v>
      </c>
      <c r="I776" t="s">
        <v>1935</v>
      </c>
      <c r="J776" t="s">
        <v>1936</v>
      </c>
      <c r="K776" s="8">
        <v>25</v>
      </c>
    </row>
    <row r="777" spans="1:11">
      <c r="A777" t="s">
        <v>2715</v>
      </c>
      <c r="B777" s="15">
        <v>45501</v>
      </c>
      <c r="C777" s="4">
        <v>45474</v>
      </c>
      <c r="D777" t="s">
        <v>44</v>
      </c>
      <c r="E777" t="s">
        <v>21</v>
      </c>
      <c r="F777" t="s">
        <v>46</v>
      </c>
      <c r="G777" t="s">
        <v>186</v>
      </c>
      <c r="H777" t="s">
        <v>14</v>
      </c>
      <c r="I777" t="s">
        <v>1935</v>
      </c>
      <c r="J777" t="s">
        <v>1936</v>
      </c>
      <c r="K777" s="8">
        <v>19</v>
      </c>
    </row>
    <row r="778" spans="1:11">
      <c r="A778" t="s">
        <v>2716</v>
      </c>
      <c r="B778" s="15">
        <v>45478</v>
      </c>
      <c r="C778" s="4">
        <v>45474</v>
      </c>
      <c r="D778" t="s">
        <v>44</v>
      </c>
      <c r="E778" t="s">
        <v>21</v>
      </c>
      <c r="F778" t="s">
        <v>46</v>
      </c>
      <c r="G778" t="s">
        <v>228</v>
      </c>
      <c r="H778" t="s">
        <v>11</v>
      </c>
      <c r="I778" t="s">
        <v>1942</v>
      </c>
      <c r="J778" t="s">
        <v>1938</v>
      </c>
      <c r="K778" s="8">
        <v>7</v>
      </c>
    </row>
    <row r="779" spans="1:11">
      <c r="A779" t="s">
        <v>2717</v>
      </c>
      <c r="B779" s="15">
        <v>45479</v>
      </c>
      <c r="C779" s="4">
        <v>45474</v>
      </c>
      <c r="D779" t="s">
        <v>44</v>
      </c>
      <c r="E779" t="s">
        <v>21</v>
      </c>
      <c r="F779" t="s">
        <v>46</v>
      </c>
      <c r="G779" t="s">
        <v>210</v>
      </c>
      <c r="H779" t="s">
        <v>5</v>
      </c>
      <c r="I779" t="s">
        <v>1935</v>
      </c>
      <c r="J779" t="s">
        <v>1938</v>
      </c>
      <c r="K779" s="8">
        <v>26</v>
      </c>
    </row>
    <row r="780" spans="1:11">
      <c r="A780" t="s">
        <v>2718</v>
      </c>
      <c r="B780" s="15">
        <v>45497</v>
      </c>
      <c r="C780" s="4">
        <v>45474</v>
      </c>
      <c r="D780" t="s">
        <v>44</v>
      </c>
      <c r="E780" t="s">
        <v>21</v>
      </c>
      <c r="F780" t="s">
        <v>46</v>
      </c>
      <c r="G780" t="s">
        <v>198</v>
      </c>
      <c r="H780" t="s">
        <v>14</v>
      </c>
      <c r="I780" t="s">
        <v>1935</v>
      </c>
      <c r="J780" t="s">
        <v>1936</v>
      </c>
      <c r="K780" s="8">
        <v>10</v>
      </c>
    </row>
    <row r="781" spans="1:11">
      <c r="A781" t="s">
        <v>2719</v>
      </c>
      <c r="B781" s="15">
        <v>45499</v>
      </c>
      <c r="C781" s="4">
        <v>45474</v>
      </c>
      <c r="D781" t="s">
        <v>44</v>
      </c>
      <c r="E781" t="s">
        <v>21</v>
      </c>
      <c r="F781" t="s">
        <v>46</v>
      </c>
      <c r="G781" t="s">
        <v>198</v>
      </c>
      <c r="H781" t="s">
        <v>5</v>
      </c>
      <c r="I781" t="s">
        <v>1935</v>
      </c>
      <c r="J781" t="s">
        <v>1936</v>
      </c>
      <c r="K781" s="8">
        <v>33</v>
      </c>
    </row>
    <row r="782" spans="1:11">
      <c r="A782" t="s">
        <v>2720</v>
      </c>
      <c r="B782" s="15">
        <v>45485</v>
      </c>
      <c r="C782" s="4">
        <v>45474</v>
      </c>
      <c r="D782" t="s">
        <v>44</v>
      </c>
      <c r="E782" t="s">
        <v>21</v>
      </c>
      <c r="F782" t="s">
        <v>46</v>
      </c>
      <c r="G782" t="s">
        <v>186</v>
      </c>
      <c r="H782" t="s">
        <v>14</v>
      </c>
      <c r="I782" t="s">
        <v>1935</v>
      </c>
      <c r="J782" t="s">
        <v>1938</v>
      </c>
      <c r="K782" s="8">
        <v>28</v>
      </c>
    </row>
    <row r="783" spans="1:11">
      <c r="A783" t="s">
        <v>2721</v>
      </c>
      <c r="B783" s="15">
        <v>45502</v>
      </c>
      <c r="C783" s="4">
        <v>45474</v>
      </c>
      <c r="D783" t="s">
        <v>44</v>
      </c>
      <c r="E783" t="s">
        <v>21</v>
      </c>
      <c r="F783" t="s">
        <v>46</v>
      </c>
      <c r="G783" t="s">
        <v>210</v>
      </c>
      <c r="H783" t="s">
        <v>8</v>
      </c>
      <c r="I783" t="s">
        <v>1935</v>
      </c>
      <c r="J783" t="s">
        <v>1936</v>
      </c>
      <c r="K783" s="8">
        <v>35</v>
      </c>
    </row>
    <row r="784" spans="1:11">
      <c r="A784" t="s">
        <v>2722</v>
      </c>
      <c r="B784" s="15">
        <v>45483</v>
      </c>
      <c r="C784" s="4">
        <v>45474</v>
      </c>
      <c r="D784" t="s">
        <v>44</v>
      </c>
      <c r="E784" t="s">
        <v>21</v>
      </c>
      <c r="F784" t="s">
        <v>46</v>
      </c>
      <c r="G784" t="s">
        <v>192</v>
      </c>
      <c r="H784" t="s">
        <v>11</v>
      </c>
      <c r="I784" t="s">
        <v>1935</v>
      </c>
      <c r="J784" t="s">
        <v>1936</v>
      </c>
      <c r="K784" s="8">
        <v>9</v>
      </c>
    </row>
    <row r="785" spans="1:11">
      <c r="A785" t="s">
        <v>2723</v>
      </c>
      <c r="B785" s="15">
        <v>45475</v>
      </c>
      <c r="C785" s="4">
        <v>45474</v>
      </c>
      <c r="D785" t="s">
        <v>47</v>
      </c>
      <c r="E785" t="s">
        <v>21</v>
      </c>
      <c r="F785" t="s">
        <v>49</v>
      </c>
      <c r="G785" t="s">
        <v>224</v>
      </c>
      <c r="H785" t="s">
        <v>8</v>
      </c>
      <c r="I785" t="s">
        <v>1935</v>
      </c>
      <c r="J785" t="s">
        <v>1936</v>
      </c>
      <c r="K785" s="8">
        <v>15</v>
      </c>
    </row>
    <row r="786" spans="1:11">
      <c r="A786" t="s">
        <v>2724</v>
      </c>
      <c r="B786" s="15">
        <v>45485</v>
      </c>
      <c r="C786" s="4">
        <v>45474</v>
      </c>
      <c r="D786" t="s">
        <v>47</v>
      </c>
      <c r="E786" t="s">
        <v>21</v>
      </c>
      <c r="F786" t="s">
        <v>49</v>
      </c>
      <c r="G786" t="s">
        <v>230</v>
      </c>
      <c r="H786" t="s">
        <v>11</v>
      </c>
      <c r="I786" t="s">
        <v>1935</v>
      </c>
      <c r="J786" t="s">
        <v>1938</v>
      </c>
      <c r="K786" s="8">
        <v>14</v>
      </c>
    </row>
    <row r="787" spans="1:11">
      <c r="A787" t="s">
        <v>2725</v>
      </c>
      <c r="B787" s="15">
        <v>45488</v>
      </c>
      <c r="C787" s="4">
        <v>45474</v>
      </c>
      <c r="D787" t="s">
        <v>47</v>
      </c>
      <c r="E787" t="s">
        <v>21</v>
      </c>
      <c r="F787" t="s">
        <v>49</v>
      </c>
      <c r="G787" t="s">
        <v>206</v>
      </c>
      <c r="H787" t="s">
        <v>11</v>
      </c>
      <c r="I787" t="s">
        <v>1935</v>
      </c>
      <c r="J787" t="s">
        <v>1936</v>
      </c>
      <c r="K787" s="8">
        <v>19</v>
      </c>
    </row>
    <row r="788" spans="1:11">
      <c r="A788" t="s">
        <v>2726</v>
      </c>
      <c r="B788" s="15">
        <v>45480</v>
      </c>
      <c r="C788" s="4">
        <v>45474</v>
      </c>
      <c r="D788" t="s">
        <v>47</v>
      </c>
      <c r="E788" t="s">
        <v>21</v>
      </c>
      <c r="F788" t="s">
        <v>49</v>
      </c>
      <c r="G788" t="s">
        <v>176</v>
      </c>
      <c r="H788" t="s">
        <v>8</v>
      </c>
      <c r="I788" t="s">
        <v>1935</v>
      </c>
      <c r="J788" t="s">
        <v>1938</v>
      </c>
      <c r="K788" s="8">
        <v>14</v>
      </c>
    </row>
    <row r="789" spans="1:11">
      <c r="A789" t="s">
        <v>2727</v>
      </c>
      <c r="B789" s="15">
        <v>45478</v>
      </c>
      <c r="C789" s="4">
        <v>45474</v>
      </c>
      <c r="D789" t="s">
        <v>47</v>
      </c>
      <c r="E789" t="s">
        <v>21</v>
      </c>
      <c r="F789" t="s">
        <v>49</v>
      </c>
      <c r="G789" t="s">
        <v>230</v>
      </c>
      <c r="H789" t="s">
        <v>8</v>
      </c>
      <c r="I789" t="s">
        <v>1935</v>
      </c>
      <c r="J789" t="s">
        <v>1938</v>
      </c>
      <c r="K789" s="8">
        <v>24</v>
      </c>
    </row>
    <row r="790" spans="1:11">
      <c r="A790" t="s">
        <v>2728</v>
      </c>
      <c r="B790" s="15">
        <v>45482</v>
      </c>
      <c r="C790" s="4">
        <v>45474</v>
      </c>
      <c r="D790" t="s">
        <v>47</v>
      </c>
      <c r="E790" t="s">
        <v>21</v>
      </c>
      <c r="F790" t="s">
        <v>49</v>
      </c>
      <c r="G790" t="s">
        <v>236</v>
      </c>
      <c r="H790" t="s">
        <v>8</v>
      </c>
      <c r="I790" t="s">
        <v>1935</v>
      </c>
      <c r="J790" t="s">
        <v>1936</v>
      </c>
      <c r="K790" s="8">
        <v>10</v>
      </c>
    </row>
    <row r="791" spans="1:11">
      <c r="A791" t="s">
        <v>2729</v>
      </c>
      <c r="B791" s="15">
        <v>45491</v>
      </c>
      <c r="C791" s="4">
        <v>45474</v>
      </c>
      <c r="D791" t="s">
        <v>47</v>
      </c>
      <c r="E791" t="s">
        <v>21</v>
      </c>
      <c r="F791" t="s">
        <v>49</v>
      </c>
      <c r="G791" t="s">
        <v>236</v>
      </c>
      <c r="H791" t="s">
        <v>5</v>
      </c>
      <c r="I791" t="s">
        <v>1935</v>
      </c>
      <c r="J791" t="s">
        <v>1936</v>
      </c>
      <c r="K791" s="8">
        <v>20</v>
      </c>
    </row>
    <row r="792" spans="1:11">
      <c r="A792" t="s">
        <v>2730</v>
      </c>
      <c r="B792" s="15">
        <v>45487</v>
      </c>
      <c r="C792" s="4">
        <v>45474</v>
      </c>
      <c r="D792" t="s">
        <v>47</v>
      </c>
      <c r="E792" t="s">
        <v>21</v>
      </c>
      <c r="F792" t="s">
        <v>49</v>
      </c>
      <c r="G792" t="s">
        <v>212</v>
      </c>
      <c r="H792" t="s">
        <v>14</v>
      </c>
      <c r="I792" t="s">
        <v>1995</v>
      </c>
      <c r="J792" t="s">
        <v>1936</v>
      </c>
      <c r="K792" s="8">
        <v>3</v>
      </c>
    </row>
    <row r="793" spans="1:11">
      <c r="A793" t="s">
        <v>2731</v>
      </c>
      <c r="B793" s="15">
        <v>45499</v>
      </c>
      <c r="C793" s="4">
        <v>45474</v>
      </c>
      <c r="D793" t="s">
        <v>47</v>
      </c>
      <c r="E793" t="s">
        <v>21</v>
      </c>
      <c r="F793" t="s">
        <v>49</v>
      </c>
      <c r="G793" t="s">
        <v>182</v>
      </c>
      <c r="H793" t="s">
        <v>5</v>
      </c>
      <c r="I793" t="s">
        <v>1942</v>
      </c>
      <c r="J793" t="s">
        <v>1954</v>
      </c>
      <c r="K793" s="8">
        <v>7</v>
      </c>
    </row>
    <row r="794" spans="1:11">
      <c r="A794" t="s">
        <v>2732</v>
      </c>
      <c r="B794" s="15">
        <v>45501</v>
      </c>
      <c r="C794" s="4">
        <v>45474</v>
      </c>
      <c r="D794" t="s">
        <v>47</v>
      </c>
      <c r="E794" t="s">
        <v>21</v>
      </c>
      <c r="F794" t="s">
        <v>49</v>
      </c>
      <c r="G794" t="s">
        <v>236</v>
      </c>
      <c r="H794" t="s">
        <v>8</v>
      </c>
      <c r="I794" t="s">
        <v>1935</v>
      </c>
      <c r="J794" t="s">
        <v>1936</v>
      </c>
      <c r="K794" s="8">
        <v>29</v>
      </c>
    </row>
    <row r="795" spans="1:11">
      <c r="A795" t="s">
        <v>2733</v>
      </c>
      <c r="B795" s="15">
        <v>45485</v>
      </c>
      <c r="C795" s="4">
        <v>45474</v>
      </c>
      <c r="D795" t="s">
        <v>47</v>
      </c>
      <c r="E795" t="s">
        <v>21</v>
      </c>
      <c r="F795" t="s">
        <v>49</v>
      </c>
      <c r="G795" t="s">
        <v>194</v>
      </c>
      <c r="H795" t="s">
        <v>11</v>
      </c>
      <c r="I795" t="s">
        <v>1935</v>
      </c>
      <c r="J795" t="s">
        <v>1936</v>
      </c>
      <c r="K795" s="8">
        <v>27</v>
      </c>
    </row>
    <row r="796" spans="1:11">
      <c r="A796" t="s">
        <v>2734</v>
      </c>
      <c r="B796" s="15">
        <v>45487</v>
      </c>
      <c r="C796" s="4">
        <v>45474</v>
      </c>
      <c r="D796" t="s">
        <v>47</v>
      </c>
      <c r="E796" t="s">
        <v>21</v>
      </c>
      <c r="F796" t="s">
        <v>49</v>
      </c>
      <c r="G796" t="s">
        <v>218</v>
      </c>
      <c r="H796" t="s">
        <v>5</v>
      </c>
      <c r="I796" t="s">
        <v>1935</v>
      </c>
      <c r="J796" t="s">
        <v>1936</v>
      </c>
      <c r="K796" s="8">
        <v>11</v>
      </c>
    </row>
    <row r="797" spans="1:11">
      <c r="A797" t="s">
        <v>2735</v>
      </c>
      <c r="B797" s="15">
        <v>45495</v>
      </c>
      <c r="C797" s="4">
        <v>45474</v>
      </c>
      <c r="D797" t="s">
        <v>50</v>
      </c>
      <c r="E797" t="s">
        <v>23</v>
      </c>
      <c r="F797" t="s">
        <v>52</v>
      </c>
      <c r="G797" t="s">
        <v>268</v>
      </c>
      <c r="H797" t="s">
        <v>8</v>
      </c>
      <c r="I797" t="s">
        <v>1935</v>
      </c>
      <c r="J797" t="s">
        <v>1936</v>
      </c>
      <c r="K797" s="8">
        <v>12</v>
      </c>
    </row>
    <row r="798" spans="1:11">
      <c r="A798" t="s">
        <v>2736</v>
      </c>
      <c r="B798" s="15">
        <v>45495</v>
      </c>
      <c r="C798" s="4">
        <v>45474</v>
      </c>
      <c r="D798" t="s">
        <v>50</v>
      </c>
      <c r="E798" t="s">
        <v>23</v>
      </c>
      <c r="F798" t="s">
        <v>52</v>
      </c>
      <c r="G798" t="s">
        <v>238</v>
      </c>
      <c r="H798" t="s">
        <v>8</v>
      </c>
      <c r="I798" t="s">
        <v>1935</v>
      </c>
      <c r="J798" t="s">
        <v>1936</v>
      </c>
      <c r="K798" s="8">
        <v>12</v>
      </c>
    </row>
    <row r="799" spans="1:11">
      <c r="A799" t="s">
        <v>2737</v>
      </c>
      <c r="B799" s="15">
        <v>45481</v>
      </c>
      <c r="C799" s="4">
        <v>45474</v>
      </c>
      <c r="D799" t="s">
        <v>50</v>
      </c>
      <c r="E799" t="s">
        <v>23</v>
      </c>
      <c r="F799" t="s">
        <v>52</v>
      </c>
      <c r="G799" t="s">
        <v>310</v>
      </c>
      <c r="H799" t="s">
        <v>11</v>
      </c>
      <c r="I799" t="s">
        <v>1935</v>
      </c>
      <c r="J799" t="s">
        <v>1936</v>
      </c>
      <c r="K799" s="8">
        <v>12</v>
      </c>
    </row>
    <row r="800" spans="1:11">
      <c r="A800" t="s">
        <v>2738</v>
      </c>
      <c r="B800" s="15">
        <v>45490</v>
      </c>
      <c r="C800" s="4">
        <v>45474</v>
      </c>
      <c r="D800" t="s">
        <v>50</v>
      </c>
      <c r="E800" t="s">
        <v>23</v>
      </c>
      <c r="F800" t="s">
        <v>52</v>
      </c>
      <c r="G800" t="s">
        <v>280</v>
      </c>
      <c r="H800" t="s">
        <v>11</v>
      </c>
      <c r="I800" t="s">
        <v>1935</v>
      </c>
      <c r="J800" t="s">
        <v>1936</v>
      </c>
      <c r="K800" s="8">
        <v>28</v>
      </c>
    </row>
    <row r="801" spans="1:11">
      <c r="A801" t="s">
        <v>2739</v>
      </c>
      <c r="B801" s="15">
        <v>45488</v>
      </c>
      <c r="C801" s="4">
        <v>45474</v>
      </c>
      <c r="D801" t="s">
        <v>50</v>
      </c>
      <c r="E801" t="s">
        <v>23</v>
      </c>
      <c r="F801" t="s">
        <v>52</v>
      </c>
      <c r="G801" t="s">
        <v>238</v>
      </c>
      <c r="H801" t="s">
        <v>8</v>
      </c>
      <c r="I801" t="s">
        <v>1935</v>
      </c>
      <c r="J801" t="s">
        <v>1936</v>
      </c>
      <c r="K801" s="8">
        <v>35</v>
      </c>
    </row>
    <row r="802" spans="1:11">
      <c r="A802" t="s">
        <v>2740</v>
      </c>
      <c r="B802" s="15">
        <v>45486</v>
      </c>
      <c r="C802" s="4">
        <v>45474</v>
      </c>
      <c r="D802" t="s">
        <v>50</v>
      </c>
      <c r="E802" t="s">
        <v>23</v>
      </c>
      <c r="F802" t="s">
        <v>52</v>
      </c>
      <c r="G802" t="s">
        <v>298</v>
      </c>
      <c r="H802" t="s">
        <v>5</v>
      </c>
      <c r="I802" t="s">
        <v>1935</v>
      </c>
      <c r="J802" t="s">
        <v>1936</v>
      </c>
      <c r="K802" s="8">
        <v>15</v>
      </c>
    </row>
    <row r="803" spans="1:11">
      <c r="A803" t="s">
        <v>2741</v>
      </c>
      <c r="B803" s="15">
        <v>45497</v>
      </c>
      <c r="C803" s="4">
        <v>45474</v>
      </c>
      <c r="D803" t="s">
        <v>50</v>
      </c>
      <c r="E803" t="s">
        <v>23</v>
      </c>
      <c r="F803" t="s">
        <v>52</v>
      </c>
      <c r="G803" t="s">
        <v>268</v>
      </c>
      <c r="H803" t="s">
        <v>11</v>
      </c>
      <c r="I803" t="s">
        <v>1935</v>
      </c>
      <c r="J803" t="s">
        <v>1936</v>
      </c>
      <c r="K803" s="8">
        <v>24</v>
      </c>
    </row>
    <row r="804" spans="1:11">
      <c r="A804" t="s">
        <v>2742</v>
      </c>
      <c r="B804" s="15">
        <v>45486</v>
      </c>
      <c r="C804" s="4">
        <v>45474</v>
      </c>
      <c r="D804" t="s">
        <v>50</v>
      </c>
      <c r="E804" t="s">
        <v>23</v>
      </c>
      <c r="F804" t="s">
        <v>52</v>
      </c>
      <c r="G804" t="s">
        <v>274</v>
      </c>
      <c r="H804" t="s">
        <v>11</v>
      </c>
      <c r="I804" t="s">
        <v>1935</v>
      </c>
      <c r="J804" t="s">
        <v>1938</v>
      </c>
      <c r="K804" s="8">
        <v>32</v>
      </c>
    </row>
    <row r="805" spans="1:11">
      <c r="A805" t="s">
        <v>2743</v>
      </c>
      <c r="B805" s="15">
        <v>45480</v>
      </c>
      <c r="C805" s="4">
        <v>45474</v>
      </c>
      <c r="D805" t="s">
        <v>50</v>
      </c>
      <c r="E805" t="s">
        <v>23</v>
      </c>
      <c r="F805" t="s">
        <v>52</v>
      </c>
      <c r="G805" t="s">
        <v>256</v>
      </c>
      <c r="H805" t="s">
        <v>5</v>
      </c>
      <c r="I805" t="s">
        <v>1935</v>
      </c>
      <c r="J805" t="s">
        <v>1936</v>
      </c>
      <c r="K805" s="8">
        <v>17</v>
      </c>
    </row>
    <row r="806" spans="1:11">
      <c r="A806" t="s">
        <v>2744</v>
      </c>
      <c r="B806" s="15">
        <v>45488</v>
      </c>
      <c r="C806" s="4">
        <v>45474</v>
      </c>
      <c r="D806" t="s">
        <v>53</v>
      </c>
      <c r="E806" t="s">
        <v>23</v>
      </c>
      <c r="F806" t="s">
        <v>55</v>
      </c>
      <c r="G806" t="s">
        <v>264</v>
      </c>
      <c r="H806" t="s">
        <v>14</v>
      </c>
      <c r="I806" t="s">
        <v>1935</v>
      </c>
      <c r="J806" t="s">
        <v>1936</v>
      </c>
      <c r="K806" s="8">
        <v>23</v>
      </c>
    </row>
    <row r="807" spans="1:11">
      <c r="A807" t="s">
        <v>2745</v>
      </c>
      <c r="B807" s="15">
        <v>45479</v>
      </c>
      <c r="C807" s="4">
        <v>45474</v>
      </c>
      <c r="D807" t="s">
        <v>53</v>
      </c>
      <c r="E807" t="s">
        <v>23</v>
      </c>
      <c r="F807" t="s">
        <v>55</v>
      </c>
      <c r="G807" t="s">
        <v>294</v>
      </c>
      <c r="H807" t="s">
        <v>8</v>
      </c>
      <c r="I807" t="s">
        <v>1935</v>
      </c>
      <c r="J807" t="s">
        <v>1936</v>
      </c>
      <c r="K807" s="8">
        <v>23</v>
      </c>
    </row>
    <row r="808" spans="1:11">
      <c r="A808" t="s">
        <v>2746</v>
      </c>
      <c r="B808" s="15">
        <v>45495</v>
      </c>
      <c r="C808" s="4">
        <v>45474</v>
      </c>
      <c r="D808" t="s">
        <v>53</v>
      </c>
      <c r="E808" t="s">
        <v>23</v>
      </c>
      <c r="F808" t="s">
        <v>55</v>
      </c>
      <c r="G808" t="s">
        <v>264</v>
      </c>
      <c r="H808" t="s">
        <v>8</v>
      </c>
      <c r="I808" t="s">
        <v>1942</v>
      </c>
      <c r="J808" t="s">
        <v>1938</v>
      </c>
      <c r="K808" s="8">
        <v>5</v>
      </c>
    </row>
    <row r="809" spans="1:11">
      <c r="A809" t="s">
        <v>2747</v>
      </c>
      <c r="B809" s="15">
        <v>45475</v>
      </c>
      <c r="C809" s="4">
        <v>45474</v>
      </c>
      <c r="D809" t="s">
        <v>53</v>
      </c>
      <c r="E809" t="s">
        <v>23</v>
      </c>
      <c r="F809" t="s">
        <v>55</v>
      </c>
      <c r="G809" t="s">
        <v>252</v>
      </c>
      <c r="H809" t="s">
        <v>5</v>
      </c>
      <c r="I809" t="s">
        <v>1935</v>
      </c>
      <c r="J809" t="s">
        <v>1936</v>
      </c>
      <c r="K809" s="8">
        <v>27</v>
      </c>
    </row>
    <row r="810" spans="1:11">
      <c r="A810" t="s">
        <v>2748</v>
      </c>
      <c r="B810" s="15">
        <v>45482</v>
      </c>
      <c r="C810" s="4">
        <v>45474</v>
      </c>
      <c r="D810" t="s">
        <v>53</v>
      </c>
      <c r="E810" t="s">
        <v>23</v>
      </c>
      <c r="F810" t="s">
        <v>55</v>
      </c>
      <c r="G810" t="s">
        <v>264</v>
      </c>
      <c r="H810" t="s">
        <v>14</v>
      </c>
      <c r="I810" t="s">
        <v>1935</v>
      </c>
      <c r="J810" t="s">
        <v>1936</v>
      </c>
      <c r="K810" s="8">
        <v>34</v>
      </c>
    </row>
    <row r="811" spans="1:11">
      <c r="A811" t="s">
        <v>2749</v>
      </c>
      <c r="B811" s="15">
        <v>45501</v>
      </c>
      <c r="C811" s="4">
        <v>45474</v>
      </c>
      <c r="D811" t="s">
        <v>53</v>
      </c>
      <c r="E811" t="s">
        <v>23</v>
      </c>
      <c r="F811" t="s">
        <v>55</v>
      </c>
      <c r="G811" t="s">
        <v>282</v>
      </c>
      <c r="H811" t="s">
        <v>8</v>
      </c>
      <c r="I811" t="s">
        <v>1935</v>
      </c>
      <c r="J811" t="s">
        <v>1936</v>
      </c>
      <c r="K811" s="8">
        <v>9</v>
      </c>
    </row>
    <row r="812" spans="1:11">
      <c r="A812" t="s">
        <v>2750</v>
      </c>
      <c r="B812" s="15">
        <v>45496</v>
      </c>
      <c r="C812" s="4">
        <v>45474</v>
      </c>
      <c r="D812" t="s">
        <v>53</v>
      </c>
      <c r="E812" t="s">
        <v>23</v>
      </c>
      <c r="F812" t="s">
        <v>55</v>
      </c>
      <c r="G812" t="s">
        <v>240</v>
      </c>
      <c r="H812" t="s">
        <v>14</v>
      </c>
      <c r="I812" t="s">
        <v>1935</v>
      </c>
      <c r="J812" t="s">
        <v>1936</v>
      </c>
      <c r="K812" s="8">
        <v>33</v>
      </c>
    </row>
    <row r="813" spans="1:11">
      <c r="A813" t="s">
        <v>2751</v>
      </c>
      <c r="B813" s="15">
        <v>45496</v>
      </c>
      <c r="C813" s="4">
        <v>45474</v>
      </c>
      <c r="D813" t="s">
        <v>53</v>
      </c>
      <c r="E813" t="s">
        <v>23</v>
      </c>
      <c r="F813" t="s">
        <v>55</v>
      </c>
      <c r="G813" t="s">
        <v>270</v>
      </c>
      <c r="H813" t="s">
        <v>8</v>
      </c>
      <c r="I813" t="s">
        <v>1935</v>
      </c>
      <c r="J813" t="s">
        <v>1936</v>
      </c>
      <c r="K813" s="8">
        <v>9</v>
      </c>
    </row>
    <row r="814" spans="1:11">
      <c r="A814" t="s">
        <v>2752</v>
      </c>
      <c r="B814" s="15">
        <v>45480</v>
      </c>
      <c r="C814" s="4">
        <v>45474</v>
      </c>
      <c r="D814" t="s">
        <v>53</v>
      </c>
      <c r="E814" t="s">
        <v>23</v>
      </c>
      <c r="F814" t="s">
        <v>55</v>
      </c>
      <c r="G814" t="s">
        <v>276</v>
      </c>
      <c r="H814" t="s">
        <v>14</v>
      </c>
      <c r="I814" t="s">
        <v>1935</v>
      </c>
      <c r="J814" t="s">
        <v>1936</v>
      </c>
      <c r="K814" s="8">
        <v>25</v>
      </c>
    </row>
    <row r="815" spans="1:11">
      <c r="A815" t="s">
        <v>2753</v>
      </c>
      <c r="B815" s="15">
        <v>45498</v>
      </c>
      <c r="C815" s="4">
        <v>45474</v>
      </c>
      <c r="D815" t="s">
        <v>53</v>
      </c>
      <c r="E815" t="s">
        <v>23</v>
      </c>
      <c r="F815" t="s">
        <v>55</v>
      </c>
      <c r="G815" t="s">
        <v>282</v>
      </c>
      <c r="H815" t="s">
        <v>14</v>
      </c>
      <c r="I815" t="s">
        <v>1935</v>
      </c>
      <c r="J815" t="s">
        <v>1936</v>
      </c>
      <c r="K815" s="8">
        <v>24</v>
      </c>
    </row>
    <row r="816" spans="1:11">
      <c r="A816" t="s">
        <v>2754</v>
      </c>
      <c r="B816" s="15">
        <v>45493</v>
      </c>
      <c r="C816" s="4">
        <v>45474</v>
      </c>
      <c r="D816" t="s">
        <v>53</v>
      </c>
      <c r="E816" t="s">
        <v>23</v>
      </c>
      <c r="F816" t="s">
        <v>55</v>
      </c>
      <c r="G816" t="s">
        <v>240</v>
      </c>
      <c r="H816" t="s">
        <v>14</v>
      </c>
      <c r="I816" t="s">
        <v>1935</v>
      </c>
      <c r="J816" t="s">
        <v>1938</v>
      </c>
      <c r="K816" s="8">
        <v>18</v>
      </c>
    </row>
    <row r="817" spans="1:11">
      <c r="A817" t="s">
        <v>2755</v>
      </c>
      <c r="B817" s="15">
        <v>45503</v>
      </c>
      <c r="C817" s="4">
        <v>45474</v>
      </c>
      <c r="D817" t="s">
        <v>56</v>
      </c>
      <c r="E817" t="s">
        <v>23</v>
      </c>
      <c r="F817" t="s">
        <v>58</v>
      </c>
      <c r="G817" t="s">
        <v>278</v>
      </c>
      <c r="H817" t="s">
        <v>14</v>
      </c>
      <c r="I817" t="s">
        <v>1935</v>
      </c>
      <c r="J817" t="s">
        <v>1936</v>
      </c>
      <c r="K817" s="8">
        <v>31</v>
      </c>
    </row>
    <row r="818" spans="1:11">
      <c r="A818" t="s">
        <v>2756</v>
      </c>
      <c r="B818" s="15">
        <v>45481</v>
      </c>
      <c r="C818" s="4">
        <v>45474</v>
      </c>
      <c r="D818" t="s">
        <v>56</v>
      </c>
      <c r="E818" t="s">
        <v>23</v>
      </c>
      <c r="F818" t="s">
        <v>58</v>
      </c>
      <c r="G818" t="s">
        <v>260</v>
      </c>
      <c r="H818" t="s">
        <v>5</v>
      </c>
      <c r="I818" t="s">
        <v>1935</v>
      </c>
      <c r="J818" t="s">
        <v>1936</v>
      </c>
      <c r="K818" s="8">
        <v>30</v>
      </c>
    </row>
    <row r="819" spans="1:11">
      <c r="A819" t="s">
        <v>2757</v>
      </c>
      <c r="B819" s="15">
        <v>45486</v>
      </c>
      <c r="C819" s="4">
        <v>45474</v>
      </c>
      <c r="D819" t="s">
        <v>56</v>
      </c>
      <c r="E819" t="s">
        <v>23</v>
      </c>
      <c r="F819" t="s">
        <v>58</v>
      </c>
      <c r="G819" t="s">
        <v>248</v>
      </c>
      <c r="H819" t="s">
        <v>11</v>
      </c>
      <c r="I819" t="s">
        <v>1935</v>
      </c>
      <c r="J819" t="s">
        <v>1954</v>
      </c>
      <c r="K819" s="8">
        <v>33</v>
      </c>
    </row>
    <row r="820" spans="1:11">
      <c r="A820" t="s">
        <v>2758</v>
      </c>
      <c r="B820" s="15">
        <v>45489</v>
      </c>
      <c r="C820" s="4">
        <v>45474</v>
      </c>
      <c r="D820" t="s">
        <v>56</v>
      </c>
      <c r="E820" t="s">
        <v>23</v>
      </c>
      <c r="F820" t="s">
        <v>58</v>
      </c>
      <c r="G820" t="s">
        <v>254</v>
      </c>
      <c r="H820" t="s">
        <v>5</v>
      </c>
      <c r="I820" t="s">
        <v>1935</v>
      </c>
      <c r="J820" t="s">
        <v>1936</v>
      </c>
      <c r="K820" s="8">
        <v>16</v>
      </c>
    </row>
    <row r="821" spans="1:11">
      <c r="A821" t="s">
        <v>2759</v>
      </c>
      <c r="B821" s="15">
        <v>45500</v>
      </c>
      <c r="C821" s="4">
        <v>45474</v>
      </c>
      <c r="D821" t="s">
        <v>56</v>
      </c>
      <c r="E821" t="s">
        <v>23</v>
      </c>
      <c r="F821" t="s">
        <v>58</v>
      </c>
      <c r="G821" t="s">
        <v>266</v>
      </c>
      <c r="H821" t="s">
        <v>11</v>
      </c>
      <c r="I821" t="s">
        <v>1935</v>
      </c>
      <c r="J821" t="s">
        <v>1936</v>
      </c>
      <c r="K821" s="8">
        <v>29</v>
      </c>
    </row>
    <row r="822" spans="1:11">
      <c r="A822" t="s">
        <v>2760</v>
      </c>
      <c r="B822" s="15">
        <v>45497</v>
      </c>
      <c r="C822" s="4">
        <v>45474</v>
      </c>
      <c r="D822" t="s">
        <v>56</v>
      </c>
      <c r="E822" t="s">
        <v>23</v>
      </c>
      <c r="F822" t="s">
        <v>58</v>
      </c>
      <c r="G822" t="s">
        <v>308</v>
      </c>
      <c r="H822" t="s">
        <v>11</v>
      </c>
      <c r="I822" t="s">
        <v>1942</v>
      </c>
      <c r="J822" t="s">
        <v>1936</v>
      </c>
      <c r="K822" s="8">
        <v>8</v>
      </c>
    </row>
    <row r="823" spans="1:11">
      <c r="A823" t="s">
        <v>2761</v>
      </c>
      <c r="B823" s="15">
        <v>45498</v>
      </c>
      <c r="C823" s="4">
        <v>45474</v>
      </c>
      <c r="D823" t="s">
        <v>56</v>
      </c>
      <c r="E823" t="s">
        <v>23</v>
      </c>
      <c r="F823" t="s">
        <v>58</v>
      </c>
      <c r="G823" t="s">
        <v>308</v>
      </c>
      <c r="H823" t="s">
        <v>11</v>
      </c>
      <c r="I823" t="s">
        <v>1942</v>
      </c>
      <c r="J823" t="s">
        <v>1936</v>
      </c>
      <c r="K823" s="8">
        <v>5</v>
      </c>
    </row>
    <row r="824" spans="1:11">
      <c r="A824" t="s">
        <v>2762</v>
      </c>
      <c r="B824" s="15">
        <v>45501</v>
      </c>
      <c r="C824" s="4">
        <v>45474</v>
      </c>
      <c r="D824" t="s">
        <v>56</v>
      </c>
      <c r="E824" t="s">
        <v>23</v>
      </c>
      <c r="F824" t="s">
        <v>58</v>
      </c>
      <c r="G824" t="s">
        <v>308</v>
      </c>
      <c r="H824" t="s">
        <v>11</v>
      </c>
      <c r="I824" t="s">
        <v>1935</v>
      </c>
      <c r="J824" t="s">
        <v>1936</v>
      </c>
      <c r="K824" s="8">
        <v>16</v>
      </c>
    </row>
    <row r="825" spans="1:11">
      <c r="A825" t="s">
        <v>2763</v>
      </c>
      <c r="B825" s="15">
        <v>45476</v>
      </c>
      <c r="C825" s="4">
        <v>45474</v>
      </c>
      <c r="D825" t="s">
        <v>59</v>
      </c>
      <c r="E825" t="s">
        <v>25</v>
      </c>
      <c r="F825" t="s">
        <v>61</v>
      </c>
      <c r="G825" t="s">
        <v>368</v>
      </c>
      <c r="H825" t="s">
        <v>8</v>
      </c>
      <c r="I825" t="s">
        <v>1935</v>
      </c>
      <c r="J825" t="s">
        <v>1936</v>
      </c>
      <c r="K825" s="8">
        <v>35</v>
      </c>
    </row>
    <row r="826" spans="1:11">
      <c r="A826" t="s">
        <v>2764</v>
      </c>
      <c r="B826" s="15">
        <v>45484</v>
      </c>
      <c r="C826" s="4">
        <v>45474</v>
      </c>
      <c r="D826" t="s">
        <v>59</v>
      </c>
      <c r="E826" t="s">
        <v>25</v>
      </c>
      <c r="F826" t="s">
        <v>61</v>
      </c>
      <c r="G826" t="s">
        <v>368</v>
      </c>
      <c r="H826" t="s">
        <v>14</v>
      </c>
      <c r="I826" t="s">
        <v>1935</v>
      </c>
      <c r="J826" t="s">
        <v>1936</v>
      </c>
      <c r="K826" s="8">
        <v>15</v>
      </c>
    </row>
    <row r="827" spans="1:11">
      <c r="A827" t="s">
        <v>2765</v>
      </c>
      <c r="B827" s="15">
        <v>45484</v>
      </c>
      <c r="C827" s="4">
        <v>45474</v>
      </c>
      <c r="D827" t="s">
        <v>59</v>
      </c>
      <c r="E827" t="s">
        <v>25</v>
      </c>
      <c r="F827" t="s">
        <v>61</v>
      </c>
      <c r="G827" t="s">
        <v>332</v>
      </c>
      <c r="H827" t="s">
        <v>8</v>
      </c>
      <c r="I827" t="s">
        <v>1935</v>
      </c>
      <c r="J827" t="s">
        <v>1936</v>
      </c>
      <c r="K827" s="8">
        <v>29</v>
      </c>
    </row>
    <row r="828" spans="1:11">
      <c r="A828" t="s">
        <v>2766</v>
      </c>
      <c r="B828" s="15">
        <v>45489</v>
      </c>
      <c r="C828" s="4">
        <v>45474</v>
      </c>
      <c r="D828" t="s">
        <v>59</v>
      </c>
      <c r="E828" t="s">
        <v>25</v>
      </c>
      <c r="F828" t="s">
        <v>61</v>
      </c>
      <c r="G828" t="s">
        <v>374</v>
      </c>
      <c r="H828" t="s">
        <v>8</v>
      </c>
      <c r="I828" t="s">
        <v>1935</v>
      </c>
      <c r="J828" t="s">
        <v>1936</v>
      </c>
      <c r="K828" s="8">
        <v>30</v>
      </c>
    </row>
    <row r="829" spans="1:11">
      <c r="A829" t="s">
        <v>2767</v>
      </c>
      <c r="B829" s="15">
        <v>45487</v>
      </c>
      <c r="C829" s="4">
        <v>45474</v>
      </c>
      <c r="D829" t="s">
        <v>59</v>
      </c>
      <c r="E829" t="s">
        <v>25</v>
      </c>
      <c r="F829" t="s">
        <v>61</v>
      </c>
      <c r="G829" t="s">
        <v>314</v>
      </c>
      <c r="H829" t="s">
        <v>14</v>
      </c>
      <c r="I829" t="s">
        <v>1935</v>
      </c>
      <c r="J829" t="s">
        <v>1936</v>
      </c>
      <c r="K829" s="8">
        <v>26</v>
      </c>
    </row>
    <row r="830" spans="1:11">
      <c r="A830" t="s">
        <v>2768</v>
      </c>
      <c r="B830" s="15">
        <v>45478</v>
      </c>
      <c r="C830" s="4">
        <v>45474</v>
      </c>
      <c r="D830" t="s">
        <v>59</v>
      </c>
      <c r="E830" t="s">
        <v>25</v>
      </c>
      <c r="F830" t="s">
        <v>61</v>
      </c>
      <c r="G830" t="s">
        <v>320</v>
      </c>
      <c r="H830" t="s">
        <v>11</v>
      </c>
      <c r="I830" t="s">
        <v>1935</v>
      </c>
      <c r="J830" t="s">
        <v>1936</v>
      </c>
      <c r="K830" s="8">
        <v>11</v>
      </c>
    </row>
    <row r="831" spans="1:11">
      <c r="A831" t="s">
        <v>2769</v>
      </c>
      <c r="B831" s="15">
        <v>45488</v>
      </c>
      <c r="C831" s="4">
        <v>45474</v>
      </c>
      <c r="D831" t="s">
        <v>59</v>
      </c>
      <c r="E831" t="s">
        <v>25</v>
      </c>
      <c r="F831" t="s">
        <v>61</v>
      </c>
      <c r="G831" t="s">
        <v>362</v>
      </c>
      <c r="H831" t="s">
        <v>14</v>
      </c>
      <c r="I831" t="s">
        <v>1935</v>
      </c>
      <c r="J831" t="s">
        <v>1936</v>
      </c>
      <c r="K831" s="8">
        <v>12</v>
      </c>
    </row>
    <row r="832" spans="1:11">
      <c r="A832" t="s">
        <v>2770</v>
      </c>
      <c r="B832" s="15">
        <v>45492</v>
      </c>
      <c r="C832" s="4">
        <v>45474</v>
      </c>
      <c r="D832" t="s">
        <v>59</v>
      </c>
      <c r="E832" t="s">
        <v>25</v>
      </c>
      <c r="F832" t="s">
        <v>61</v>
      </c>
      <c r="G832" t="s">
        <v>344</v>
      </c>
      <c r="H832" t="s">
        <v>8</v>
      </c>
      <c r="I832" t="s">
        <v>1935</v>
      </c>
      <c r="J832" t="s">
        <v>1954</v>
      </c>
      <c r="K832" s="8">
        <v>21</v>
      </c>
    </row>
    <row r="833" spans="1:11">
      <c r="A833" t="s">
        <v>2771</v>
      </c>
      <c r="B833" s="15">
        <v>45477</v>
      </c>
      <c r="C833" s="4">
        <v>45474</v>
      </c>
      <c r="D833" t="s">
        <v>59</v>
      </c>
      <c r="E833" t="s">
        <v>25</v>
      </c>
      <c r="F833" t="s">
        <v>61</v>
      </c>
      <c r="G833" t="s">
        <v>332</v>
      </c>
      <c r="H833" t="s">
        <v>8</v>
      </c>
      <c r="I833" t="s">
        <v>1935</v>
      </c>
      <c r="J833" t="s">
        <v>1936</v>
      </c>
      <c r="K833" s="8">
        <v>10</v>
      </c>
    </row>
    <row r="834" spans="1:11">
      <c r="A834" t="s">
        <v>2772</v>
      </c>
      <c r="B834" s="15">
        <v>45477</v>
      </c>
      <c r="C834" s="4">
        <v>45474</v>
      </c>
      <c r="D834" t="s">
        <v>59</v>
      </c>
      <c r="E834" t="s">
        <v>25</v>
      </c>
      <c r="F834" t="s">
        <v>61</v>
      </c>
      <c r="G834" t="s">
        <v>314</v>
      </c>
      <c r="H834" t="s">
        <v>14</v>
      </c>
      <c r="I834" t="s">
        <v>1935</v>
      </c>
      <c r="J834" t="s">
        <v>1936</v>
      </c>
      <c r="K834" s="8">
        <v>34</v>
      </c>
    </row>
    <row r="835" spans="1:11">
      <c r="A835" t="s">
        <v>2773</v>
      </c>
      <c r="B835" s="15">
        <v>45496</v>
      </c>
      <c r="C835" s="4">
        <v>45474</v>
      </c>
      <c r="D835" t="s">
        <v>59</v>
      </c>
      <c r="E835" t="s">
        <v>25</v>
      </c>
      <c r="F835" t="s">
        <v>61</v>
      </c>
      <c r="G835" t="s">
        <v>320</v>
      </c>
      <c r="H835" t="s">
        <v>11</v>
      </c>
      <c r="I835" t="s">
        <v>1935</v>
      </c>
      <c r="J835" t="s">
        <v>1954</v>
      </c>
      <c r="K835" s="8">
        <v>35</v>
      </c>
    </row>
    <row r="836" spans="1:11">
      <c r="A836" t="s">
        <v>2774</v>
      </c>
      <c r="B836" s="15">
        <v>45477</v>
      </c>
      <c r="C836" s="4">
        <v>45474</v>
      </c>
      <c r="D836" t="s">
        <v>59</v>
      </c>
      <c r="E836" t="s">
        <v>25</v>
      </c>
      <c r="F836" t="s">
        <v>61</v>
      </c>
      <c r="G836" t="s">
        <v>320</v>
      </c>
      <c r="H836" t="s">
        <v>11</v>
      </c>
      <c r="I836" t="s">
        <v>1935</v>
      </c>
      <c r="J836" t="s">
        <v>1936</v>
      </c>
      <c r="K836" s="8">
        <v>16</v>
      </c>
    </row>
    <row r="837" spans="1:11">
      <c r="A837" t="s">
        <v>2775</v>
      </c>
      <c r="B837" s="15">
        <v>45484</v>
      </c>
      <c r="C837" s="4">
        <v>45474</v>
      </c>
      <c r="D837" t="s">
        <v>62</v>
      </c>
      <c r="E837" t="s">
        <v>25</v>
      </c>
      <c r="F837" t="s">
        <v>64</v>
      </c>
      <c r="G837" t="s">
        <v>370</v>
      </c>
      <c r="H837" t="s">
        <v>8</v>
      </c>
      <c r="I837" t="s">
        <v>1935</v>
      </c>
      <c r="J837" t="s">
        <v>1938</v>
      </c>
      <c r="K837" s="8">
        <v>31</v>
      </c>
    </row>
    <row r="838" spans="1:11">
      <c r="A838" t="s">
        <v>2776</v>
      </c>
      <c r="B838" s="15">
        <v>45482</v>
      </c>
      <c r="C838" s="4">
        <v>45474</v>
      </c>
      <c r="D838" t="s">
        <v>62</v>
      </c>
      <c r="E838" t="s">
        <v>25</v>
      </c>
      <c r="F838" t="s">
        <v>64</v>
      </c>
      <c r="G838" t="s">
        <v>358</v>
      </c>
      <c r="H838" t="s">
        <v>8</v>
      </c>
      <c r="I838" t="s">
        <v>1935</v>
      </c>
      <c r="J838" t="s">
        <v>1938</v>
      </c>
      <c r="K838" s="8">
        <v>18</v>
      </c>
    </row>
    <row r="839" spans="1:11">
      <c r="A839" t="s">
        <v>2777</v>
      </c>
      <c r="B839" s="15">
        <v>45488</v>
      </c>
      <c r="C839" s="4">
        <v>45474</v>
      </c>
      <c r="D839" t="s">
        <v>62</v>
      </c>
      <c r="E839" t="s">
        <v>25</v>
      </c>
      <c r="F839" t="s">
        <v>64</v>
      </c>
      <c r="G839" t="s">
        <v>340</v>
      </c>
      <c r="H839" t="s">
        <v>8</v>
      </c>
      <c r="I839" t="s">
        <v>1935</v>
      </c>
      <c r="J839" t="s">
        <v>1954</v>
      </c>
      <c r="K839" s="8">
        <v>34</v>
      </c>
    </row>
    <row r="840" spans="1:11">
      <c r="A840" t="s">
        <v>2778</v>
      </c>
      <c r="B840" s="15">
        <v>45488</v>
      </c>
      <c r="C840" s="4">
        <v>45474</v>
      </c>
      <c r="D840" t="s">
        <v>62</v>
      </c>
      <c r="E840" t="s">
        <v>25</v>
      </c>
      <c r="F840" t="s">
        <v>64</v>
      </c>
      <c r="G840" t="s">
        <v>370</v>
      </c>
      <c r="H840" t="s">
        <v>8</v>
      </c>
      <c r="I840" t="s">
        <v>1935</v>
      </c>
      <c r="J840" t="s">
        <v>1936</v>
      </c>
      <c r="K840" s="8">
        <v>9</v>
      </c>
    </row>
    <row r="841" spans="1:11">
      <c r="A841" t="s">
        <v>2779</v>
      </c>
      <c r="B841" s="15">
        <v>45500</v>
      </c>
      <c r="C841" s="4">
        <v>45474</v>
      </c>
      <c r="D841" t="s">
        <v>62</v>
      </c>
      <c r="E841" t="s">
        <v>25</v>
      </c>
      <c r="F841" t="s">
        <v>64</v>
      </c>
      <c r="G841" t="s">
        <v>340</v>
      </c>
      <c r="H841" t="s">
        <v>8</v>
      </c>
      <c r="I841" t="s">
        <v>1935</v>
      </c>
      <c r="J841" t="s">
        <v>1936</v>
      </c>
      <c r="K841" s="8">
        <v>34</v>
      </c>
    </row>
    <row r="842" spans="1:11">
      <c r="A842" t="s">
        <v>2780</v>
      </c>
      <c r="B842" s="15">
        <v>45486</v>
      </c>
      <c r="C842" s="4">
        <v>45474</v>
      </c>
      <c r="D842" t="s">
        <v>62</v>
      </c>
      <c r="E842" t="s">
        <v>25</v>
      </c>
      <c r="F842" t="s">
        <v>64</v>
      </c>
      <c r="G842" t="s">
        <v>358</v>
      </c>
      <c r="H842" t="s">
        <v>8</v>
      </c>
      <c r="I842" t="s">
        <v>1935</v>
      </c>
      <c r="J842" t="s">
        <v>1936</v>
      </c>
      <c r="K842" s="8">
        <v>31</v>
      </c>
    </row>
    <row r="843" spans="1:11">
      <c r="A843" t="s">
        <v>2781</v>
      </c>
      <c r="B843" s="15">
        <v>45504</v>
      </c>
      <c r="C843" s="4">
        <v>45474</v>
      </c>
      <c r="D843" t="s">
        <v>62</v>
      </c>
      <c r="E843" t="s">
        <v>25</v>
      </c>
      <c r="F843" t="s">
        <v>64</v>
      </c>
      <c r="G843" t="s">
        <v>340</v>
      </c>
      <c r="H843" t="s">
        <v>11</v>
      </c>
      <c r="I843" t="s">
        <v>1935</v>
      </c>
      <c r="J843" t="s">
        <v>1936</v>
      </c>
      <c r="K843" s="8">
        <v>23</v>
      </c>
    </row>
    <row r="844" spans="1:11">
      <c r="A844" t="s">
        <v>2782</v>
      </c>
      <c r="B844" s="15">
        <v>45486</v>
      </c>
      <c r="C844" s="4">
        <v>45474</v>
      </c>
      <c r="D844" t="s">
        <v>62</v>
      </c>
      <c r="E844" t="s">
        <v>25</v>
      </c>
      <c r="F844" t="s">
        <v>64</v>
      </c>
      <c r="G844" t="s">
        <v>334</v>
      </c>
      <c r="H844" t="s">
        <v>14</v>
      </c>
      <c r="I844" t="s">
        <v>1935</v>
      </c>
      <c r="J844" t="s">
        <v>1954</v>
      </c>
      <c r="K844" s="8">
        <v>28</v>
      </c>
    </row>
    <row r="845" spans="1:11">
      <c r="A845" t="s">
        <v>2783</v>
      </c>
      <c r="B845" s="15">
        <v>45490</v>
      </c>
      <c r="C845" s="4">
        <v>45474</v>
      </c>
      <c r="D845" t="s">
        <v>62</v>
      </c>
      <c r="E845" t="s">
        <v>25</v>
      </c>
      <c r="F845" t="s">
        <v>64</v>
      </c>
      <c r="G845" t="s">
        <v>328</v>
      </c>
      <c r="H845" t="s">
        <v>8</v>
      </c>
      <c r="I845" t="s">
        <v>1935</v>
      </c>
      <c r="J845" t="s">
        <v>1936</v>
      </c>
      <c r="K845" s="8">
        <v>33</v>
      </c>
    </row>
    <row r="846" spans="1:11">
      <c r="A846" t="s">
        <v>2784</v>
      </c>
      <c r="B846" s="15">
        <v>45486</v>
      </c>
      <c r="C846" s="4">
        <v>45474</v>
      </c>
      <c r="D846" t="s">
        <v>65</v>
      </c>
      <c r="E846" t="s">
        <v>25</v>
      </c>
      <c r="F846" t="s">
        <v>67</v>
      </c>
      <c r="G846" t="s">
        <v>378</v>
      </c>
      <c r="H846" t="s">
        <v>11</v>
      </c>
      <c r="I846" t="s">
        <v>1935</v>
      </c>
      <c r="J846" t="s">
        <v>1936</v>
      </c>
      <c r="K846" s="8">
        <v>15</v>
      </c>
    </row>
    <row r="847" spans="1:11">
      <c r="A847" t="s">
        <v>2785</v>
      </c>
      <c r="B847" s="15">
        <v>45499</v>
      </c>
      <c r="C847" s="4">
        <v>45474</v>
      </c>
      <c r="D847" t="s">
        <v>65</v>
      </c>
      <c r="E847" t="s">
        <v>25</v>
      </c>
      <c r="F847" t="s">
        <v>67</v>
      </c>
      <c r="G847" t="s">
        <v>318</v>
      </c>
      <c r="H847" t="s">
        <v>14</v>
      </c>
      <c r="I847" t="s">
        <v>1935</v>
      </c>
      <c r="J847" t="s">
        <v>1936</v>
      </c>
      <c r="K847" s="8">
        <v>8</v>
      </c>
    </row>
    <row r="848" spans="1:11">
      <c r="A848" t="s">
        <v>2786</v>
      </c>
      <c r="B848" s="15">
        <v>45502</v>
      </c>
      <c r="C848" s="4">
        <v>45474</v>
      </c>
      <c r="D848" t="s">
        <v>65</v>
      </c>
      <c r="E848" t="s">
        <v>25</v>
      </c>
      <c r="F848" t="s">
        <v>67</v>
      </c>
      <c r="G848" t="s">
        <v>342</v>
      </c>
      <c r="H848" t="s">
        <v>8</v>
      </c>
      <c r="I848" t="s">
        <v>1935</v>
      </c>
      <c r="J848" t="s">
        <v>1936</v>
      </c>
      <c r="K848" s="8">
        <v>28</v>
      </c>
    </row>
    <row r="849" spans="1:11">
      <c r="A849" t="s">
        <v>2787</v>
      </c>
      <c r="B849" s="15">
        <v>45494</v>
      </c>
      <c r="C849" s="4">
        <v>45474</v>
      </c>
      <c r="D849" t="s">
        <v>65</v>
      </c>
      <c r="E849" t="s">
        <v>25</v>
      </c>
      <c r="F849" t="s">
        <v>67</v>
      </c>
      <c r="G849" t="s">
        <v>348</v>
      </c>
      <c r="H849" t="s">
        <v>11</v>
      </c>
      <c r="I849" t="s">
        <v>1935</v>
      </c>
      <c r="J849" t="s">
        <v>1938</v>
      </c>
      <c r="K849" s="8">
        <v>31</v>
      </c>
    </row>
    <row r="850" spans="1:11">
      <c r="A850" t="s">
        <v>2788</v>
      </c>
      <c r="B850" s="15">
        <v>45484</v>
      </c>
      <c r="C850" s="4">
        <v>45474</v>
      </c>
      <c r="D850" t="s">
        <v>65</v>
      </c>
      <c r="E850" t="s">
        <v>25</v>
      </c>
      <c r="F850" t="s">
        <v>67</v>
      </c>
      <c r="G850" t="s">
        <v>318</v>
      </c>
      <c r="H850" t="s">
        <v>14</v>
      </c>
      <c r="I850" t="s">
        <v>1935</v>
      </c>
      <c r="J850" t="s">
        <v>1936</v>
      </c>
      <c r="K850" s="8">
        <v>17</v>
      </c>
    </row>
    <row r="851" spans="1:11">
      <c r="A851" t="s">
        <v>2789</v>
      </c>
      <c r="B851" s="15">
        <v>45498</v>
      </c>
      <c r="C851" s="4">
        <v>45474</v>
      </c>
      <c r="D851" t="s">
        <v>65</v>
      </c>
      <c r="E851" t="s">
        <v>25</v>
      </c>
      <c r="F851" t="s">
        <v>67</v>
      </c>
      <c r="G851" t="s">
        <v>348</v>
      </c>
      <c r="H851" t="s">
        <v>11</v>
      </c>
      <c r="I851" t="s">
        <v>1935</v>
      </c>
      <c r="J851" t="s">
        <v>1936</v>
      </c>
      <c r="K851" s="8">
        <v>13</v>
      </c>
    </row>
    <row r="852" spans="1:11">
      <c r="A852" t="s">
        <v>2790</v>
      </c>
      <c r="B852" s="15">
        <v>45488</v>
      </c>
      <c r="C852" s="4">
        <v>45474</v>
      </c>
      <c r="D852" t="s">
        <v>65</v>
      </c>
      <c r="E852" t="s">
        <v>25</v>
      </c>
      <c r="F852" t="s">
        <v>67</v>
      </c>
      <c r="G852" t="s">
        <v>360</v>
      </c>
      <c r="H852" t="s">
        <v>5</v>
      </c>
      <c r="I852" t="s">
        <v>1935</v>
      </c>
      <c r="J852" t="s">
        <v>1936</v>
      </c>
      <c r="K852" s="8">
        <v>19</v>
      </c>
    </row>
    <row r="853" spans="1:11">
      <c r="A853" t="s">
        <v>2791</v>
      </c>
      <c r="B853" s="15">
        <v>45476</v>
      </c>
      <c r="C853" s="4">
        <v>45474</v>
      </c>
      <c r="D853" t="s">
        <v>65</v>
      </c>
      <c r="E853" t="s">
        <v>25</v>
      </c>
      <c r="F853" t="s">
        <v>67</v>
      </c>
      <c r="G853" t="s">
        <v>354</v>
      </c>
      <c r="H853" t="s">
        <v>8</v>
      </c>
      <c r="I853" t="s">
        <v>1935</v>
      </c>
      <c r="J853" t="s">
        <v>1936</v>
      </c>
      <c r="K853" s="8">
        <v>23</v>
      </c>
    </row>
    <row r="854" spans="1:11">
      <c r="A854" t="s">
        <v>2792</v>
      </c>
      <c r="B854" s="15">
        <v>45479</v>
      </c>
      <c r="C854" s="4">
        <v>45474</v>
      </c>
      <c r="D854" t="s">
        <v>65</v>
      </c>
      <c r="E854" t="s">
        <v>25</v>
      </c>
      <c r="F854" t="s">
        <v>67</v>
      </c>
      <c r="G854" t="s">
        <v>354</v>
      </c>
      <c r="H854" t="s">
        <v>11</v>
      </c>
      <c r="I854" t="s">
        <v>1935</v>
      </c>
      <c r="J854" t="s">
        <v>1936</v>
      </c>
      <c r="K854" s="8">
        <v>32</v>
      </c>
    </row>
    <row r="855" spans="1:11">
      <c r="A855" t="s">
        <v>2793</v>
      </c>
      <c r="B855" s="15">
        <v>45489</v>
      </c>
      <c r="C855" s="4">
        <v>45474</v>
      </c>
      <c r="D855" t="s">
        <v>65</v>
      </c>
      <c r="E855" t="s">
        <v>25</v>
      </c>
      <c r="F855" t="s">
        <v>67</v>
      </c>
      <c r="G855" t="s">
        <v>348</v>
      </c>
      <c r="H855" t="s">
        <v>11</v>
      </c>
      <c r="I855" t="s">
        <v>1942</v>
      </c>
      <c r="J855" t="s">
        <v>1936</v>
      </c>
      <c r="K855" s="8">
        <v>2</v>
      </c>
    </row>
    <row r="856" spans="1:11">
      <c r="A856" t="s">
        <v>2794</v>
      </c>
      <c r="B856" s="15">
        <v>45493</v>
      </c>
      <c r="C856" s="4">
        <v>45474</v>
      </c>
      <c r="D856" t="s">
        <v>65</v>
      </c>
      <c r="E856" t="s">
        <v>25</v>
      </c>
      <c r="F856" t="s">
        <v>67</v>
      </c>
      <c r="G856" t="s">
        <v>330</v>
      </c>
      <c r="H856" t="s">
        <v>8</v>
      </c>
      <c r="I856" t="s">
        <v>1935</v>
      </c>
      <c r="J856" t="s">
        <v>1936</v>
      </c>
      <c r="K856" s="8">
        <v>29</v>
      </c>
    </row>
    <row r="857" spans="1:11">
      <c r="A857" t="s">
        <v>2795</v>
      </c>
      <c r="B857" s="15">
        <v>45493</v>
      </c>
      <c r="C857" s="4">
        <v>45474</v>
      </c>
      <c r="D857" t="s">
        <v>65</v>
      </c>
      <c r="E857" t="s">
        <v>25</v>
      </c>
      <c r="F857" t="s">
        <v>67</v>
      </c>
      <c r="G857" t="s">
        <v>324</v>
      </c>
      <c r="H857" t="s">
        <v>11</v>
      </c>
      <c r="I857" t="s">
        <v>1935</v>
      </c>
      <c r="J857" t="s">
        <v>1936</v>
      </c>
      <c r="K857" s="8">
        <v>27</v>
      </c>
    </row>
    <row r="858" spans="1:11">
      <c r="A858" t="s">
        <v>2796</v>
      </c>
      <c r="B858" s="15">
        <v>45517</v>
      </c>
      <c r="C858" s="4">
        <v>45505</v>
      </c>
      <c r="D858" t="s">
        <v>32</v>
      </c>
      <c r="E858" t="s">
        <v>19</v>
      </c>
      <c r="F858" t="s">
        <v>34</v>
      </c>
      <c r="G858" t="s">
        <v>124</v>
      </c>
      <c r="H858" t="s">
        <v>5</v>
      </c>
      <c r="I858" t="s">
        <v>1935</v>
      </c>
      <c r="J858" t="s">
        <v>1936</v>
      </c>
      <c r="K858" s="8">
        <v>12</v>
      </c>
    </row>
    <row r="859" spans="1:11">
      <c r="A859" t="s">
        <v>2797</v>
      </c>
      <c r="B859" s="15">
        <v>45511</v>
      </c>
      <c r="C859" s="4">
        <v>45505</v>
      </c>
      <c r="D859" t="s">
        <v>32</v>
      </c>
      <c r="E859" t="s">
        <v>19</v>
      </c>
      <c r="F859" t="s">
        <v>34</v>
      </c>
      <c r="G859" t="s">
        <v>130</v>
      </c>
      <c r="H859" t="s">
        <v>14</v>
      </c>
      <c r="I859" t="s">
        <v>1935</v>
      </c>
      <c r="J859" t="s">
        <v>1954</v>
      </c>
      <c r="K859" s="8">
        <v>18</v>
      </c>
    </row>
    <row r="860" spans="1:11">
      <c r="A860" t="s">
        <v>2798</v>
      </c>
      <c r="B860" s="15">
        <v>45525</v>
      </c>
      <c r="C860" s="4">
        <v>45505</v>
      </c>
      <c r="D860" t="s">
        <v>32</v>
      </c>
      <c r="E860" t="s">
        <v>19</v>
      </c>
      <c r="F860" t="s">
        <v>34</v>
      </c>
      <c r="G860" t="s">
        <v>75</v>
      </c>
      <c r="H860" t="s">
        <v>14</v>
      </c>
      <c r="I860" t="s">
        <v>1935</v>
      </c>
      <c r="J860" t="s">
        <v>1938</v>
      </c>
      <c r="K860" s="8">
        <v>30</v>
      </c>
    </row>
    <row r="861" spans="1:11">
      <c r="A861" t="s">
        <v>2799</v>
      </c>
      <c r="B861" s="15">
        <v>45533</v>
      </c>
      <c r="C861" s="4">
        <v>45505</v>
      </c>
      <c r="D861" t="s">
        <v>32</v>
      </c>
      <c r="E861" t="s">
        <v>19</v>
      </c>
      <c r="F861" t="s">
        <v>34</v>
      </c>
      <c r="G861" t="s">
        <v>75</v>
      </c>
      <c r="H861" t="s">
        <v>5</v>
      </c>
      <c r="I861" t="s">
        <v>1942</v>
      </c>
      <c r="J861" t="s">
        <v>1936</v>
      </c>
      <c r="K861" s="8">
        <v>1</v>
      </c>
    </row>
    <row r="862" spans="1:11">
      <c r="A862" t="s">
        <v>2800</v>
      </c>
      <c r="B862" s="15">
        <v>45507</v>
      </c>
      <c r="C862" s="4">
        <v>45505</v>
      </c>
      <c r="D862" t="s">
        <v>32</v>
      </c>
      <c r="E862" t="s">
        <v>19</v>
      </c>
      <c r="F862" t="s">
        <v>34</v>
      </c>
      <c r="G862" t="s">
        <v>124</v>
      </c>
      <c r="H862" t="s">
        <v>11</v>
      </c>
      <c r="I862" t="s">
        <v>1935</v>
      </c>
      <c r="J862" t="s">
        <v>1936</v>
      </c>
      <c r="K862" s="8">
        <v>10</v>
      </c>
    </row>
    <row r="863" spans="1:11">
      <c r="A863" t="s">
        <v>2801</v>
      </c>
      <c r="B863" s="15">
        <v>45505</v>
      </c>
      <c r="C863" s="4">
        <v>45505</v>
      </c>
      <c r="D863" t="s">
        <v>32</v>
      </c>
      <c r="E863" t="s">
        <v>19</v>
      </c>
      <c r="F863" t="s">
        <v>34</v>
      </c>
      <c r="G863" t="s">
        <v>99</v>
      </c>
      <c r="H863" t="s">
        <v>14</v>
      </c>
      <c r="I863" t="s">
        <v>1942</v>
      </c>
      <c r="J863" t="s">
        <v>1936</v>
      </c>
      <c r="K863" s="8">
        <v>5</v>
      </c>
    </row>
    <row r="864" spans="1:11">
      <c r="A864" t="s">
        <v>2802</v>
      </c>
      <c r="B864" s="15">
        <v>45512</v>
      </c>
      <c r="C864" s="4">
        <v>45505</v>
      </c>
      <c r="D864" t="s">
        <v>32</v>
      </c>
      <c r="E864" t="s">
        <v>19</v>
      </c>
      <c r="F864" t="s">
        <v>34</v>
      </c>
      <c r="G864" t="s">
        <v>75</v>
      </c>
      <c r="H864" t="s">
        <v>11</v>
      </c>
      <c r="I864" t="s">
        <v>1935</v>
      </c>
      <c r="J864" t="s">
        <v>1936</v>
      </c>
      <c r="K864" s="8">
        <v>32</v>
      </c>
    </row>
    <row r="865" spans="1:11">
      <c r="A865" t="s">
        <v>2803</v>
      </c>
      <c r="B865" s="15">
        <v>45513</v>
      </c>
      <c r="C865" s="4">
        <v>45505</v>
      </c>
      <c r="D865" t="s">
        <v>32</v>
      </c>
      <c r="E865" t="s">
        <v>19</v>
      </c>
      <c r="F865" t="s">
        <v>34</v>
      </c>
      <c r="G865" t="s">
        <v>75</v>
      </c>
      <c r="H865" t="s">
        <v>5</v>
      </c>
      <c r="I865" t="s">
        <v>1935</v>
      </c>
      <c r="J865" t="s">
        <v>1936</v>
      </c>
      <c r="K865" s="8">
        <v>18</v>
      </c>
    </row>
    <row r="866" spans="1:11">
      <c r="A866" t="s">
        <v>2804</v>
      </c>
      <c r="B866" s="15">
        <v>45535</v>
      </c>
      <c r="C866" s="4">
        <v>45505</v>
      </c>
      <c r="D866" t="s">
        <v>32</v>
      </c>
      <c r="E866" t="s">
        <v>19</v>
      </c>
      <c r="F866" t="s">
        <v>34</v>
      </c>
      <c r="G866" t="s">
        <v>75</v>
      </c>
      <c r="H866" t="s">
        <v>5</v>
      </c>
      <c r="I866" t="s">
        <v>1935</v>
      </c>
      <c r="J866" t="s">
        <v>1938</v>
      </c>
      <c r="K866" s="8">
        <v>8</v>
      </c>
    </row>
    <row r="867" spans="1:11">
      <c r="A867" t="s">
        <v>2805</v>
      </c>
      <c r="B867" s="15">
        <v>45507</v>
      </c>
      <c r="C867" s="4">
        <v>45505</v>
      </c>
      <c r="D867" t="s">
        <v>32</v>
      </c>
      <c r="E867" t="s">
        <v>19</v>
      </c>
      <c r="F867" t="s">
        <v>34</v>
      </c>
      <c r="G867" t="s">
        <v>124</v>
      </c>
      <c r="H867" t="s">
        <v>8</v>
      </c>
      <c r="I867" t="s">
        <v>1935</v>
      </c>
      <c r="J867" t="s">
        <v>1938</v>
      </c>
      <c r="K867" s="8">
        <v>28</v>
      </c>
    </row>
    <row r="868" spans="1:11">
      <c r="A868" t="s">
        <v>2806</v>
      </c>
      <c r="B868" s="15">
        <v>45521</v>
      </c>
      <c r="C868" s="4">
        <v>45505</v>
      </c>
      <c r="D868" t="s">
        <v>35</v>
      </c>
      <c r="E868" t="s">
        <v>19</v>
      </c>
      <c r="F868" t="s">
        <v>37</v>
      </c>
      <c r="G868" t="s">
        <v>107</v>
      </c>
      <c r="H868" t="s">
        <v>8</v>
      </c>
      <c r="I868" t="s">
        <v>1935</v>
      </c>
      <c r="J868" t="s">
        <v>1954</v>
      </c>
      <c r="K868" s="8">
        <v>13</v>
      </c>
    </row>
    <row r="869" spans="1:11">
      <c r="A869" t="s">
        <v>2807</v>
      </c>
      <c r="B869" s="15">
        <v>45518</v>
      </c>
      <c r="C869" s="4">
        <v>45505</v>
      </c>
      <c r="D869" t="s">
        <v>35</v>
      </c>
      <c r="E869" t="s">
        <v>19</v>
      </c>
      <c r="F869" t="s">
        <v>37</v>
      </c>
      <c r="G869" t="s">
        <v>88</v>
      </c>
      <c r="H869" t="s">
        <v>8</v>
      </c>
      <c r="I869" t="s">
        <v>1935</v>
      </c>
      <c r="J869" t="s">
        <v>1936</v>
      </c>
      <c r="K869" s="8">
        <v>20</v>
      </c>
    </row>
    <row r="870" spans="1:11">
      <c r="A870" t="s">
        <v>2808</v>
      </c>
      <c r="B870" s="15">
        <v>45507</v>
      </c>
      <c r="C870" s="4">
        <v>45505</v>
      </c>
      <c r="D870" t="s">
        <v>35</v>
      </c>
      <c r="E870" t="s">
        <v>19</v>
      </c>
      <c r="F870" t="s">
        <v>37</v>
      </c>
      <c r="G870" t="s">
        <v>78</v>
      </c>
      <c r="H870" t="s">
        <v>8</v>
      </c>
      <c r="I870" t="s">
        <v>1995</v>
      </c>
      <c r="J870" t="s">
        <v>1936</v>
      </c>
      <c r="K870" s="8">
        <v>3</v>
      </c>
    </row>
    <row r="871" spans="1:11">
      <c r="A871" t="s">
        <v>2809</v>
      </c>
      <c r="B871" s="15">
        <v>45533</v>
      </c>
      <c r="C871" s="4">
        <v>45505</v>
      </c>
      <c r="D871" t="s">
        <v>35</v>
      </c>
      <c r="E871" t="s">
        <v>19</v>
      </c>
      <c r="F871" t="s">
        <v>37</v>
      </c>
      <c r="G871" t="s">
        <v>107</v>
      </c>
      <c r="H871" t="s">
        <v>8</v>
      </c>
      <c r="I871" t="s">
        <v>1935</v>
      </c>
      <c r="J871" t="s">
        <v>1936</v>
      </c>
      <c r="K871" s="8">
        <v>32</v>
      </c>
    </row>
    <row r="872" spans="1:11">
      <c r="A872" t="s">
        <v>2810</v>
      </c>
      <c r="B872" s="15">
        <v>45516</v>
      </c>
      <c r="C872" s="4">
        <v>45505</v>
      </c>
      <c r="D872" t="s">
        <v>35</v>
      </c>
      <c r="E872" t="s">
        <v>19</v>
      </c>
      <c r="F872" t="s">
        <v>37</v>
      </c>
      <c r="G872" t="s">
        <v>101</v>
      </c>
      <c r="H872" t="s">
        <v>5</v>
      </c>
      <c r="I872" t="s">
        <v>1935</v>
      </c>
      <c r="J872" t="s">
        <v>1936</v>
      </c>
      <c r="K872" s="8">
        <v>14</v>
      </c>
    </row>
    <row r="873" spans="1:11">
      <c r="A873" t="s">
        <v>2811</v>
      </c>
      <c r="B873" s="15">
        <v>45517</v>
      </c>
      <c r="C873" s="4">
        <v>45505</v>
      </c>
      <c r="D873" t="s">
        <v>35</v>
      </c>
      <c r="E873" t="s">
        <v>19</v>
      </c>
      <c r="F873" t="s">
        <v>37</v>
      </c>
      <c r="G873" t="s">
        <v>88</v>
      </c>
      <c r="H873" t="s">
        <v>8</v>
      </c>
      <c r="I873" t="s">
        <v>1935</v>
      </c>
      <c r="J873" t="s">
        <v>1938</v>
      </c>
      <c r="K873" s="8">
        <v>10</v>
      </c>
    </row>
    <row r="874" spans="1:11">
      <c r="A874" t="s">
        <v>2812</v>
      </c>
      <c r="B874" s="15">
        <v>45508</v>
      </c>
      <c r="C874" s="4">
        <v>45505</v>
      </c>
      <c r="D874" t="s">
        <v>35</v>
      </c>
      <c r="E874" t="s">
        <v>19</v>
      </c>
      <c r="F874" t="s">
        <v>37</v>
      </c>
      <c r="G874" t="s">
        <v>78</v>
      </c>
      <c r="H874" t="s">
        <v>5</v>
      </c>
      <c r="I874" t="s">
        <v>1935</v>
      </c>
      <c r="J874" t="s">
        <v>1936</v>
      </c>
      <c r="K874" s="8">
        <v>11</v>
      </c>
    </row>
    <row r="875" spans="1:11">
      <c r="A875" t="s">
        <v>2813</v>
      </c>
      <c r="B875" s="15">
        <v>45525</v>
      </c>
      <c r="C875" s="4">
        <v>45505</v>
      </c>
      <c r="D875" t="s">
        <v>35</v>
      </c>
      <c r="E875" t="s">
        <v>19</v>
      </c>
      <c r="F875" t="s">
        <v>37</v>
      </c>
      <c r="G875" t="s">
        <v>78</v>
      </c>
      <c r="H875" t="s">
        <v>5</v>
      </c>
      <c r="I875" t="s">
        <v>1935</v>
      </c>
      <c r="J875" t="s">
        <v>1936</v>
      </c>
      <c r="K875" s="8">
        <v>17</v>
      </c>
    </row>
    <row r="876" spans="1:11">
      <c r="A876" t="s">
        <v>2814</v>
      </c>
      <c r="B876" s="15">
        <v>45520</v>
      </c>
      <c r="C876" s="4">
        <v>45505</v>
      </c>
      <c r="D876" t="s">
        <v>38</v>
      </c>
      <c r="E876" t="s">
        <v>19</v>
      </c>
      <c r="F876" t="s">
        <v>40</v>
      </c>
      <c r="G876" t="s">
        <v>146</v>
      </c>
      <c r="H876" t="s">
        <v>5</v>
      </c>
      <c r="I876" t="s">
        <v>1935</v>
      </c>
      <c r="J876" t="s">
        <v>1936</v>
      </c>
      <c r="K876" s="8">
        <v>26</v>
      </c>
    </row>
    <row r="877" spans="1:11">
      <c r="A877" t="s">
        <v>2815</v>
      </c>
      <c r="B877" s="15">
        <v>45530</v>
      </c>
      <c r="C877" s="4">
        <v>45505</v>
      </c>
      <c r="D877" t="s">
        <v>38</v>
      </c>
      <c r="E877" t="s">
        <v>19</v>
      </c>
      <c r="F877" t="s">
        <v>40</v>
      </c>
      <c r="G877" t="s">
        <v>115</v>
      </c>
      <c r="H877" t="s">
        <v>14</v>
      </c>
      <c r="I877" t="s">
        <v>1935</v>
      </c>
      <c r="J877" t="s">
        <v>1936</v>
      </c>
      <c r="K877" s="8">
        <v>29</v>
      </c>
    </row>
    <row r="878" spans="1:11">
      <c r="A878" t="s">
        <v>2816</v>
      </c>
      <c r="B878" s="15">
        <v>45514</v>
      </c>
      <c r="C878" s="4">
        <v>45505</v>
      </c>
      <c r="D878" t="s">
        <v>38</v>
      </c>
      <c r="E878" t="s">
        <v>19</v>
      </c>
      <c r="F878" t="s">
        <v>40</v>
      </c>
      <c r="G878" t="s">
        <v>146</v>
      </c>
      <c r="H878" t="s">
        <v>8</v>
      </c>
      <c r="I878" t="s">
        <v>1935</v>
      </c>
      <c r="J878" t="s">
        <v>1936</v>
      </c>
      <c r="K878" s="8">
        <v>31</v>
      </c>
    </row>
    <row r="879" spans="1:11">
      <c r="A879" t="s">
        <v>2817</v>
      </c>
      <c r="B879" s="15">
        <v>45512</v>
      </c>
      <c r="C879" s="4">
        <v>45505</v>
      </c>
      <c r="D879" t="s">
        <v>38</v>
      </c>
      <c r="E879" t="s">
        <v>19</v>
      </c>
      <c r="F879" t="s">
        <v>40</v>
      </c>
      <c r="G879" t="s">
        <v>109</v>
      </c>
      <c r="H879" t="s">
        <v>11</v>
      </c>
      <c r="I879" t="s">
        <v>1935</v>
      </c>
      <c r="J879" t="s">
        <v>1936</v>
      </c>
      <c r="K879" s="8">
        <v>34</v>
      </c>
    </row>
    <row r="880" spans="1:11">
      <c r="A880" t="s">
        <v>2818</v>
      </c>
      <c r="B880" s="15">
        <v>45519</v>
      </c>
      <c r="C880" s="4">
        <v>45505</v>
      </c>
      <c r="D880" t="s">
        <v>38</v>
      </c>
      <c r="E880" t="s">
        <v>19</v>
      </c>
      <c r="F880" t="s">
        <v>40</v>
      </c>
      <c r="G880" t="s">
        <v>90</v>
      </c>
      <c r="H880" t="s">
        <v>5</v>
      </c>
      <c r="I880" t="s">
        <v>1935</v>
      </c>
      <c r="J880" t="s">
        <v>1954</v>
      </c>
      <c r="K880" s="8">
        <v>20</v>
      </c>
    </row>
    <row r="881" spans="1:11">
      <c r="A881" t="s">
        <v>2819</v>
      </c>
      <c r="B881" s="15">
        <v>45505</v>
      </c>
      <c r="C881" s="4">
        <v>45505</v>
      </c>
      <c r="D881" t="s">
        <v>38</v>
      </c>
      <c r="E881" t="s">
        <v>19</v>
      </c>
      <c r="F881" t="s">
        <v>40</v>
      </c>
      <c r="G881" t="s">
        <v>128</v>
      </c>
      <c r="H881" t="s">
        <v>5</v>
      </c>
      <c r="I881" t="s">
        <v>1935</v>
      </c>
      <c r="J881" t="s">
        <v>1936</v>
      </c>
      <c r="K881" s="8">
        <v>30</v>
      </c>
    </row>
    <row r="882" spans="1:11">
      <c r="A882" t="s">
        <v>2820</v>
      </c>
      <c r="B882" s="15">
        <v>45533</v>
      </c>
      <c r="C882" s="4">
        <v>45505</v>
      </c>
      <c r="D882" t="s">
        <v>38</v>
      </c>
      <c r="E882" t="s">
        <v>19</v>
      </c>
      <c r="F882" t="s">
        <v>40</v>
      </c>
      <c r="G882" t="s">
        <v>134</v>
      </c>
      <c r="H882" t="s">
        <v>8</v>
      </c>
      <c r="I882" t="s">
        <v>1942</v>
      </c>
      <c r="J882" t="s">
        <v>1938</v>
      </c>
      <c r="K882" s="8">
        <v>1</v>
      </c>
    </row>
    <row r="883" spans="1:11">
      <c r="A883" t="s">
        <v>2821</v>
      </c>
      <c r="B883" s="15">
        <v>45525</v>
      </c>
      <c r="C883" s="4">
        <v>45505</v>
      </c>
      <c r="D883" t="s">
        <v>38</v>
      </c>
      <c r="E883" t="s">
        <v>19</v>
      </c>
      <c r="F883" t="s">
        <v>40</v>
      </c>
      <c r="G883" t="s">
        <v>152</v>
      </c>
      <c r="H883" t="s">
        <v>5</v>
      </c>
      <c r="I883" t="s">
        <v>1935</v>
      </c>
      <c r="J883" t="s">
        <v>1936</v>
      </c>
      <c r="K883" s="8">
        <v>30</v>
      </c>
    </row>
    <row r="884" spans="1:11">
      <c r="A884" t="s">
        <v>2822</v>
      </c>
      <c r="B884" s="15">
        <v>45516</v>
      </c>
      <c r="C884" s="4">
        <v>45505</v>
      </c>
      <c r="D884" t="s">
        <v>41</v>
      </c>
      <c r="E884" t="s">
        <v>21</v>
      </c>
      <c r="F884" t="s">
        <v>43</v>
      </c>
      <c r="G884" t="s">
        <v>190</v>
      </c>
      <c r="H884" t="s">
        <v>14</v>
      </c>
      <c r="I884" t="s">
        <v>1935</v>
      </c>
      <c r="J884" t="s">
        <v>1936</v>
      </c>
      <c r="K884" s="8">
        <v>18</v>
      </c>
    </row>
    <row r="885" spans="1:11">
      <c r="A885" t="s">
        <v>2823</v>
      </c>
      <c r="B885" s="15">
        <v>45523</v>
      </c>
      <c r="C885" s="4">
        <v>45505</v>
      </c>
      <c r="D885" t="s">
        <v>41</v>
      </c>
      <c r="E885" t="s">
        <v>21</v>
      </c>
      <c r="F885" t="s">
        <v>43</v>
      </c>
      <c r="G885" t="s">
        <v>190</v>
      </c>
      <c r="H885" t="s">
        <v>5</v>
      </c>
      <c r="I885" t="s">
        <v>1942</v>
      </c>
      <c r="J885" t="s">
        <v>1936</v>
      </c>
      <c r="K885" s="8">
        <v>0</v>
      </c>
    </row>
    <row r="886" spans="1:11">
      <c r="A886" t="s">
        <v>2824</v>
      </c>
      <c r="B886" s="15">
        <v>45508</v>
      </c>
      <c r="C886" s="4">
        <v>45505</v>
      </c>
      <c r="D886" t="s">
        <v>41</v>
      </c>
      <c r="E886" t="s">
        <v>21</v>
      </c>
      <c r="F886" t="s">
        <v>43</v>
      </c>
      <c r="G886" t="s">
        <v>196</v>
      </c>
      <c r="H886" t="s">
        <v>8</v>
      </c>
      <c r="I886" t="s">
        <v>1935</v>
      </c>
      <c r="J886" t="s">
        <v>1936</v>
      </c>
      <c r="K886" s="8">
        <v>22</v>
      </c>
    </row>
    <row r="887" spans="1:11">
      <c r="A887" t="s">
        <v>2825</v>
      </c>
      <c r="B887" s="15">
        <v>45527</v>
      </c>
      <c r="C887" s="4">
        <v>45505</v>
      </c>
      <c r="D887" t="s">
        <v>41</v>
      </c>
      <c r="E887" t="s">
        <v>21</v>
      </c>
      <c r="F887" t="s">
        <v>43</v>
      </c>
      <c r="G887" t="s">
        <v>172</v>
      </c>
      <c r="H887" t="s">
        <v>11</v>
      </c>
      <c r="I887" t="s">
        <v>1935</v>
      </c>
      <c r="J887" t="s">
        <v>1936</v>
      </c>
      <c r="K887" s="8">
        <v>33</v>
      </c>
    </row>
    <row r="888" spans="1:11">
      <c r="A888" t="s">
        <v>2826</v>
      </c>
      <c r="B888" s="15">
        <v>45512</v>
      </c>
      <c r="C888" s="4">
        <v>45505</v>
      </c>
      <c r="D888" t="s">
        <v>41</v>
      </c>
      <c r="E888" t="s">
        <v>21</v>
      </c>
      <c r="F888" t="s">
        <v>43</v>
      </c>
      <c r="G888" t="s">
        <v>220</v>
      </c>
      <c r="H888" t="s">
        <v>11</v>
      </c>
      <c r="I888" t="s">
        <v>1935</v>
      </c>
      <c r="J888" t="s">
        <v>1936</v>
      </c>
      <c r="K888" s="8">
        <v>26</v>
      </c>
    </row>
    <row r="889" spans="1:11">
      <c r="A889" t="s">
        <v>2827</v>
      </c>
      <c r="B889" s="15">
        <v>45522</v>
      </c>
      <c r="C889" s="4">
        <v>45505</v>
      </c>
      <c r="D889" t="s">
        <v>41</v>
      </c>
      <c r="E889" t="s">
        <v>21</v>
      </c>
      <c r="F889" t="s">
        <v>43</v>
      </c>
      <c r="G889" t="s">
        <v>214</v>
      </c>
      <c r="H889" t="s">
        <v>8</v>
      </c>
      <c r="I889" t="s">
        <v>1935</v>
      </c>
      <c r="J889" t="s">
        <v>1936</v>
      </c>
      <c r="K889" s="8">
        <v>28</v>
      </c>
    </row>
    <row r="890" spans="1:11">
      <c r="A890" t="s">
        <v>2828</v>
      </c>
      <c r="B890" s="15">
        <v>45509</v>
      </c>
      <c r="C890" s="4">
        <v>45505</v>
      </c>
      <c r="D890" t="s">
        <v>41</v>
      </c>
      <c r="E890" t="s">
        <v>21</v>
      </c>
      <c r="F890" t="s">
        <v>43</v>
      </c>
      <c r="G890" t="s">
        <v>208</v>
      </c>
      <c r="H890" t="s">
        <v>11</v>
      </c>
      <c r="I890" t="s">
        <v>1935</v>
      </c>
      <c r="J890" t="s">
        <v>1938</v>
      </c>
      <c r="K890" s="8">
        <v>11</v>
      </c>
    </row>
    <row r="891" spans="1:11">
      <c r="A891" t="s">
        <v>2829</v>
      </c>
      <c r="B891" s="15">
        <v>45512</v>
      </c>
      <c r="C891" s="4">
        <v>45505</v>
      </c>
      <c r="D891" t="s">
        <v>41</v>
      </c>
      <c r="E891" t="s">
        <v>21</v>
      </c>
      <c r="F891" t="s">
        <v>43</v>
      </c>
      <c r="G891" t="s">
        <v>178</v>
      </c>
      <c r="H891" t="s">
        <v>11</v>
      </c>
      <c r="I891" t="s">
        <v>1935</v>
      </c>
      <c r="J891" t="s">
        <v>1936</v>
      </c>
      <c r="K891" s="8">
        <v>13</v>
      </c>
    </row>
    <row r="892" spans="1:11">
      <c r="A892" t="s">
        <v>2830</v>
      </c>
      <c r="B892" s="15">
        <v>45515</v>
      </c>
      <c r="C892" s="4">
        <v>45505</v>
      </c>
      <c r="D892" t="s">
        <v>41</v>
      </c>
      <c r="E892" t="s">
        <v>21</v>
      </c>
      <c r="F892" t="s">
        <v>43</v>
      </c>
      <c r="G892" t="s">
        <v>172</v>
      </c>
      <c r="H892" t="s">
        <v>11</v>
      </c>
      <c r="I892" t="s">
        <v>1935</v>
      </c>
      <c r="J892" t="s">
        <v>1936</v>
      </c>
      <c r="K892" s="8">
        <v>27</v>
      </c>
    </row>
    <row r="893" spans="1:11">
      <c r="A893" t="s">
        <v>2831</v>
      </c>
      <c r="B893" s="15">
        <v>45521</v>
      </c>
      <c r="C893" s="4">
        <v>45505</v>
      </c>
      <c r="D893" t="s">
        <v>41</v>
      </c>
      <c r="E893" t="s">
        <v>21</v>
      </c>
      <c r="F893" t="s">
        <v>43</v>
      </c>
      <c r="G893" t="s">
        <v>202</v>
      </c>
      <c r="H893" t="s">
        <v>14</v>
      </c>
      <c r="I893" t="s">
        <v>1935</v>
      </c>
      <c r="J893" t="s">
        <v>1936</v>
      </c>
      <c r="K893" s="8">
        <v>10</v>
      </c>
    </row>
    <row r="894" spans="1:11">
      <c r="A894" t="s">
        <v>2832</v>
      </c>
      <c r="B894" s="15">
        <v>45532</v>
      </c>
      <c r="C894" s="4">
        <v>45505</v>
      </c>
      <c r="D894" t="s">
        <v>44</v>
      </c>
      <c r="E894" t="s">
        <v>21</v>
      </c>
      <c r="F894" t="s">
        <v>46</v>
      </c>
      <c r="G894" t="s">
        <v>228</v>
      </c>
      <c r="H894" t="s">
        <v>11</v>
      </c>
      <c r="I894" t="s">
        <v>1935</v>
      </c>
      <c r="J894" t="s">
        <v>1936</v>
      </c>
      <c r="K894" s="8">
        <v>20</v>
      </c>
    </row>
    <row r="895" spans="1:11">
      <c r="A895" t="s">
        <v>2833</v>
      </c>
      <c r="B895" s="15">
        <v>45532</v>
      </c>
      <c r="C895" s="4">
        <v>45505</v>
      </c>
      <c r="D895" t="s">
        <v>44</v>
      </c>
      <c r="E895" t="s">
        <v>21</v>
      </c>
      <c r="F895" t="s">
        <v>46</v>
      </c>
      <c r="G895" t="s">
        <v>216</v>
      </c>
      <c r="H895" t="s">
        <v>14</v>
      </c>
      <c r="I895" t="s">
        <v>1935</v>
      </c>
      <c r="J895" t="s">
        <v>1936</v>
      </c>
      <c r="K895" s="8">
        <v>18</v>
      </c>
    </row>
    <row r="896" spans="1:11">
      <c r="A896" t="s">
        <v>2834</v>
      </c>
      <c r="B896" s="15">
        <v>45521</v>
      </c>
      <c r="C896" s="4">
        <v>45505</v>
      </c>
      <c r="D896" t="s">
        <v>44</v>
      </c>
      <c r="E896" t="s">
        <v>21</v>
      </c>
      <c r="F896" t="s">
        <v>46</v>
      </c>
      <c r="G896" t="s">
        <v>198</v>
      </c>
      <c r="H896" t="s">
        <v>8</v>
      </c>
      <c r="I896" t="s">
        <v>1935</v>
      </c>
      <c r="J896" t="s">
        <v>1936</v>
      </c>
      <c r="K896" s="8">
        <v>20</v>
      </c>
    </row>
    <row r="897" spans="1:11">
      <c r="A897" t="s">
        <v>2835</v>
      </c>
      <c r="B897" s="15">
        <v>45516</v>
      </c>
      <c r="C897" s="4">
        <v>45505</v>
      </c>
      <c r="D897" t="s">
        <v>44</v>
      </c>
      <c r="E897" t="s">
        <v>21</v>
      </c>
      <c r="F897" t="s">
        <v>46</v>
      </c>
      <c r="G897" t="s">
        <v>186</v>
      </c>
      <c r="H897" t="s">
        <v>11</v>
      </c>
      <c r="I897" t="s">
        <v>1935</v>
      </c>
      <c r="J897" t="s">
        <v>1938</v>
      </c>
      <c r="K897" s="8">
        <v>28</v>
      </c>
    </row>
    <row r="898" spans="1:11">
      <c r="A898" t="s">
        <v>2836</v>
      </c>
      <c r="B898" s="15">
        <v>45520</v>
      </c>
      <c r="C898" s="4">
        <v>45505</v>
      </c>
      <c r="D898" t="s">
        <v>44</v>
      </c>
      <c r="E898" t="s">
        <v>21</v>
      </c>
      <c r="F898" t="s">
        <v>46</v>
      </c>
      <c r="G898" t="s">
        <v>168</v>
      </c>
      <c r="H898" t="s">
        <v>5</v>
      </c>
      <c r="I898" t="s">
        <v>1935</v>
      </c>
      <c r="J898" t="s">
        <v>1938</v>
      </c>
      <c r="K898" s="8">
        <v>26</v>
      </c>
    </row>
    <row r="899" spans="1:11">
      <c r="A899" t="s">
        <v>2837</v>
      </c>
      <c r="B899" s="15">
        <v>45534</v>
      </c>
      <c r="C899" s="4">
        <v>45505</v>
      </c>
      <c r="D899" t="s">
        <v>44</v>
      </c>
      <c r="E899" t="s">
        <v>21</v>
      </c>
      <c r="F899" t="s">
        <v>46</v>
      </c>
      <c r="G899" t="s">
        <v>186</v>
      </c>
      <c r="H899" t="s">
        <v>8</v>
      </c>
      <c r="I899" t="s">
        <v>1935</v>
      </c>
      <c r="J899" t="s">
        <v>1936</v>
      </c>
      <c r="K899" s="8">
        <v>35</v>
      </c>
    </row>
    <row r="900" spans="1:11">
      <c r="A900" t="s">
        <v>2838</v>
      </c>
      <c r="B900" s="15">
        <v>45520</v>
      </c>
      <c r="C900" s="4">
        <v>45505</v>
      </c>
      <c r="D900" t="s">
        <v>44</v>
      </c>
      <c r="E900" t="s">
        <v>21</v>
      </c>
      <c r="F900" t="s">
        <v>46</v>
      </c>
      <c r="G900" t="s">
        <v>186</v>
      </c>
      <c r="H900" t="s">
        <v>5</v>
      </c>
      <c r="I900" t="s">
        <v>1995</v>
      </c>
      <c r="J900" t="s">
        <v>1936</v>
      </c>
      <c r="K900" s="8">
        <v>6</v>
      </c>
    </row>
    <row r="901" spans="1:11">
      <c r="A901" t="s">
        <v>2839</v>
      </c>
      <c r="B901" s="15">
        <v>45516</v>
      </c>
      <c r="C901" s="4">
        <v>45505</v>
      </c>
      <c r="D901" t="s">
        <v>47</v>
      </c>
      <c r="E901" t="s">
        <v>21</v>
      </c>
      <c r="F901" t="s">
        <v>49</v>
      </c>
      <c r="G901" t="s">
        <v>236</v>
      </c>
      <c r="H901" t="s">
        <v>14</v>
      </c>
      <c r="I901" t="s">
        <v>1935</v>
      </c>
      <c r="J901" t="s">
        <v>1936</v>
      </c>
      <c r="K901" s="8">
        <v>31</v>
      </c>
    </row>
    <row r="902" spans="1:11">
      <c r="A902" t="s">
        <v>2840</v>
      </c>
      <c r="B902" s="15">
        <v>45525</v>
      </c>
      <c r="C902" s="4">
        <v>45505</v>
      </c>
      <c r="D902" t="s">
        <v>47</v>
      </c>
      <c r="E902" t="s">
        <v>21</v>
      </c>
      <c r="F902" t="s">
        <v>49</v>
      </c>
      <c r="G902" t="s">
        <v>170</v>
      </c>
      <c r="H902" t="s">
        <v>8</v>
      </c>
      <c r="I902" t="s">
        <v>1935</v>
      </c>
      <c r="J902" t="s">
        <v>1936</v>
      </c>
      <c r="K902" s="8">
        <v>11</v>
      </c>
    </row>
    <row r="903" spans="1:11">
      <c r="A903" t="s">
        <v>2841</v>
      </c>
      <c r="B903" s="15">
        <v>45518</v>
      </c>
      <c r="C903" s="4">
        <v>45505</v>
      </c>
      <c r="D903" t="s">
        <v>47</v>
      </c>
      <c r="E903" t="s">
        <v>21</v>
      </c>
      <c r="F903" t="s">
        <v>49</v>
      </c>
      <c r="G903" t="s">
        <v>170</v>
      </c>
      <c r="H903" t="s">
        <v>8</v>
      </c>
      <c r="I903" t="s">
        <v>1935</v>
      </c>
      <c r="J903" t="s">
        <v>1936</v>
      </c>
      <c r="K903" s="8">
        <v>21</v>
      </c>
    </row>
    <row r="904" spans="1:11">
      <c r="A904" t="s">
        <v>2842</v>
      </c>
      <c r="B904" s="15">
        <v>45525</v>
      </c>
      <c r="C904" s="4">
        <v>45505</v>
      </c>
      <c r="D904" t="s">
        <v>47</v>
      </c>
      <c r="E904" t="s">
        <v>21</v>
      </c>
      <c r="F904" t="s">
        <v>49</v>
      </c>
      <c r="G904" t="s">
        <v>182</v>
      </c>
      <c r="H904" t="s">
        <v>5</v>
      </c>
      <c r="I904" t="s">
        <v>1935</v>
      </c>
      <c r="J904" t="s">
        <v>1936</v>
      </c>
      <c r="K904" s="8">
        <v>17</v>
      </c>
    </row>
    <row r="905" spans="1:11">
      <c r="A905" t="s">
        <v>2843</v>
      </c>
      <c r="B905" s="15">
        <v>45515</v>
      </c>
      <c r="C905" s="4">
        <v>45505</v>
      </c>
      <c r="D905" t="s">
        <v>47</v>
      </c>
      <c r="E905" t="s">
        <v>21</v>
      </c>
      <c r="F905" t="s">
        <v>49</v>
      </c>
      <c r="G905" t="s">
        <v>170</v>
      </c>
      <c r="H905" t="s">
        <v>14</v>
      </c>
      <c r="I905" t="s">
        <v>1935</v>
      </c>
      <c r="J905" t="s">
        <v>1938</v>
      </c>
      <c r="K905" s="8">
        <v>15</v>
      </c>
    </row>
    <row r="906" spans="1:11">
      <c r="A906" t="s">
        <v>2844</v>
      </c>
      <c r="B906" s="15">
        <v>45529</v>
      </c>
      <c r="C906" s="4">
        <v>45505</v>
      </c>
      <c r="D906" t="s">
        <v>47</v>
      </c>
      <c r="E906" t="s">
        <v>21</v>
      </c>
      <c r="F906" t="s">
        <v>49</v>
      </c>
      <c r="G906" t="s">
        <v>224</v>
      </c>
      <c r="H906" t="s">
        <v>5</v>
      </c>
      <c r="I906" t="s">
        <v>1935</v>
      </c>
      <c r="J906" t="s">
        <v>1936</v>
      </c>
      <c r="K906" s="8">
        <v>12</v>
      </c>
    </row>
    <row r="907" spans="1:11">
      <c r="A907" t="s">
        <v>2845</v>
      </c>
      <c r="B907" s="15">
        <v>45511</v>
      </c>
      <c r="C907" s="4">
        <v>45505</v>
      </c>
      <c r="D907" t="s">
        <v>47</v>
      </c>
      <c r="E907" t="s">
        <v>21</v>
      </c>
      <c r="F907" t="s">
        <v>49</v>
      </c>
      <c r="G907" t="s">
        <v>194</v>
      </c>
      <c r="H907" t="s">
        <v>14</v>
      </c>
      <c r="I907" t="s">
        <v>1935</v>
      </c>
      <c r="J907" t="s">
        <v>1936</v>
      </c>
      <c r="K907" s="8">
        <v>34</v>
      </c>
    </row>
    <row r="908" spans="1:11">
      <c r="A908" t="s">
        <v>2846</v>
      </c>
      <c r="B908" s="15">
        <v>45534</v>
      </c>
      <c r="C908" s="4">
        <v>45505</v>
      </c>
      <c r="D908" t="s">
        <v>47</v>
      </c>
      <c r="E908" t="s">
        <v>21</v>
      </c>
      <c r="F908" t="s">
        <v>49</v>
      </c>
      <c r="G908" t="s">
        <v>236</v>
      </c>
      <c r="H908" t="s">
        <v>8</v>
      </c>
      <c r="I908" t="s">
        <v>1935</v>
      </c>
      <c r="J908" t="s">
        <v>1936</v>
      </c>
      <c r="K908" s="8">
        <v>12</v>
      </c>
    </row>
    <row r="909" spans="1:11">
      <c r="A909" t="s">
        <v>2847</v>
      </c>
      <c r="B909" s="15">
        <v>45525</v>
      </c>
      <c r="C909" s="4">
        <v>45505</v>
      </c>
      <c r="D909" t="s">
        <v>47</v>
      </c>
      <c r="E909" t="s">
        <v>21</v>
      </c>
      <c r="F909" t="s">
        <v>49</v>
      </c>
      <c r="G909" t="s">
        <v>200</v>
      </c>
      <c r="H909" t="s">
        <v>8</v>
      </c>
      <c r="I909" t="s">
        <v>1935</v>
      </c>
      <c r="J909" t="s">
        <v>1938</v>
      </c>
      <c r="K909" s="8">
        <v>33</v>
      </c>
    </row>
    <row r="910" spans="1:11">
      <c r="A910" t="s">
        <v>2848</v>
      </c>
      <c r="B910" s="15">
        <v>45507</v>
      </c>
      <c r="C910" s="4">
        <v>45505</v>
      </c>
      <c r="D910" t="s">
        <v>47</v>
      </c>
      <c r="E910" t="s">
        <v>21</v>
      </c>
      <c r="F910" t="s">
        <v>49</v>
      </c>
      <c r="G910" t="s">
        <v>182</v>
      </c>
      <c r="H910" t="s">
        <v>5</v>
      </c>
      <c r="I910" t="s">
        <v>1935</v>
      </c>
      <c r="J910" t="s">
        <v>1954</v>
      </c>
      <c r="K910" s="8">
        <v>9</v>
      </c>
    </row>
    <row r="911" spans="1:11">
      <c r="A911" t="s">
        <v>2849</v>
      </c>
      <c r="B911" s="15">
        <v>45518</v>
      </c>
      <c r="C911" s="4">
        <v>45505</v>
      </c>
      <c r="D911" t="s">
        <v>50</v>
      </c>
      <c r="E911" t="s">
        <v>23</v>
      </c>
      <c r="F911" t="s">
        <v>52</v>
      </c>
      <c r="G911" t="s">
        <v>262</v>
      </c>
      <c r="H911" t="s">
        <v>5</v>
      </c>
      <c r="I911" t="s">
        <v>1935</v>
      </c>
      <c r="J911" t="s">
        <v>1938</v>
      </c>
      <c r="K911" s="8">
        <v>31</v>
      </c>
    </row>
    <row r="912" spans="1:11">
      <c r="A912" t="s">
        <v>2850</v>
      </c>
      <c r="B912" s="15">
        <v>45534</v>
      </c>
      <c r="C912" s="4">
        <v>45505</v>
      </c>
      <c r="D912" t="s">
        <v>50</v>
      </c>
      <c r="E912" t="s">
        <v>23</v>
      </c>
      <c r="F912" t="s">
        <v>52</v>
      </c>
      <c r="G912" t="s">
        <v>280</v>
      </c>
      <c r="H912" t="s">
        <v>11</v>
      </c>
      <c r="I912" t="s">
        <v>1935</v>
      </c>
      <c r="J912" t="s">
        <v>1938</v>
      </c>
      <c r="K912" s="8">
        <v>16</v>
      </c>
    </row>
    <row r="913" spans="1:11">
      <c r="A913" t="s">
        <v>2851</v>
      </c>
      <c r="B913" s="15">
        <v>45533</v>
      </c>
      <c r="C913" s="4">
        <v>45505</v>
      </c>
      <c r="D913" t="s">
        <v>50</v>
      </c>
      <c r="E913" t="s">
        <v>23</v>
      </c>
      <c r="F913" t="s">
        <v>52</v>
      </c>
      <c r="G913" t="s">
        <v>280</v>
      </c>
      <c r="H913" t="s">
        <v>11</v>
      </c>
      <c r="I913" t="s">
        <v>1935</v>
      </c>
      <c r="J913" t="s">
        <v>1936</v>
      </c>
      <c r="K913" s="8">
        <v>18</v>
      </c>
    </row>
    <row r="914" spans="1:11">
      <c r="A914" t="s">
        <v>2852</v>
      </c>
      <c r="B914" s="15">
        <v>45528</v>
      </c>
      <c r="C914" s="4">
        <v>45505</v>
      </c>
      <c r="D914" t="s">
        <v>50</v>
      </c>
      <c r="E914" t="s">
        <v>23</v>
      </c>
      <c r="F914" t="s">
        <v>52</v>
      </c>
      <c r="G914" t="s">
        <v>280</v>
      </c>
      <c r="H914" t="s">
        <v>11</v>
      </c>
      <c r="I914" t="s">
        <v>1935</v>
      </c>
      <c r="J914" t="s">
        <v>1936</v>
      </c>
      <c r="K914" s="8">
        <v>21</v>
      </c>
    </row>
    <row r="915" spans="1:11">
      <c r="A915" t="s">
        <v>2853</v>
      </c>
      <c r="B915" s="15">
        <v>45508</v>
      </c>
      <c r="C915" s="4">
        <v>45505</v>
      </c>
      <c r="D915" t="s">
        <v>50</v>
      </c>
      <c r="E915" t="s">
        <v>23</v>
      </c>
      <c r="F915" t="s">
        <v>52</v>
      </c>
      <c r="G915" t="s">
        <v>280</v>
      </c>
      <c r="H915" t="s">
        <v>14</v>
      </c>
      <c r="I915" t="s">
        <v>1935</v>
      </c>
      <c r="J915" t="s">
        <v>1938</v>
      </c>
      <c r="K915" s="8">
        <v>25</v>
      </c>
    </row>
    <row r="916" spans="1:11">
      <c r="A916" t="s">
        <v>2854</v>
      </c>
      <c r="B916" s="15">
        <v>45518</v>
      </c>
      <c r="C916" s="4">
        <v>45505</v>
      </c>
      <c r="D916" t="s">
        <v>50</v>
      </c>
      <c r="E916" t="s">
        <v>23</v>
      </c>
      <c r="F916" t="s">
        <v>52</v>
      </c>
      <c r="G916" t="s">
        <v>280</v>
      </c>
      <c r="H916" t="s">
        <v>11</v>
      </c>
      <c r="I916" t="s">
        <v>1935</v>
      </c>
      <c r="J916" t="s">
        <v>1938</v>
      </c>
      <c r="K916" s="8">
        <v>30</v>
      </c>
    </row>
    <row r="917" spans="1:11">
      <c r="A917" t="s">
        <v>2855</v>
      </c>
      <c r="B917" s="15">
        <v>45512</v>
      </c>
      <c r="C917" s="4">
        <v>45505</v>
      </c>
      <c r="D917" t="s">
        <v>50</v>
      </c>
      <c r="E917" t="s">
        <v>23</v>
      </c>
      <c r="F917" t="s">
        <v>52</v>
      </c>
      <c r="G917" t="s">
        <v>310</v>
      </c>
      <c r="H917" t="s">
        <v>11</v>
      </c>
      <c r="I917" t="s">
        <v>1935</v>
      </c>
      <c r="J917" t="s">
        <v>1954</v>
      </c>
      <c r="K917" s="8">
        <v>22</v>
      </c>
    </row>
    <row r="918" spans="1:11">
      <c r="A918" t="s">
        <v>2856</v>
      </c>
      <c r="B918" s="15">
        <v>45525</v>
      </c>
      <c r="C918" s="4">
        <v>45505</v>
      </c>
      <c r="D918" t="s">
        <v>50</v>
      </c>
      <c r="E918" t="s">
        <v>23</v>
      </c>
      <c r="F918" t="s">
        <v>52</v>
      </c>
      <c r="G918" t="s">
        <v>238</v>
      </c>
      <c r="H918" t="s">
        <v>8</v>
      </c>
      <c r="I918" t="s">
        <v>1935</v>
      </c>
      <c r="J918" t="s">
        <v>1936</v>
      </c>
      <c r="K918" s="8">
        <v>27</v>
      </c>
    </row>
    <row r="919" spans="1:11">
      <c r="A919" t="s">
        <v>2857</v>
      </c>
      <c r="B919" s="15">
        <v>45517</v>
      </c>
      <c r="C919" s="4">
        <v>45505</v>
      </c>
      <c r="D919" t="s">
        <v>50</v>
      </c>
      <c r="E919" t="s">
        <v>23</v>
      </c>
      <c r="F919" t="s">
        <v>52</v>
      </c>
      <c r="G919" t="s">
        <v>292</v>
      </c>
      <c r="H919" t="s">
        <v>8</v>
      </c>
      <c r="I919" t="s">
        <v>1935</v>
      </c>
      <c r="J919" t="s">
        <v>1936</v>
      </c>
      <c r="K919" s="8">
        <v>21</v>
      </c>
    </row>
    <row r="920" spans="1:11">
      <c r="A920" t="s">
        <v>2858</v>
      </c>
      <c r="B920" s="15">
        <v>45511</v>
      </c>
      <c r="C920" s="4">
        <v>45505</v>
      </c>
      <c r="D920" t="s">
        <v>50</v>
      </c>
      <c r="E920" t="s">
        <v>23</v>
      </c>
      <c r="F920" t="s">
        <v>52</v>
      </c>
      <c r="G920" t="s">
        <v>292</v>
      </c>
      <c r="H920" t="s">
        <v>11</v>
      </c>
      <c r="I920" t="s">
        <v>1935</v>
      </c>
      <c r="J920" t="s">
        <v>1936</v>
      </c>
      <c r="K920" s="8">
        <v>19</v>
      </c>
    </row>
    <row r="921" spans="1:11">
      <c r="A921" t="s">
        <v>2859</v>
      </c>
      <c r="B921" s="15">
        <v>45527</v>
      </c>
      <c r="C921" s="4">
        <v>45505</v>
      </c>
      <c r="D921" t="s">
        <v>50</v>
      </c>
      <c r="E921" t="s">
        <v>23</v>
      </c>
      <c r="F921" t="s">
        <v>52</v>
      </c>
      <c r="G921" t="s">
        <v>292</v>
      </c>
      <c r="H921" t="s">
        <v>11</v>
      </c>
      <c r="I921" t="s">
        <v>1935</v>
      </c>
      <c r="J921" t="s">
        <v>1936</v>
      </c>
      <c r="K921" s="8">
        <v>12</v>
      </c>
    </row>
    <row r="922" spans="1:11">
      <c r="A922" t="s">
        <v>2860</v>
      </c>
      <c r="B922" s="15">
        <v>45512</v>
      </c>
      <c r="C922" s="4">
        <v>45505</v>
      </c>
      <c r="D922" t="s">
        <v>50</v>
      </c>
      <c r="E922" t="s">
        <v>23</v>
      </c>
      <c r="F922" t="s">
        <v>52</v>
      </c>
      <c r="G922" t="s">
        <v>292</v>
      </c>
      <c r="H922" t="s">
        <v>11</v>
      </c>
      <c r="I922" t="s">
        <v>1935</v>
      </c>
      <c r="J922" t="s">
        <v>1936</v>
      </c>
      <c r="K922" s="8">
        <v>22</v>
      </c>
    </row>
    <row r="923" spans="1:11">
      <c r="A923" t="s">
        <v>2861</v>
      </c>
      <c r="B923" s="15">
        <v>45529</v>
      </c>
      <c r="C923" s="4">
        <v>45505</v>
      </c>
      <c r="D923" t="s">
        <v>50</v>
      </c>
      <c r="E923" t="s">
        <v>23</v>
      </c>
      <c r="F923" t="s">
        <v>52</v>
      </c>
      <c r="G923" t="s">
        <v>298</v>
      </c>
      <c r="H923" t="s">
        <v>14</v>
      </c>
      <c r="I923" t="s">
        <v>1935</v>
      </c>
      <c r="J923" t="s">
        <v>1938</v>
      </c>
      <c r="K923" s="8">
        <v>11</v>
      </c>
    </row>
    <row r="924" spans="1:11">
      <c r="A924" t="s">
        <v>2862</v>
      </c>
      <c r="B924" s="15">
        <v>45524</v>
      </c>
      <c r="C924" s="4">
        <v>45505</v>
      </c>
      <c r="D924" t="s">
        <v>53</v>
      </c>
      <c r="E924" t="s">
        <v>23</v>
      </c>
      <c r="F924" t="s">
        <v>55</v>
      </c>
      <c r="G924" t="s">
        <v>276</v>
      </c>
      <c r="H924" t="s">
        <v>8</v>
      </c>
      <c r="I924" t="s">
        <v>1935</v>
      </c>
      <c r="J924" t="s">
        <v>1936</v>
      </c>
      <c r="K924" s="8">
        <v>19</v>
      </c>
    </row>
    <row r="925" spans="1:11">
      <c r="A925" t="s">
        <v>2863</v>
      </c>
      <c r="B925" s="15">
        <v>45507</v>
      </c>
      <c r="C925" s="4">
        <v>45505</v>
      </c>
      <c r="D925" t="s">
        <v>53</v>
      </c>
      <c r="E925" t="s">
        <v>23</v>
      </c>
      <c r="F925" t="s">
        <v>55</v>
      </c>
      <c r="G925" t="s">
        <v>276</v>
      </c>
      <c r="H925" t="s">
        <v>8</v>
      </c>
      <c r="I925" t="s">
        <v>1942</v>
      </c>
      <c r="J925" t="s">
        <v>1936</v>
      </c>
      <c r="K925" s="8">
        <v>7</v>
      </c>
    </row>
    <row r="926" spans="1:11">
      <c r="A926" t="s">
        <v>2864</v>
      </c>
      <c r="B926" s="15">
        <v>45518</v>
      </c>
      <c r="C926" s="4">
        <v>45505</v>
      </c>
      <c r="D926" t="s">
        <v>53</v>
      </c>
      <c r="E926" t="s">
        <v>23</v>
      </c>
      <c r="F926" t="s">
        <v>55</v>
      </c>
      <c r="G926" t="s">
        <v>312</v>
      </c>
      <c r="H926" t="s">
        <v>5</v>
      </c>
      <c r="I926" t="s">
        <v>1935</v>
      </c>
      <c r="J926" t="s">
        <v>1936</v>
      </c>
      <c r="K926" s="8">
        <v>28</v>
      </c>
    </row>
    <row r="927" spans="1:11">
      <c r="A927" t="s">
        <v>2865</v>
      </c>
      <c r="B927" s="15">
        <v>45510</v>
      </c>
      <c r="C927" s="4">
        <v>45505</v>
      </c>
      <c r="D927" t="s">
        <v>53</v>
      </c>
      <c r="E927" t="s">
        <v>23</v>
      </c>
      <c r="F927" t="s">
        <v>55</v>
      </c>
      <c r="G927" t="s">
        <v>312</v>
      </c>
      <c r="H927" t="s">
        <v>5</v>
      </c>
      <c r="I927" t="s">
        <v>1935</v>
      </c>
      <c r="J927" t="s">
        <v>1954</v>
      </c>
      <c r="K927" s="8">
        <v>14</v>
      </c>
    </row>
    <row r="928" spans="1:11">
      <c r="A928" t="s">
        <v>2866</v>
      </c>
      <c r="B928" s="15">
        <v>45524</v>
      </c>
      <c r="C928" s="4">
        <v>45505</v>
      </c>
      <c r="D928" t="s">
        <v>53</v>
      </c>
      <c r="E928" t="s">
        <v>23</v>
      </c>
      <c r="F928" t="s">
        <v>55</v>
      </c>
      <c r="G928" t="s">
        <v>294</v>
      </c>
      <c r="H928" t="s">
        <v>11</v>
      </c>
      <c r="I928" t="s">
        <v>1935</v>
      </c>
      <c r="J928" t="s">
        <v>1936</v>
      </c>
      <c r="K928" s="8">
        <v>26</v>
      </c>
    </row>
    <row r="929" spans="1:11">
      <c r="A929" t="s">
        <v>2867</v>
      </c>
      <c r="B929" s="15">
        <v>45508</v>
      </c>
      <c r="C929" s="4">
        <v>45505</v>
      </c>
      <c r="D929" t="s">
        <v>53</v>
      </c>
      <c r="E929" t="s">
        <v>23</v>
      </c>
      <c r="F929" t="s">
        <v>55</v>
      </c>
      <c r="G929" t="s">
        <v>294</v>
      </c>
      <c r="H929" t="s">
        <v>8</v>
      </c>
      <c r="I929" t="s">
        <v>1935</v>
      </c>
      <c r="J929" t="s">
        <v>1936</v>
      </c>
      <c r="K929" s="8">
        <v>33</v>
      </c>
    </row>
    <row r="930" spans="1:11">
      <c r="A930" t="s">
        <v>2868</v>
      </c>
      <c r="B930" s="15">
        <v>45514</v>
      </c>
      <c r="C930" s="4">
        <v>45505</v>
      </c>
      <c r="D930" t="s">
        <v>53</v>
      </c>
      <c r="E930" t="s">
        <v>23</v>
      </c>
      <c r="F930" t="s">
        <v>55</v>
      </c>
      <c r="G930" t="s">
        <v>252</v>
      </c>
      <c r="H930" t="s">
        <v>5</v>
      </c>
      <c r="I930" t="s">
        <v>1935</v>
      </c>
      <c r="J930" t="s">
        <v>1936</v>
      </c>
      <c r="K930" s="8">
        <v>34</v>
      </c>
    </row>
    <row r="931" spans="1:11">
      <c r="A931" t="s">
        <v>2869</v>
      </c>
      <c r="B931" s="15">
        <v>45524</v>
      </c>
      <c r="C931" s="4">
        <v>45505</v>
      </c>
      <c r="D931" t="s">
        <v>53</v>
      </c>
      <c r="E931" t="s">
        <v>23</v>
      </c>
      <c r="F931" t="s">
        <v>55</v>
      </c>
      <c r="G931" t="s">
        <v>312</v>
      </c>
      <c r="H931" t="s">
        <v>5</v>
      </c>
      <c r="I931" t="s">
        <v>1935</v>
      </c>
      <c r="J931" t="s">
        <v>1936</v>
      </c>
      <c r="K931" s="8">
        <v>24</v>
      </c>
    </row>
    <row r="932" spans="1:11">
      <c r="A932" t="s">
        <v>2870</v>
      </c>
      <c r="B932" s="15">
        <v>45509</v>
      </c>
      <c r="C932" s="4">
        <v>45505</v>
      </c>
      <c r="D932" t="s">
        <v>53</v>
      </c>
      <c r="E932" t="s">
        <v>23</v>
      </c>
      <c r="F932" t="s">
        <v>55</v>
      </c>
      <c r="G932" t="s">
        <v>294</v>
      </c>
      <c r="H932" t="s">
        <v>8</v>
      </c>
      <c r="I932" t="s">
        <v>1935</v>
      </c>
      <c r="J932" t="s">
        <v>1938</v>
      </c>
      <c r="K932" s="8">
        <v>23</v>
      </c>
    </row>
    <row r="933" spans="1:11">
      <c r="A933" t="s">
        <v>2871</v>
      </c>
      <c r="B933" s="15">
        <v>45512</v>
      </c>
      <c r="C933" s="4">
        <v>45505</v>
      </c>
      <c r="D933" t="s">
        <v>56</v>
      </c>
      <c r="E933" t="s">
        <v>23</v>
      </c>
      <c r="F933" t="s">
        <v>58</v>
      </c>
      <c r="G933" t="s">
        <v>254</v>
      </c>
      <c r="H933" t="s">
        <v>5</v>
      </c>
      <c r="I933" t="s">
        <v>1935</v>
      </c>
      <c r="J933" t="s">
        <v>1936</v>
      </c>
      <c r="K933" s="8">
        <v>23</v>
      </c>
    </row>
    <row r="934" spans="1:11">
      <c r="A934" t="s">
        <v>2872</v>
      </c>
      <c r="B934" s="15">
        <v>45527</v>
      </c>
      <c r="C934" s="4">
        <v>45505</v>
      </c>
      <c r="D934" t="s">
        <v>56</v>
      </c>
      <c r="E934" t="s">
        <v>23</v>
      </c>
      <c r="F934" t="s">
        <v>58</v>
      </c>
      <c r="G934" t="s">
        <v>296</v>
      </c>
      <c r="H934" t="s">
        <v>14</v>
      </c>
      <c r="I934" t="s">
        <v>1935</v>
      </c>
      <c r="J934" t="s">
        <v>1936</v>
      </c>
      <c r="K934" s="8">
        <v>32</v>
      </c>
    </row>
    <row r="935" spans="1:11">
      <c r="A935" t="s">
        <v>2873</v>
      </c>
      <c r="B935" s="15">
        <v>45526</v>
      </c>
      <c r="C935" s="4">
        <v>45505</v>
      </c>
      <c r="D935" t="s">
        <v>56</v>
      </c>
      <c r="E935" t="s">
        <v>23</v>
      </c>
      <c r="F935" t="s">
        <v>58</v>
      </c>
      <c r="G935" t="s">
        <v>290</v>
      </c>
      <c r="H935" t="s">
        <v>8</v>
      </c>
      <c r="I935" t="s">
        <v>1935</v>
      </c>
      <c r="J935" t="s">
        <v>1936</v>
      </c>
      <c r="K935" s="8">
        <v>10</v>
      </c>
    </row>
    <row r="936" spans="1:11">
      <c r="A936" t="s">
        <v>2874</v>
      </c>
      <c r="B936" s="15">
        <v>45519</v>
      </c>
      <c r="C936" s="4">
        <v>45505</v>
      </c>
      <c r="D936" t="s">
        <v>56</v>
      </c>
      <c r="E936" t="s">
        <v>23</v>
      </c>
      <c r="F936" t="s">
        <v>58</v>
      </c>
      <c r="G936" t="s">
        <v>290</v>
      </c>
      <c r="H936" t="s">
        <v>14</v>
      </c>
      <c r="I936" t="s">
        <v>1935</v>
      </c>
      <c r="J936" t="s">
        <v>1936</v>
      </c>
      <c r="K936" s="8">
        <v>25</v>
      </c>
    </row>
    <row r="937" spans="1:11">
      <c r="A937" t="s">
        <v>2875</v>
      </c>
      <c r="B937" s="15">
        <v>45530</v>
      </c>
      <c r="C937" s="4">
        <v>45505</v>
      </c>
      <c r="D937" t="s">
        <v>56</v>
      </c>
      <c r="E937" t="s">
        <v>23</v>
      </c>
      <c r="F937" t="s">
        <v>58</v>
      </c>
      <c r="G937" t="s">
        <v>302</v>
      </c>
      <c r="H937" t="s">
        <v>5</v>
      </c>
      <c r="I937" t="s">
        <v>1935</v>
      </c>
      <c r="J937" t="s">
        <v>1936</v>
      </c>
      <c r="K937" s="8">
        <v>31</v>
      </c>
    </row>
    <row r="938" spans="1:11">
      <c r="A938" t="s">
        <v>2876</v>
      </c>
      <c r="B938" s="15">
        <v>45506</v>
      </c>
      <c r="C938" s="4">
        <v>45505</v>
      </c>
      <c r="D938" t="s">
        <v>56</v>
      </c>
      <c r="E938" t="s">
        <v>23</v>
      </c>
      <c r="F938" t="s">
        <v>58</v>
      </c>
      <c r="G938" t="s">
        <v>278</v>
      </c>
      <c r="H938" t="s">
        <v>14</v>
      </c>
      <c r="I938" t="s">
        <v>1935</v>
      </c>
      <c r="J938" t="s">
        <v>1936</v>
      </c>
      <c r="K938" s="8">
        <v>9</v>
      </c>
    </row>
    <row r="939" spans="1:11">
      <c r="A939" t="s">
        <v>2877</v>
      </c>
      <c r="B939" s="15">
        <v>45517</v>
      </c>
      <c r="C939" s="4">
        <v>45505</v>
      </c>
      <c r="D939" t="s">
        <v>56</v>
      </c>
      <c r="E939" t="s">
        <v>23</v>
      </c>
      <c r="F939" t="s">
        <v>58</v>
      </c>
      <c r="G939" t="s">
        <v>248</v>
      </c>
      <c r="H939" t="s">
        <v>11</v>
      </c>
      <c r="I939" t="s">
        <v>1935</v>
      </c>
      <c r="J939" t="s">
        <v>1936</v>
      </c>
      <c r="K939" s="8">
        <v>9</v>
      </c>
    </row>
    <row r="940" spans="1:11">
      <c r="A940" t="s">
        <v>2878</v>
      </c>
      <c r="B940" s="15">
        <v>45521</v>
      </c>
      <c r="C940" s="4">
        <v>45505</v>
      </c>
      <c r="D940" t="s">
        <v>56</v>
      </c>
      <c r="E940" t="s">
        <v>23</v>
      </c>
      <c r="F940" t="s">
        <v>58</v>
      </c>
      <c r="G940" t="s">
        <v>302</v>
      </c>
      <c r="H940" t="s">
        <v>5</v>
      </c>
      <c r="I940" t="s">
        <v>1935</v>
      </c>
      <c r="J940" t="s">
        <v>1936</v>
      </c>
      <c r="K940" s="8">
        <v>16</v>
      </c>
    </row>
    <row r="941" spans="1:11">
      <c r="A941" t="s">
        <v>2879</v>
      </c>
      <c r="B941" s="15">
        <v>45508</v>
      </c>
      <c r="C941" s="4">
        <v>45505</v>
      </c>
      <c r="D941" t="s">
        <v>56</v>
      </c>
      <c r="E941" t="s">
        <v>23</v>
      </c>
      <c r="F941" t="s">
        <v>58</v>
      </c>
      <c r="G941" t="s">
        <v>278</v>
      </c>
      <c r="H941" t="s">
        <v>14</v>
      </c>
      <c r="I941" t="s">
        <v>1935</v>
      </c>
      <c r="J941" t="s">
        <v>1938</v>
      </c>
      <c r="K941" s="8">
        <v>23</v>
      </c>
    </row>
    <row r="942" spans="1:11">
      <c r="A942" t="s">
        <v>2880</v>
      </c>
      <c r="B942" s="15">
        <v>45518</v>
      </c>
      <c r="C942" s="4">
        <v>45505</v>
      </c>
      <c r="D942" t="s">
        <v>56</v>
      </c>
      <c r="E942" t="s">
        <v>23</v>
      </c>
      <c r="F942" t="s">
        <v>58</v>
      </c>
      <c r="G942" t="s">
        <v>248</v>
      </c>
      <c r="H942" t="s">
        <v>11</v>
      </c>
      <c r="I942" t="s">
        <v>1935</v>
      </c>
      <c r="J942" t="s">
        <v>1936</v>
      </c>
      <c r="K942" s="8">
        <v>18</v>
      </c>
    </row>
    <row r="943" spans="1:11">
      <c r="A943" t="s">
        <v>2881</v>
      </c>
      <c r="B943" s="15">
        <v>45525</v>
      </c>
      <c r="C943" s="4">
        <v>45505</v>
      </c>
      <c r="D943" t="s">
        <v>56</v>
      </c>
      <c r="E943" t="s">
        <v>23</v>
      </c>
      <c r="F943" t="s">
        <v>58</v>
      </c>
      <c r="G943" t="s">
        <v>266</v>
      </c>
      <c r="H943" t="s">
        <v>8</v>
      </c>
      <c r="I943" t="s">
        <v>1935</v>
      </c>
      <c r="J943" t="s">
        <v>1936</v>
      </c>
      <c r="K943" s="8">
        <v>11</v>
      </c>
    </row>
    <row r="944" spans="1:11">
      <c r="A944" t="s">
        <v>2882</v>
      </c>
      <c r="B944" s="15">
        <v>45523</v>
      </c>
      <c r="C944" s="4">
        <v>45505</v>
      </c>
      <c r="D944" t="s">
        <v>59</v>
      </c>
      <c r="E944" t="s">
        <v>25</v>
      </c>
      <c r="F944" t="s">
        <v>61</v>
      </c>
      <c r="G944" t="s">
        <v>344</v>
      </c>
      <c r="H944" t="s">
        <v>8</v>
      </c>
      <c r="I944" t="s">
        <v>1935</v>
      </c>
      <c r="J944" t="s">
        <v>1936</v>
      </c>
      <c r="K944" s="8">
        <v>11</v>
      </c>
    </row>
    <row r="945" spans="1:11">
      <c r="A945" t="s">
        <v>2883</v>
      </c>
      <c r="B945" s="15">
        <v>45531</v>
      </c>
      <c r="C945" s="4">
        <v>45505</v>
      </c>
      <c r="D945" t="s">
        <v>59</v>
      </c>
      <c r="E945" t="s">
        <v>25</v>
      </c>
      <c r="F945" t="s">
        <v>61</v>
      </c>
      <c r="G945" t="s">
        <v>350</v>
      </c>
      <c r="H945" t="s">
        <v>5</v>
      </c>
      <c r="I945" t="s">
        <v>1935</v>
      </c>
      <c r="J945" t="s">
        <v>1936</v>
      </c>
      <c r="K945" s="8">
        <v>31</v>
      </c>
    </row>
    <row r="946" spans="1:11">
      <c r="A946" t="s">
        <v>2884</v>
      </c>
      <c r="B946" s="15">
        <v>45523</v>
      </c>
      <c r="C946" s="4">
        <v>45505</v>
      </c>
      <c r="D946" t="s">
        <v>59</v>
      </c>
      <c r="E946" t="s">
        <v>25</v>
      </c>
      <c r="F946" t="s">
        <v>61</v>
      </c>
      <c r="G946" t="s">
        <v>320</v>
      </c>
      <c r="H946" t="s">
        <v>11</v>
      </c>
      <c r="I946" t="s">
        <v>1935</v>
      </c>
      <c r="J946" t="s">
        <v>1936</v>
      </c>
      <c r="K946" s="8">
        <v>8</v>
      </c>
    </row>
    <row r="947" spans="1:11">
      <c r="A947" t="s">
        <v>2885</v>
      </c>
      <c r="B947" s="15">
        <v>45535</v>
      </c>
      <c r="C947" s="4">
        <v>45505</v>
      </c>
      <c r="D947" t="s">
        <v>59</v>
      </c>
      <c r="E947" t="s">
        <v>25</v>
      </c>
      <c r="F947" t="s">
        <v>61</v>
      </c>
      <c r="G947" t="s">
        <v>344</v>
      </c>
      <c r="H947" t="s">
        <v>5</v>
      </c>
      <c r="I947" t="s">
        <v>1935</v>
      </c>
      <c r="J947" t="s">
        <v>1938</v>
      </c>
      <c r="K947" s="8">
        <v>20</v>
      </c>
    </row>
    <row r="948" spans="1:11">
      <c r="A948" t="s">
        <v>2886</v>
      </c>
      <c r="B948" s="15">
        <v>45533</v>
      </c>
      <c r="C948" s="4">
        <v>45505</v>
      </c>
      <c r="D948" t="s">
        <v>59</v>
      </c>
      <c r="E948" t="s">
        <v>25</v>
      </c>
      <c r="F948" t="s">
        <v>61</v>
      </c>
      <c r="G948" t="s">
        <v>320</v>
      </c>
      <c r="H948" t="s">
        <v>14</v>
      </c>
      <c r="I948" t="s">
        <v>1935</v>
      </c>
      <c r="J948" t="s">
        <v>1936</v>
      </c>
      <c r="K948" s="8">
        <v>9</v>
      </c>
    </row>
    <row r="949" spans="1:11">
      <c r="A949" t="s">
        <v>2887</v>
      </c>
      <c r="B949" s="15">
        <v>45519</v>
      </c>
      <c r="C949" s="4">
        <v>45505</v>
      </c>
      <c r="D949" t="s">
        <v>59</v>
      </c>
      <c r="E949" t="s">
        <v>25</v>
      </c>
      <c r="F949" t="s">
        <v>61</v>
      </c>
      <c r="G949" t="s">
        <v>314</v>
      </c>
      <c r="H949" t="s">
        <v>14</v>
      </c>
      <c r="I949" t="s">
        <v>1935</v>
      </c>
      <c r="J949" t="s">
        <v>1954</v>
      </c>
      <c r="K949" s="8">
        <v>10</v>
      </c>
    </row>
    <row r="950" spans="1:11">
      <c r="A950" t="s">
        <v>2888</v>
      </c>
      <c r="B950" s="15">
        <v>45524</v>
      </c>
      <c r="C950" s="4">
        <v>45505</v>
      </c>
      <c r="D950" t="s">
        <v>59</v>
      </c>
      <c r="E950" t="s">
        <v>25</v>
      </c>
      <c r="F950" t="s">
        <v>61</v>
      </c>
      <c r="G950" t="s">
        <v>380</v>
      </c>
      <c r="H950" t="s">
        <v>14</v>
      </c>
      <c r="I950" t="s">
        <v>1935</v>
      </c>
      <c r="J950" t="s">
        <v>1936</v>
      </c>
      <c r="K950" s="8">
        <v>13</v>
      </c>
    </row>
    <row r="951" spans="1:11">
      <c r="A951" t="s">
        <v>2889</v>
      </c>
      <c r="B951" s="15">
        <v>45523</v>
      </c>
      <c r="C951" s="4">
        <v>45505</v>
      </c>
      <c r="D951" t="s">
        <v>59</v>
      </c>
      <c r="E951" t="s">
        <v>25</v>
      </c>
      <c r="F951" t="s">
        <v>61</v>
      </c>
      <c r="G951" t="s">
        <v>380</v>
      </c>
      <c r="H951" t="s">
        <v>11</v>
      </c>
      <c r="I951" t="s">
        <v>1935</v>
      </c>
      <c r="J951" t="s">
        <v>1936</v>
      </c>
      <c r="K951" s="8">
        <v>17</v>
      </c>
    </row>
    <row r="952" spans="1:11">
      <c r="A952" t="s">
        <v>2890</v>
      </c>
      <c r="B952" s="15">
        <v>45531</v>
      </c>
      <c r="C952" s="4">
        <v>45505</v>
      </c>
      <c r="D952" t="s">
        <v>59</v>
      </c>
      <c r="E952" t="s">
        <v>25</v>
      </c>
      <c r="F952" t="s">
        <v>61</v>
      </c>
      <c r="G952" t="s">
        <v>314</v>
      </c>
      <c r="H952" t="s">
        <v>11</v>
      </c>
      <c r="I952" t="s">
        <v>1935</v>
      </c>
      <c r="J952" t="s">
        <v>1954</v>
      </c>
      <c r="K952" s="8">
        <v>21</v>
      </c>
    </row>
    <row r="953" spans="1:11">
      <c r="A953" t="s">
        <v>2891</v>
      </c>
      <c r="B953" s="15">
        <v>45507</v>
      </c>
      <c r="C953" s="4">
        <v>45505</v>
      </c>
      <c r="D953" t="s">
        <v>59</v>
      </c>
      <c r="E953" t="s">
        <v>25</v>
      </c>
      <c r="F953" t="s">
        <v>61</v>
      </c>
      <c r="G953" t="s">
        <v>320</v>
      </c>
      <c r="H953" t="s">
        <v>11</v>
      </c>
      <c r="I953" t="s">
        <v>1935</v>
      </c>
      <c r="J953" t="s">
        <v>1936</v>
      </c>
      <c r="K953" s="8">
        <v>22</v>
      </c>
    </row>
    <row r="954" spans="1:11">
      <c r="A954" t="s">
        <v>2892</v>
      </c>
      <c r="B954" s="15">
        <v>45516</v>
      </c>
      <c r="C954" s="4">
        <v>45505</v>
      </c>
      <c r="D954" t="s">
        <v>62</v>
      </c>
      <c r="E954" t="s">
        <v>25</v>
      </c>
      <c r="F954" t="s">
        <v>64</v>
      </c>
      <c r="G954" t="s">
        <v>358</v>
      </c>
      <c r="H954" t="s">
        <v>8</v>
      </c>
      <c r="I954" t="s">
        <v>1935</v>
      </c>
      <c r="J954" t="s">
        <v>1936</v>
      </c>
      <c r="K954" s="8">
        <v>24</v>
      </c>
    </row>
    <row r="955" spans="1:11">
      <c r="A955" t="s">
        <v>2893</v>
      </c>
      <c r="B955" s="15">
        <v>45519</v>
      </c>
      <c r="C955" s="4">
        <v>45505</v>
      </c>
      <c r="D955" t="s">
        <v>62</v>
      </c>
      <c r="E955" t="s">
        <v>25</v>
      </c>
      <c r="F955" t="s">
        <v>64</v>
      </c>
      <c r="G955" t="s">
        <v>316</v>
      </c>
      <c r="H955" t="s">
        <v>8</v>
      </c>
      <c r="I955" t="s">
        <v>1935</v>
      </c>
      <c r="J955" t="s">
        <v>1954</v>
      </c>
      <c r="K955" s="8">
        <v>18</v>
      </c>
    </row>
    <row r="956" spans="1:11">
      <c r="A956" t="s">
        <v>2894</v>
      </c>
      <c r="B956" s="15">
        <v>45528</v>
      </c>
      <c r="C956" s="4">
        <v>45505</v>
      </c>
      <c r="D956" t="s">
        <v>62</v>
      </c>
      <c r="E956" t="s">
        <v>25</v>
      </c>
      <c r="F956" t="s">
        <v>64</v>
      </c>
      <c r="G956" t="s">
        <v>328</v>
      </c>
      <c r="H956" t="s">
        <v>5</v>
      </c>
      <c r="I956" t="s">
        <v>1935</v>
      </c>
      <c r="J956" t="s">
        <v>1936</v>
      </c>
      <c r="K956" s="8">
        <v>9</v>
      </c>
    </row>
    <row r="957" spans="1:11">
      <c r="A957" t="s">
        <v>2895</v>
      </c>
      <c r="B957" s="15">
        <v>45505</v>
      </c>
      <c r="C957" s="4">
        <v>45505</v>
      </c>
      <c r="D957" t="s">
        <v>62</v>
      </c>
      <c r="E957" t="s">
        <v>25</v>
      </c>
      <c r="F957" t="s">
        <v>64</v>
      </c>
      <c r="G957" t="s">
        <v>328</v>
      </c>
      <c r="H957" t="s">
        <v>8</v>
      </c>
      <c r="I957" t="s">
        <v>1935</v>
      </c>
      <c r="J957" t="s">
        <v>1936</v>
      </c>
      <c r="K957" s="8">
        <v>32</v>
      </c>
    </row>
    <row r="958" spans="1:11">
      <c r="A958" t="s">
        <v>2896</v>
      </c>
      <c r="B958" s="15">
        <v>45531</v>
      </c>
      <c r="C958" s="4">
        <v>45505</v>
      </c>
      <c r="D958" t="s">
        <v>62</v>
      </c>
      <c r="E958" t="s">
        <v>25</v>
      </c>
      <c r="F958" t="s">
        <v>64</v>
      </c>
      <c r="G958" t="s">
        <v>358</v>
      </c>
      <c r="H958" t="s">
        <v>8</v>
      </c>
      <c r="I958" t="s">
        <v>1935</v>
      </c>
      <c r="J958" t="s">
        <v>1938</v>
      </c>
      <c r="K958" s="8">
        <v>20</v>
      </c>
    </row>
    <row r="959" spans="1:11">
      <c r="A959" t="s">
        <v>2897</v>
      </c>
      <c r="B959" s="15">
        <v>45507</v>
      </c>
      <c r="C959" s="4">
        <v>45505</v>
      </c>
      <c r="D959" t="s">
        <v>62</v>
      </c>
      <c r="E959" t="s">
        <v>25</v>
      </c>
      <c r="F959" t="s">
        <v>64</v>
      </c>
      <c r="G959" t="s">
        <v>322</v>
      </c>
      <c r="H959" t="s">
        <v>5</v>
      </c>
      <c r="I959" t="s">
        <v>1935</v>
      </c>
      <c r="J959" t="s">
        <v>1938</v>
      </c>
      <c r="K959" s="8">
        <v>30</v>
      </c>
    </row>
    <row r="960" spans="1:11">
      <c r="A960" t="s">
        <v>2898</v>
      </c>
      <c r="B960" s="15">
        <v>45532</v>
      </c>
      <c r="C960" s="4">
        <v>45505</v>
      </c>
      <c r="D960" t="s">
        <v>62</v>
      </c>
      <c r="E960" t="s">
        <v>25</v>
      </c>
      <c r="F960" t="s">
        <v>64</v>
      </c>
      <c r="G960" t="s">
        <v>340</v>
      </c>
      <c r="H960" t="s">
        <v>8</v>
      </c>
      <c r="I960" t="s">
        <v>1935</v>
      </c>
      <c r="J960" t="s">
        <v>1936</v>
      </c>
      <c r="K960" s="8">
        <v>28</v>
      </c>
    </row>
    <row r="961" spans="1:11">
      <c r="A961" t="s">
        <v>2899</v>
      </c>
      <c r="B961" s="15">
        <v>45516</v>
      </c>
      <c r="C961" s="4">
        <v>45505</v>
      </c>
      <c r="D961" t="s">
        <v>62</v>
      </c>
      <c r="E961" t="s">
        <v>25</v>
      </c>
      <c r="F961" t="s">
        <v>64</v>
      </c>
      <c r="G961" t="s">
        <v>370</v>
      </c>
      <c r="H961" t="s">
        <v>5</v>
      </c>
      <c r="I961" t="s">
        <v>1942</v>
      </c>
      <c r="J961" t="s">
        <v>1954</v>
      </c>
      <c r="K961" s="8">
        <v>1</v>
      </c>
    </row>
    <row r="962" spans="1:11">
      <c r="A962" t="s">
        <v>2900</v>
      </c>
      <c r="B962" s="15">
        <v>45532</v>
      </c>
      <c r="C962" s="4">
        <v>45505</v>
      </c>
      <c r="D962" t="s">
        <v>62</v>
      </c>
      <c r="E962" t="s">
        <v>25</v>
      </c>
      <c r="F962" t="s">
        <v>64</v>
      </c>
      <c r="G962" t="s">
        <v>358</v>
      </c>
      <c r="H962" t="s">
        <v>8</v>
      </c>
      <c r="I962" t="s">
        <v>1935</v>
      </c>
      <c r="J962" t="s">
        <v>1936</v>
      </c>
      <c r="K962" s="8">
        <v>12</v>
      </c>
    </row>
    <row r="963" spans="1:11">
      <c r="A963" t="s">
        <v>2901</v>
      </c>
      <c r="B963" s="15">
        <v>45526</v>
      </c>
      <c r="C963" s="4">
        <v>45505</v>
      </c>
      <c r="D963" t="s">
        <v>62</v>
      </c>
      <c r="E963" t="s">
        <v>25</v>
      </c>
      <c r="F963" t="s">
        <v>64</v>
      </c>
      <c r="G963" t="s">
        <v>370</v>
      </c>
      <c r="H963" t="s">
        <v>11</v>
      </c>
      <c r="I963" t="s">
        <v>1935</v>
      </c>
      <c r="J963" t="s">
        <v>1936</v>
      </c>
      <c r="K963" s="8">
        <v>22</v>
      </c>
    </row>
    <row r="964" spans="1:11">
      <c r="A964" t="s">
        <v>2902</v>
      </c>
      <c r="B964" s="15">
        <v>45509</v>
      </c>
      <c r="C964" s="4">
        <v>45505</v>
      </c>
      <c r="D964" t="s">
        <v>65</v>
      </c>
      <c r="E964" t="s">
        <v>25</v>
      </c>
      <c r="F964" t="s">
        <v>67</v>
      </c>
      <c r="G964" t="s">
        <v>348</v>
      </c>
      <c r="H964" t="s">
        <v>11</v>
      </c>
      <c r="I964" t="s">
        <v>1935</v>
      </c>
      <c r="J964" t="s">
        <v>1954</v>
      </c>
      <c r="K964" s="8">
        <v>11</v>
      </c>
    </row>
    <row r="965" spans="1:11">
      <c r="A965" t="s">
        <v>2903</v>
      </c>
      <c r="B965" s="15">
        <v>45530</v>
      </c>
      <c r="C965" s="4">
        <v>45505</v>
      </c>
      <c r="D965" t="s">
        <v>65</v>
      </c>
      <c r="E965" t="s">
        <v>25</v>
      </c>
      <c r="F965" t="s">
        <v>67</v>
      </c>
      <c r="G965" t="s">
        <v>372</v>
      </c>
      <c r="H965" t="s">
        <v>5</v>
      </c>
      <c r="I965" t="s">
        <v>1935</v>
      </c>
      <c r="J965" t="s">
        <v>1936</v>
      </c>
      <c r="K965" s="8">
        <v>12</v>
      </c>
    </row>
    <row r="966" spans="1:11">
      <c r="A966" t="s">
        <v>2904</v>
      </c>
      <c r="B966" s="15">
        <v>45532</v>
      </c>
      <c r="C966" s="4">
        <v>45505</v>
      </c>
      <c r="D966" t="s">
        <v>65</v>
      </c>
      <c r="E966" t="s">
        <v>25</v>
      </c>
      <c r="F966" t="s">
        <v>67</v>
      </c>
      <c r="G966" t="s">
        <v>372</v>
      </c>
      <c r="H966" t="s">
        <v>5</v>
      </c>
      <c r="I966" t="s">
        <v>1935</v>
      </c>
      <c r="J966" t="s">
        <v>1936</v>
      </c>
      <c r="K966" s="8">
        <v>29</v>
      </c>
    </row>
    <row r="967" spans="1:11">
      <c r="A967" t="s">
        <v>2905</v>
      </c>
      <c r="B967" s="15">
        <v>45533</v>
      </c>
      <c r="C967" s="4">
        <v>45505</v>
      </c>
      <c r="D967" t="s">
        <v>65</v>
      </c>
      <c r="E967" t="s">
        <v>25</v>
      </c>
      <c r="F967" t="s">
        <v>67</v>
      </c>
      <c r="G967" t="s">
        <v>354</v>
      </c>
      <c r="H967" t="s">
        <v>14</v>
      </c>
      <c r="I967" t="s">
        <v>1935</v>
      </c>
      <c r="J967" t="s">
        <v>1954</v>
      </c>
      <c r="K967" s="8">
        <v>26</v>
      </c>
    </row>
    <row r="968" spans="1:11">
      <c r="A968" t="s">
        <v>2906</v>
      </c>
      <c r="B968" s="15">
        <v>45527</v>
      </c>
      <c r="C968" s="4">
        <v>45505</v>
      </c>
      <c r="D968" t="s">
        <v>65</v>
      </c>
      <c r="E968" t="s">
        <v>25</v>
      </c>
      <c r="F968" t="s">
        <v>67</v>
      </c>
      <c r="G968" t="s">
        <v>318</v>
      </c>
      <c r="H968" t="s">
        <v>14</v>
      </c>
      <c r="I968" t="s">
        <v>1935</v>
      </c>
      <c r="J968" t="s">
        <v>1936</v>
      </c>
      <c r="K968" s="8">
        <v>13</v>
      </c>
    </row>
    <row r="969" spans="1:11">
      <c r="A969" t="s">
        <v>2907</v>
      </c>
      <c r="B969" s="15">
        <v>45512</v>
      </c>
      <c r="C969" s="4">
        <v>45505</v>
      </c>
      <c r="D969" t="s">
        <v>65</v>
      </c>
      <c r="E969" t="s">
        <v>25</v>
      </c>
      <c r="F969" t="s">
        <v>67</v>
      </c>
      <c r="G969" t="s">
        <v>348</v>
      </c>
      <c r="H969" t="s">
        <v>14</v>
      </c>
      <c r="I969" t="s">
        <v>1935</v>
      </c>
      <c r="J969" t="s">
        <v>1936</v>
      </c>
      <c r="K969" s="8">
        <v>33</v>
      </c>
    </row>
    <row r="970" spans="1:11">
      <c r="A970" t="s">
        <v>2908</v>
      </c>
      <c r="B970" s="15">
        <v>45529</v>
      </c>
      <c r="C970" s="4">
        <v>45505</v>
      </c>
      <c r="D970" t="s">
        <v>65</v>
      </c>
      <c r="E970" t="s">
        <v>25</v>
      </c>
      <c r="F970" t="s">
        <v>67</v>
      </c>
      <c r="G970" t="s">
        <v>348</v>
      </c>
      <c r="H970" t="s">
        <v>5</v>
      </c>
      <c r="I970" t="s">
        <v>1935</v>
      </c>
      <c r="J970" t="s">
        <v>1936</v>
      </c>
      <c r="K970" s="8">
        <v>30</v>
      </c>
    </row>
    <row r="971" spans="1:11">
      <c r="A971" t="s">
        <v>2909</v>
      </c>
      <c r="B971" s="15">
        <v>45516</v>
      </c>
      <c r="C971" s="4">
        <v>45505</v>
      </c>
      <c r="D971" t="s">
        <v>65</v>
      </c>
      <c r="E971" t="s">
        <v>25</v>
      </c>
      <c r="F971" t="s">
        <v>67</v>
      </c>
      <c r="G971" t="s">
        <v>372</v>
      </c>
      <c r="H971" t="s">
        <v>5</v>
      </c>
      <c r="I971" t="s">
        <v>1935</v>
      </c>
      <c r="J971" t="s">
        <v>1936</v>
      </c>
      <c r="K971" s="8">
        <v>12</v>
      </c>
    </row>
    <row r="972" spans="1:11">
      <c r="A972" t="s">
        <v>2910</v>
      </c>
      <c r="B972" s="15">
        <v>45522</v>
      </c>
      <c r="C972" s="4">
        <v>45505</v>
      </c>
      <c r="D972" t="s">
        <v>65</v>
      </c>
      <c r="E972" t="s">
        <v>25</v>
      </c>
      <c r="F972" t="s">
        <v>67</v>
      </c>
      <c r="G972" t="s">
        <v>348</v>
      </c>
      <c r="H972" t="s">
        <v>11</v>
      </c>
      <c r="I972" t="s">
        <v>1935</v>
      </c>
      <c r="J972" t="s">
        <v>1936</v>
      </c>
      <c r="K972" s="8">
        <v>35</v>
      </c>
    </row>
    <row r="973" spans="1:11">
      <c r="A973" t="s">
        <v>2911</v>
      </c>
      <c r="B973" s="15">
        <v>45507</v>
      </c>
      <c r="C973" s="4">
        <v>45505</v>
      </c>
      <c r="D973" t="s">
        <v>65</v>
      </c>
      <c r="E973" t="s">
        <v>25</v>
      </c>
      <c r="F973" t="s">
        <v>67</v>
      </c>
      <c r="G973" t="s">
        <v>372</v>
      </c>
      <c r="H973" t="s">
        <v>5</v>
      </c>
      <c r="I973" t="s">
        <v>1995</v>
      </c>
      <c r="J973" t="s">
        <v>1936</v>
      </c>
      <c r="K973" s="8">
        <v>6</v>
      </c>
    </row>
    <row r="974" spans="1:11">
      <c r="A974" t="s">
        <v>2912</v>
      </c>
      <c r="B974" s="15">
        <v>45516</v>
      </c>
      <c r="C974" s="4">
        <v>45505</v>
      </c>
      <c r="D974" t="s">
        <v>65</v>
      </c>
      <c r="E974" t="s">
        <v>25</v>
      </c>
      <c r="F974" t="s">
        <v>67</v>
      </c>
      <c r="G974" t="s">
        <v>372</v>
      </c>
      <c r="H974" t="s">
        <v>11</v>
      </c>
      <c r="I974" t="s">
        <v>1935</v>
      </c>
      <c r="J974" t="s">
        <v>1936</v>
      </c>
      <c r="K974" s="8">
        <v>28</v>
      </c>
    </row>
    <row r="975" spans="1:11">
      <c r="A975" t="s">
        <v>2913</v>
      </c>
      <c r="B975" s="15">
        <v>45554</v>
      </c>
      <c r="C975" s="4">
        <v>45536</v>
      </c>
      <c r="D975" t="s">
        <v>32</v>
      </c>
      <c r="E975" t="s">
        <v>19</v>
      </c>
      <c r="F975" t="s">
        <v>34</v>
      </c>
      <c r="G975" t="s">
        <v>148</v>
      </c>
      <c r="H975" t="s">
        <v>5</v>
      </c>
      <c r="I975" t="s">
        <v>1935</v>
      </c>
      <c r="J975" t="s">
        <v>1936</v>
      </c>
      <c r="K975" s="8">
        <v>35</v>
      </c>
    </row>
    <row r="976" spans="1:11">
      <c r="A976" t="s">
        <v>2914</v>
      </c>
      <c r="B976" s="15">
        <v>45547</v>
      </c>
      <c r="C976" s="4">
        <v>45536</v>
      </c>
      <c r="D976" t="s">
        <v>32</v>
      </c>
      <c r="E976" t="s">
        <v>19</v>
      </c>
      <c r="F976" t="s">
        <v>34</v>
      </c>
      <c r="G976" t="s">
        <v>85</v>
      </c>
      <c r="H976" t="s">
        <v>14</v>
      </c>
      <c r="I976" t="s">
        <v>1935</v>
      </c>
      <c r="J976" t="s">
        <v>1936</v>
      </c>
      <c r="K976" s="8">
        <v>23</v>
      </c>
    </row>
    <row r="977" spans="1:11">
      <c r="A977" t="s">
        <v>2915</v>
      </c>
      <c r="B977" s="15">
        <v>45558</v>
      </c>
      <c r="C977" s="4">
        <v>45536</v>
      </c>
      <c r="D977" t="s">
        <v>32</v>
      </c>
      <c r="E977" t="s">
        <v>19</v>
      </c>
      <c r="F977" t="s">
        <v>34</v>
      </c>
      <c r="G977" t="s">
        <v>124</v>
      </c>
      <c r="H977" t="s">
        <v>11</v>
      </c>
      <c r="I977" t="s">
        <v>1935</v>
      </c>
      <c r="J977" t="s">
        <v>1936</v>
      </c>
      <c r="K977" s="8">
        <v>24</v>
      </c>
    </row>
    <row r="978" spans="1:11">
      <c r="A978" t="s">
        <v>2916</v>
      </c>
      <c r="B978" s="15">
        <v>45543</v>
      </c>
      <c r="C978" s="4">
        <v>45536</v>
      </c>
      <c r="D978" t="s">
        <v>32</v>
      </c>
      <c r="E978" t="s">
        <v>19</v>
      </c>
      <c r="F978" t="s">
        <v>34</v>
      </c>
      <c r="G978" t="s">
        <v>160</v>
      </c>
      <c r="H978" t="s">
        <v>5</v>
      </c>
      <c r="I978" t="s">
        <v>1935</v>
      </c>
      <c r="J978" t="s">
        <v>1938</v>
      </c>
      <c r="K978" s="8">
        <v>15</v>
      </c>
    </row>
    <row r="979" spans="1:11">
      <c r="A979" t="s">
        <v>2917</v>
      </c>
      <c r="B979" s="15">
        <v>45555</v>
      </c>
      <c r="C979" s="4">
        <v>45536</v>
      </c>
      <c r="D979" t="s">
        <v>32</v>
      </c>
      <c r="E979" t="s">
        <v>19</v>
      </c>
      <c r="F979" t="s">
        <v>34</v>
      </c>
      <c r="G979" t="s">
        <v>142</v>
      </c>
      <c r="H979" t="s">
        <v>14</v>
      </c>
      <c r="I979" t="s">
        <v>1935</v>
      </c>
      <c r="J979" t="s">
        <v>1938</v>
      </c>
      <c r="K979" s="8">
        <v>10</v>
      </c>
    </row>
    <row r="980" spans="1:11">
      <c r="A980" t="s">
        <v>2918</v>
      </c>
      <c r="B980" s="15">
        <v>45558</v>
      </c>
      <c r="C980" s="4">
        <v>45536</v>
      </c>
      <c r="D980" t="s">
        <v>32</v>
      </c>
      <c r="E980" t="s">
        <v>19</v>
      </c>
      <c r="F980" t="s">
        <v>34</v>
      </c>
      <c r="G980" t="s">
        <v>130</v>
      </c>
      <c r="H980" t="s">
        <v>14</v>
      </c>
      <c r="I980" t="s">
        <v>1935</v>
      </c>
      <c r="J980" t="s">
        <v>1936</v>
      </c>
      <c r="K980" s="8">
        <v>25</v>
      </c>
    </row>
    <row r="981" spans="1:11">
      <c r="A981" t="s">
        <v>2919</v>
      </c>
      <c r="B981" s="15">
        <v>45541</v>
      </c>
      <c r="C981" s="4">
        <v>45536</v>
      </c>
      <c r="D981" t="s">
        <v>32</v>
      </c>
      <c r="E981" t="s">
        <v>19</v>
      </c>
      <c r="F981" t="s">
        <v>34</v>
      </c>
      <c r="G981" t="s">
        <v>148</v>
      </c>
      <c r="H981" t="s">
        <v>5</v>
      </c>
      <c r="I981" t="s">
        <v>1935</v>
      </c>
      <c r="J981" t="s">
        <v>1938</v>
      </c>
      <c r="K981" s="8">
        <v>10</v>
      </c>
    </row>
    <row r="982" spans="1:11">
      <c r="A982" t="s">
        <v>2920</v>
      </c>
      <c r="B982" s="15">
        <v>45551</v>
      </c>
      <c r="C982" s="4">
        <v>45536</v>
      </c>
      <c r="D982" t="s">
        <v>32</v>
      </c>
      <c r="E982" t="s">
        <v>19</v>
      </c>
      <c r="F982" t="s">
        <v>34</v>
      </c>
      <c r="G982" t="s">
        <v>111</v>
      </c>
      <c r="H982" t="s">
        <v>8</v>
      </c>
      <c r="I982" t="s">
        <v>1935</v>
      </c>
      <c r="J982" t="s">
        <v>1936</v>
      </c>
      <c r="K982" s="8">
        <v>18</v>
      </c>
    </row>
    <row r="983" spans="1:11">
      <c r="A983" t="s">
        <v>2921</v>
      </c>
      <c r="B983" s="15">
        <v>45542</v>
      </c>
      <c r="C983" s="4">
        <v>45536</v>
      </c>
      <c r="D983" t="s">
        <v>32</v>
      </c>
      <c r="E983" t="s">
        <v>19</v>
      </c>
      <c r="F983" t="s">
        <v>34</v>
      </c>
      <c r="G983" t="s">
        <v>130</v>
      </c>
      <c r="H983" t="s">
        <v>14</v>
      </c>
      <c r="I983" t="s">
        <v>1935</v>
      </c>
      <c r="J983" t="s">
        <v>1936</v>
      </c>
      <c r="K983" s="8">
        <v>12</v>
      </c>
    </row>
    <row r="984" spans="1:11">
      <c r="A984" t="s">
        <v>2922</v>
      </c>
      <c r="B984" s="15">
        <v>45563</v>
      </c>
      <c r="C984" s="4">
        <v>45536</v>
      </c>
      <c r="D984" t="s">
        <v>32</v>
      </c>
      <c r="E984" t="s">
        <v>19</v>
      </c>
      <c r="F984" t="s">
        <v>34</v>
      </c>
      <c r="G984" t="s">
        <v>136</v>
      </c>
      <c r="H984" t="s">
        <v>8</v>
      </c>
      <c r="I984" t="s">
        <v>1935</v>
      </c>
      <c r="J984" t="s">
        <v>1938</v>
      </c>
      <c r="K984" s="8">
        <v>8</v>
      </c>
    </row>
    <row r="985" spans="1:11">
      <c r="A985" t="s">
        <v>2923</v>
      </c>
      <c r="B985" s="15">
        <v>45537</v>
      </c>
      <c r="C985" s="4">
        <v>45536</v>
      </c>
      <c r="D985" t="s">
        <v>35</v>
      </c>
      <c r="E985" t="s">
        <v>19</v>
      </c>
      <c r="F985" t="s">
        <v>37</v>
      </c>
      <c r="G985" t="s">
        <v>120</v>
      </c>
      <c r="H985" t="s">
        <v>5</v>
      </c>
      <c r="I985" t="s">
        <v>1935</v>
      </c>
      <c r="J985" t="s">
        <v>1938</v>
      </c>
      <c r="K985" s="8">
        <v>13</v>
      </c>
    </row>
    <row r="986" spans="1:11">
      <c r="A986" t="s">
        <v>2924</v>
      </c>
      <c r="B986" s="15">
        <v>45553</v>
      </c>
      <c r="C986" s="4">
        <v>45536</v>
      </c>
      <c r="D986" t="s">
        <v>35</v>
      </c>
      <c r="E986" t="s">
        <v>19</v>
      </c>
      <c r="F986" t="s">
        <v>37</v>
      </c>
      <c r="G986" t="s">
        <v>107</v>
      </c>
      <c r="H986" t="s">
        <v>8</v>
      </c>
      <c r="I986" t="s">
        <v>1935</v>
      </c>
      <c r="J986" t="s">
        <v>1936</v>
      </c>
      <c r="K986" s="8">
        <v>35</v>
      </c>
    </row>
    <row r="987" spans="1:11">
      <c r="A987" t="s">
        <v>2925</v>
      </c>
      <c r="B987" s="15">
        <v>45545</v>
      </c>
      <c r="C987" s="4">
        <v>45536</v>
      </c>
      <c r="D987" t="s">
        <v>35</v>
      </c>
      <c r="E987" t="s">
        <v>19</v>
      </c>
      <c r="F987" t="s">
        <v>37</v>
      </c>
      <c r="G987" t="s">
        <v>101</v>
      </c>
      <c r="H987" t="s">
        <v>8</v>
      </c>
      <c r="I987" t="s">
        <v>1935</v>
      </c>
      <c r="J987" t="s">
        <v>1936</v>
      </c>
      <c r="K987" s="8">
        <v>25</v>
      </c>
    </row>
    <row r="988" spans="1:11">
      <c r="A988" t="s">
        <v>2926</v>
      </c>
      <c r="B988" s="15">
        <v>45557</v>
      </c>
      <c r="C988" s="4">
        <v>45536</v>
      </c>
      <c r="D988" t="s">
        <v>35</v>
      </c>
      <c r="E988" t="s">
        <v>19</v>
      </c>
      <c r="F988" t="s">
        <v>37</v>
      </c>
      <c r="G988" t="s">
        <v>107</v>
      </c>
      <c r="H988" t="s">
        <v>8</v>
      </c>
      <c r="I988" t="s">
        <v>1935</v>
      </c>
      <c r="J988" t="s">
        <v>1938</v>
      </c>
      <c r="K988" s="8">
        <v>16</v>
      </c>
    </row>
    <row r="989" spans="1:11">
      <c r="A989" t="s">
        <v>2927</v>
      </c>
      <c r="B989" s="15">
        <v>45562</v>
      </c>
      <c r="C989" s="4">
        <v>45536</v>
      </c>
      <c r="D989" t="s">
        <v>35</v>
      </c>
      <c r="E989" t="s">
        <v>19</v>
      </c>
      <c r="F989" t="s">
        <v>37</v>
      </c>
      <c r="G989" t="s">
        <v>101</v>
      </c>
      <c r="H989" t="s">
        <v>5</v>
      </c>
      <c r="I989" t="s">
        <v>1935</v>
      </c>
      <c r="J989" t="s">
        <v>1938</v>
      </c>
      <c r="K989" s="8">
        <v>26</v>
      </c>
    </row>
    <row r="990" spans="1:11">
      <c r="A990" t="s">
        <v>2928</v>
      </c>
      <c r="B990" s="15">
        <v>45539</v>
      </c>
      <c r="C990" s="4">
        <v>45536</v>
      </c>
      <c r="D990" t="s">
        <v>35</v>
      </c>
      <c r="E990" t="s">
        <v>19</v>
      </c>
      <c r="F990" t="s">
        <v>37</v>
      </c>
      <c r="G990" t="s">
        <v>107</v>
      </c>
      <c r="H990" t="s">
        <v>8</v>
      </c>
      <c r="I990" t="s">
        <v>1935</v>
      </c>
      <c r="J990" t="s">
        <v>1936</v>
      </c>
      <c r="K990" s="8">
        <v>32</v>
      </c>
    </row>
    <row r="991" spans="1:11">
      <c r="A991" t="s">
        <v>2929</v>
      </c>
      <c r="B991" s="15">
        <v>45555</v>
      </c>
      <c r="C991" s="4">
        <v>45536</v>
      </c>
      <c r="D991" t="s">
        <v>35</v>
      </c>
      <c r="E991" t="s">
        <v>19</v>
      </c>
      <c r="F991" t="s">
        <v>37</v>
      </c>
      <c r="G991" t="s">
        <v>107</v>
      </c>
      <c r="H991" t="s">
        <v>8</v>
      </c>
      <c r="I991" t="s">
        <v>1935</v>
      </c>
      <c r="J991" t="s">
        <v>1936</v>
      </c>
      <c r="K991" s="8">
        <v>19</v>
      </c>
    </row>
    <row r="992" spans="1:11">
      <c r="A992" t="s">
        <v>2930</v>
      </c>
      <c r="B992" s="15">
        <v>45539</v>
      </c>
      <c r="C992" s="4">
        <v>45536</v>
      </c>
      <c r="D992" t="s">
        <v>35</v>
      </c>
      <c r="E992" t="s">
        <v>19</v>
      </c>
      <c r="F992" t="s">
        <v>37</v>
      </c>
      <c r="G992" t="s">
        <v>101</v>
      </c>
      <c r="H992" t="s">
        <v>5</v>
      </c>
      <c r="I992" t="s">
        <v>1935</v>
      </c>
      <c r="J992" t="s">
        <v>1938</v>
      </c>
      <c r="K992" s="8">
        <v>29</v>
      </c>
    </row>
    <row r="993" spans="1:11">
      <c r="A993" t="s">
        <v>2931</v>
      </c>
      <c r="B993" s="15">
        <v>45560</v>
      </c>
      <c r="C993" s="4">
        <v>45536</v>
      </c>
      <c r="D993" t="s">
        <v>35</v>
      </c>
      <c r="E993" t="s">
        <v>19</v>
      </c>
      <c r="F993" t="s">
        <v>37</v>
      </c>
      <c r="G993" t="s">
        <v>78</v>
      </c>
      <c r="H993" t="s">
        <v>8</v>
      </c>
      <c r="I993" t="s">
        <v>1935</v>
      </c>
      <c r="J993" t="s">
        <v>1936</v>
      </c>
      <c r="K993" s="8">
        <v>27</v>
      </c>
    </row>
    <row r="994" spans="1:11">
      <c r="A994" t="s">
        <v>2932</v>
      </c>
      <c r="B994" s="15">
        <v>45554</v>
      </c>
      <c r="C994" s="4">
        <v>45536</v>
      </c>
      <c r="D994" t="s">
        <v>35</v>
      </c>
      <c r="E994" t="s">
        <v>19</v>
      </c>
      <c r="F994" t="s">
        <v>37</v>
      </c>
      <c r="G994" t="s">
        <v>101</v>
      </c>
      <c r="H994" t="s">
        <v>8</v>
      </c>
      <c r="I994" t="s">
        <v>1935</v>
      </c>
      <c r="J994" t="s">
        <v>1936</v>
      </c>
      <c r="K994" s="8">
        <v>32</v>
      </c>
    </row>
    <row r="995" spans="1:11">
      <c r="A995" t="s">
        <v>2933</v>
      </c>
      <c r="B995" s="15">
        <v>45546</v>
      </c>
      <c r="C995" s="4">
        <v>45536</v>
      </c>
      <c r="D995" t="s">
        <v>38</v>
      </c>
      <c r="E995" t="s">
        <v>19</v>
      </c>
      <c r="F995" t="s">
        <v>40</v>
      </c>
      <c r="G995" t="s">
        <v>164</v>
      </c>
      <c r="H995" t="s">
        <v>5</v>
      </c>
      <c r="I995" t="s">
        <v>1935</v>
      </c>
      <c r="J995" t="s">
        <v>1938</v>
      </c>
      <c r="K995" s="8">
        <v>32</v>
      </c>
    </row>
    <row r="996" spans="1:11">
      <c r="A996" t="s">
        <v>2934</v>
      </c>
      <c r="B996" s="15">
        <v>45558</v>
      </c>
      <c r="C996" s="4">
        <v>45536</v>
      </c>
      <c r="D996" t="s">
        <v>38</v>
      </c>
      <c r="E996" t="s">
        <v>19</v>
      </c>
      <c r="F996" t="s">
        <v>40</v>
      </c>
      <c r="G996" t="s">
        <v>140</v>
      </c>
      <c r="H996" t="s">
        <v>11</v>
      </c>
      <c r="I996" t="s">
        <v>1935</v>
      </c>
      <c r="J996" t="s">
        <v>1936</v>
      </c>
      <c r="K996" s="8">
        <v>19</v>
      </c>
    </row>
    <row r="997" spans="1:11">
      <c r="A997" t="s">
        <v>2935</v>
      </c>
      <c r="B997" s="15">
        <v>45559</v>
      </c>
      <c r="C997" s="4">
        <v>45536</v>
      </c>
      <c r="D997" t="s">
        <v>38</v>
      </c>
      <c r="E997" t="s">
        <v>19</v>
      </c>
      <c r="F997" t="s">
        <v>40</v>
      </c>
      <c r="G997" t="s">
        <v>158</v>
      </c>
      <c r="H997" t="s">
        <v>8</v>
      </c>
      <c r="I997" t="s">
        <v>1935</v>
      </c>
      <c r="J997" t="s">
        <v>1936</v>
      </c>
      <c r="K997" s="8">
        <v>26</v>
      </c>
    </row>
    <row r="998" spans="1:11">
      <c r="A998" t="s">
        <v>2936</v>
      </c>
      <c r="B998" s="15">
        <v>45549</v>
      </c>
      <c r="C998" s="4">
        <v>45536</v>
      </c>
      <c r="D998" t="s">
        <v>38</v>
      </c>
      <c r="E998" t="s">
        <v>19</v>
      </c>
      <c r="F998" t="s">
        <v>40</v>
      </c>
      <c r="G998" t="s">
        <v>152</v>
      </c>
      <c r="H998" t="s">
        <v>5</v>
      </c>
      <c r="I998" t="s">
        <v>1935</v>
      </c>
      <c r="J998" t="s">
        <v>1936</v>
      </c>
      <c r="K998" s="8">
        <v>34</v>
      </c>
    </row>
    <row r="999" spans="1:11">
      <c r="A999" t="s">
        <v>2937</v>
      </c>
      <c r="B999" s="15">
        <v>45563</v>
      </c>
      <c r="C999" s="4">
        <v>45536</v>
      </c>
      <c r="D999" t="s">
        <v>38</v>
      </c>
      <c r="E999" t="s">
        <v>19</v>
      </c>
      <c r="F999" t="s">
        <v>40</v>
      </c>
      <c r="G999" t="s">
        <v>109</v>
      </c>
      <c r="H999" t="s">
        <v>11</v>
      </c>
      <c r="I999" t="s">
        <v>1935</v>
      </c>
      <c r="J999" t="s">
        <v>1954</v>
      </c>
      <c r="K999" s="8">
        <v>14</v>
      </c>
    </row>
    <row r="1000" spans="1:11">
      <c r="A1000" t="s">
        <v>2938</v>
      </c>
      <c r="B1000" s="15">
        <v>45551</v>
      </c>
      <c r="C1000" s="4">
        <v>45536</v>
      </c>
      <c r="D1000" t="s">
        <v>38</v>
      </c>
      <c r="E1000" t="s">
        <v>19</v>
      </c>
      <c r="F1000" t="s">
        <v>40</v>
      </c>
      <c r="G1000" t="s">
        <v>164</v>
      </c>
      <c r="H1000" t="s">
        <v>5</v>
      </c>
      <c r="I1000" t="s">
        <v>1935</v>
      </c>
      <c r="J1000" t="s">
        <v>1936</v>
      </c>
      <c r="K1000" s="8">
        <v>35</v>
      </c>
    </row>
    <row r="1001" spans="1:11">
      <c r="A1001" t="s">
        <v>2939</v>
      </c>
      <c r="B1001" s="15">
        <v>45561</v>
      </c>
      <c r="C1001" s="4">
        <v>45536</v>
      </c>
      <c r="D1001" t="s">
        <v>38</v>
      </c>
      <c r="E1001" t="s">
        <v>19</v>
      </c>
      <c r="F1001" t="s">
        <v>40</v>
      </c>
      <c r="G1001" t="s">
        <v>96</v>
      </c>
      <c r="H1001" t="s">
        <v>11</v>
      </c>
      <c r="I1001" t="s">
        <v>1935</v>
      </c>
      <c r="J1001" t="s">
        <v>1936</v>
      </c>
      <c r="K1001" s="8">
        <v>32</v>
      </c>
    </row>
    <row r="1002" spans="1:11">
      <c r="A1002" t="s">
        <v>2940</v>
      </c>
      <c r="B1002" s="15">
        <v>45552</v>
      </c>
      <c r="C1002" s="4">
        <v>45536</v>
      </c>
      <c r="D1002" t="s">
        <v>38</v>
      </c>
      <c r="E1002" t="s">
        <v>19</v>
      </c>
      <c r="F1002" t="s">
        <v>40</v>
      </c>
      <c r="G1002" t="s">
        <v>146</v>
      </c>
      <c r="H1002" t="s">
        <v>11</v>
      </c>
      <c r="I1002" t="s">
        <v>1935</v>
      </c>
      <c r="J1002" t="s">
        <v>1936</v>
      </c>
      <c r="K1002" s="8">
        <v>12</v>
      </c>
    </row>
    <row r="1003" spans="1:11">
      <c r="A1003" t="s">
        <v>2941</v>
      </c>
      <c r="B1003" s="15">
        <v>45560</v>
      </c>
      <c r="C1003" s="4">
        <v>45536</v>
      </c>
      <c r="D1003" t="s">
        <v>38</v>
      </c>
      <c r="E1003" t="s">
        <v>19</v>
      </c>
      <c r="F1003" t="s">
        <v>40</v>
      </c>
      <c r="G1003" t="s">
        <v>146</v>
      </c>
      <c r="H1003" t="s">
        <v>11</v>
      </c>
      <c r="I1003" t="s">
        <v>1935</v>
      </c>
      <c r="J1003" t="s">
        <v>1936</v>
      </c>
      <c r="K1003" s="8">
        <v>22</v>
      </c>
    </row>
    <row r="1004" spans="1:11">
      <c r="A1004" t="s">
        <v>2942</v>
      </c>
      <c r="B1004" s="15">
        <v>45562</v>
      </c>
      <c r="C1004" s="4">
        <v>45536</v>
      </c>
      <c r="D1004" t="s">
        <v>38</v>
      </c>
      <c r="E1004" t="s">
        <v>19</v>
      </c>
      <c r="F1004" t="s">
        <v>40</v>
      </c>
      <c r="G1004" t="s">
        <v>134</v>
      </c>
      <c r="H1004" t="s">
        <v>14</v>
      </c>
      <c r="I1004" t="s">
        <v>1935</v>
      </c>
      <c r="J1004" t="s">
        <v>1936</v>
      </c>
      <c r="K1004" s="8">
        <v>8</v>
      </c>
    </row>
    <row r="1005" spans="1:11">
      <c r="A1005" t="s">
        <v>2943</v>
      </c>
      <c r="B1005" s="15">
        <v>45549</v>
      </c>
      <c r="C1005" s="4">
        <v>45536</v>
      </c>
      <c r="D1005" t="s">
        <v>38</v>
      </c>
      <c r="E1005" t="s">
        <v>19</v>
      </c>
      <c r="F1005" t="s">
        <v>40</v>
      </c>
      <c r="G1005" t="s">
        <v>128</v>
      </c>
      <c r="H1005" t="s">
        <v>11</v>
      </c>
      <c r="I1005" t="s">
        <v>1935</v>
      </c>
      <c r="J1005" t="s">
        <v>1936</v>
      </c>
      <c r="K1005" s="8">
        <v>22</v>
      </c>
    </row>
    <row r="1006" spans="1:11">
      <c r="A1006" t="s">
        <v>2944</v>
      </c>
      <c r="B1006" s="15">
        <v>45557</v>
      </c>
      <c r="C1006" s="4">
        <v>45536</v>
      </c>
      <c r="D1006" t="s">
        <v>41</v>
      </c>
      <c r="E1006" t="s">
        <v>21</v>
      </c>
      <c r="F1006" t="s">
        <v>43</v>
      </c>
      <c r="G1006" t="s">
        <v>232</v>
      </c>
      <c r="H1006" t="s">
        <v>11</v>
      </c>
      <c r="I1006" t="s">
        <v>1935</v>
      </c>
      <c r="J1006" t="s">
        <v>1938</v>
      </c>
      <c r="K1006" s="8">
        <v>27</v>
      </c>
    </row>
    <row r="1007" spans="1:11">
      <c r="A1007" t="s">
        <v>2945</v>
      </c>
      <c r="B1007" s="15">
        <v>45552</v>
      </c>
      <c r="C1007" s="4">
        <v>45536</v>
      </c>
      <c r="D1007" t="s">
        <v>41</v>
      </c>
      <c r="E1007" t="s">
        <v>21</v>
      </c>
      <c r="F1007" t="s">
        <v>43</v>
      </c>
      <c r="G1007" t="s">
        <v>214</v>
      </c>
      <c r="H1007" t="s">
        <v>8</v>
      </c>
      <c r="I1007" t="s">
        <v>1935</v>
      </c>
      <c r="J1007" t="s">
        <v>1936</v>
      </c>
      <c r="K1007" s="8">
        <v>11</v>
      </c>
    </row>
    <row r="1008" spans="1:11">
      <c r="A1008" t="s">
        <v>2946</v>
      </c>
      <c r="B1008" s="15">
        <v>45545</v>
      </c>
      <c r="C1008" s="4">
        <v>45536</v>
      </c>
      <c r="D1008" t="s">
        <v>41</v>
      </c>
      <c r="E1008" t="s">
        <v>21</v>
      </c>
      <c r="F1008" t="s">
        <v>43</v>
      </c>
      <c r="G1008" t="s">
        <v>232</v>
      </c>
      <c r="H1008" t="s">
        <v>11</v>
      </c>
      <c r="I1008" t="s">
        <v>1935</v>
      </c>
      <c r="J1008" t="s">
        <v>1936</v>
      </c>
      <c r="K1008" s="8">
        <v>25</v>
      </c>
    </row>
    <row r="1009" spans="1:11">
      <c r="A1009" t="s">
        <v>2947</v>
      </c>
      <c r="B1009" s="15">
        <v>45540</v>
      </c>
      <c r="C1009" s="4">
        <v>45536</v>
      </c>
      <c r="D1009" t="s">
        <v>41</v>
      </c>
      <c r="E1009" t="s">
        <v>21</v>
      </c>
      <c r="F1009" t="s">
        <v>43</v>
      </c>
      <c r="G1009" t="s">
        <v>196</v>
      </c>
      <c r="H1009" t="s">
        <v>5</v>
      </c>
      <c r="I1009" t="s">
        <v>1935</v>
      </c>
      <c r="J1009" t="s">
        <v>1936</v>
      </c>
      <c r="K1009" s="8">
        <v>25</v>
      </c>
    </row>
    <row r="1010" spans="1:11">
      <c r="A1010" t="s">
        <v>2948</v>
      </c>
      <c r="B1010" s="15">
        <v>45554</v>
      </c>
      <c r="C1010" s="4">
        <v>45536</v>
      </c>
      <c r="D1010" t="s">
        <v>41</v>
      </c>
      <c r="E1010" t="s">
        <v>21</v>
      </c>
      <c r="F1010" t="s">
        <v>43</v>
      </c>
      <c r="G1010" t="s">
        <v>178</v>
      </c>
      <c r="H1010" t="s">
        <v>11</v>
      </c>
      <c r="I1010" t="s">
        <v>1935</v>
      </c>
      <c r="J1010" t="s">
        <v>1936</v>
      </c>
      <c r="K1010" s="8">
        <v>24</v>
      </c>
    </row>
    <row r="1011" spans="1:11">
      <c r="A1011" t="s">
        <v>2949</v>
      </c>
      <c r="B1011" s="15">
        <v>45538</v>
      </c>
      <c r="C1011" s="4">
        <v>45536</v>
      </c>
      <c r="D1011" t="s">
        <v>41</v>
      </c>
      <c r="E1011" t="s">
        <v>21</v>
      </c>
      <c r="F1011" t="s">
        <v>43</v>
      </c>
      <c r="G1011" t="s">
        <v>202</v>
      </c>
      <c r="H1011" t="s">
        <v>8</v>
      </c>
      <c r="I1011" t="s">
        <v>1935</v>
      </c>
      <c r="J1011" t="s">
        <v>1954</v>
      </c>
      <c r="K1011" s="8">
        <v>18</v>
      </c>
    </row>
    <row r="1012" spans="1:11">
      <c r="A1012" t="s">
        <v>2950</v>
      </c>
      <c r="B1012" s="15">
        <v>45560</v>
      </c>
      <c r="C1012" s="4">
        <v>45536</v>
      </c>
      <c r="D1012" t="s">
        <v>41</v>
      </c>
      <c r="E1012" t="s">
        <v>21</v>
      </c>
      <c r="F1012" t="s">
        <v>43</v>
      </c>
      <c r="G1012" t="s">
        <v>220</v>
      </c>
      <c r="H1012" t="s">
        <v>11</v>
      </c>
      <c r="I1012" t="s">
        <v>1935</v>
      </c>
      <c r="J1012" t="s">
        <v>1936</v>
      </c>
      <c r="K1012" s="8">
        <v>34</v>
      </c>
    </row>
    <row r="1013" spans="1:11">
      <c r="A1013" t="s">
        <v>2951</v>
      </c>
      <c r="B1013" s="15">
        <v>45549</v>
      </c>
      <c r="C1013" s="4">
        <v>45536</v>
      </c>
      <c r="D1013" t="s">
        <v>41</v>
      </c>
      <c r="E1013" t="s">
        <v>21</v>
      </c>
      <c r="F1013" t="s">
        <v>43</v>
      </c>
      <c r="G1013" t="s">
        <v>166</v>
      </c>
      <c r="H1013" t="s">
        <v>5</v>
      </c>
      <c r="I1013" t="s">
        <v>1935</v>
      </c>
      <c r="J1013" t="s">
        <v>1936</v>
      </c>
      <c r="K1013" s="8">
        <v>9</v>
      </c>
    </row>
    <row r="1014" spans="1:11">
      <c r="A1014" t="s">
        <v>2952</v>
      </c>
      <c r="B1014" s="15">
        <v>45555</v>
      </c>
      <c r="C1014" s="4">
        <v>45536</v>
      </c>
      <c r="D1014" t="s">
        <v>44</v>
      </c>
      <c r="E1014" t="s">
        <v>21</v>
      </c>
      <c r="F1014" t="s">
        <v>46</v>
      </c>
      <c r="G1014" t="s">
        <v>198</v>
      </c>
      <c r="H1014" t="s">
        <v>8</v>
      </c>
      <c r="I1014" t="s">
        <v>1935</v>
      </c>
      <c r="J1014" t="s">
        <v>1936</v>
      </c>
      <c r="K1014" s="8">
        <v>17</v>
      </c>
    </row>
    <row r="1015" spans="1:11">
      <c r="A1015" t="s">
        <v>2953</v>
      </c>
      <c r="B1015" s="15">
        <v>45538</v>
      </c>
      <c r="C1015" s="4">
        <v>45536</v>
      </c>
      <c r="D1015" t="s">
        <v>44</v>
      </c>
      <c r="E1015" t="s">
        <v>21</v>
      </c>
      <c r="F1015" t="s">
        <v>46</v>
      </c>
      <c r="G1015" t="s">
        <v>186</v>
      </c>
      <c r="H1015" t="s">
        <v>8</v>
      </c>
      <c r="I1015" t="s">
        <v>1935</v>
      </c>
      <c r="J1015" t="s">
        <v>1936</v>
      </c>
      <c r="K1015" s="8">
        <v>9</v>
      </c>
    </row>
    <row r="1016" spans="1:11">
      <c r="A1016" t="s">
        <v>2954</v>
      </c>
      <c r="B1016" s="15">
        <v>45548</v>
      </c>
      <c r="C1016" s="4">
        <v>45536</v>
      </c>
      <c r="D1016" t="s">
        <v>44</v>
      </c>
      <c r="E1016" t="s">
        <v>21</v>
      </c>
      <c r="F1016" t="s">
        <v>46</v>
      </c>
      <c r="G1016" t="s">
        <v>174</v>
      </c>
      <c r="H1016" t="s">
        <v>11</v>
      </c>
      <c r="I1016" t="s">
        <v>1935</v>
      </c>
      <c r="J1016" t="s">
        <v>1936</v>
      </c>
      <c r="K1016" s="8">
        <v>15</v>
      </c>
    </row>
    <row r="1017" spans="1:11">
      <c r="A1017" t="s">
        <v>2955</v>
      </c>
      <c r="B1017" s="15">
        <v>45558</v>
      </c>
      <c r="C1017" s="4">
        <v>45536</v>
      </c>
      <c r="D1017" t="s">
        <v>44</v>
      </c>
      <c r="E1017" t="s">
        <v>21</v>
      </c>
      <c r="F1017" t="s">
        <v>46</v>
      </c>
      <c r="G1017" t="s">
        <v>198</v>
      </c>
      <c r="H1017" t="s">
        <v>5</v>
      </c>
      <c r="I1017" t="s">
        <v>1935</v>
      </c>
      <c r="J1017" t="s">
        <v>1936</v>
      </c>
      <c r="K1017" s="8">
        <v>11</v>
      </c>
    </row>
    <row r="1018" spans="1:11">
      <c r="A1018" t="s">
        <v>2956</v>
      </c>
      <c r="B1018" s="15">
        <v>45552</v>
      </c>
      <c r="C1018" s="4">
        <v>45536</v>
      </c>
      <c r="D1018" t="s">
        <v>44</v>
      </c>
      <c r="E1018" t="s">
        <v>21</v>
      </c>
      <c r="F1018" t="s">
        <v>46</v>
      </c>
      <c r="G1018" t="s">
        <v>216</v>
      </c>
      <c r="H1018" t="s">
        <v>11</v>
      </c>
      <c r="I1018" t="s">
        <v>1935</v>
      </c>
      <c r="J1018" t="s">
        <v>1938</v>
      </c>
      <c r="K1018" s="8">
        <v>24</v>
      </c>
    </row>
    <row r="1019" spans="1:11">
      <c r="A1019" t="s">
        <v>2957</v>
      </c>
      <c r="B1019" s="15">
        <v>45550</v>
      </c>
      <c r="C1019" s="4">
        <v>45536</v>
      </c>
      <c r="D1019" t="s">
        <v>44</v>
      </c>
      <c r="E1019" t="s">
        <v>21</v>
      </c>
      <c r="F1019" t="s">
        <v>46</v>
      </c>
      <c r="G1019" t="s">
        <v>186</v>
      </c>
      <c r="H1019" t="s">
        <v>11</v>
      </c>
      <c r="I1019" t="s">
        <v>1935</v>
      </c>
      <c r="J1019" t="s">
        <v>1954</v>
      </c>
      <c r="K1019" s="8">
        <v>31</v>
      </c>
    </row>
    <row r="1020" spans="1:11">
      <c r="A1020" t="s">
        <v>2958</v>
      </c>
      <c r="B1020" s="15">
        <v>45538</v>
      </c>
      <c r="C1020" s="4">
        <v>45536</v>
      </c>
      <c r="D1020" t="s">
        <v>44</v>
      </c>
      <c r="E1020" t="s">
        <v>21</v>
      </c>
      <c r="F1020" t="s">
        <v>46</v>
      </c>
      <c r="G1020" t="s">
        <v>234</v>
      </c>
      <c r="H1020" t="s">
        <v>5</v>
      </c>
      <c r="I1020" t="s">
        <v>1935</v>
      </c>
      <c r="J1020" t="s">
        <v>1936</v>
      </c>
      <c r="K1020" s="8">
        <v>23</v>
      </c>
    </row>
    <row r="1021" spans="1:11">
      <c r="A1021" t="s">
        <v>2959</v>
      </c>
      <c r="B1021" s="15">
        <v>45542</v>
      </c>
      <c r="C1021" s="4">
        <v>45536</v>
      </c>
      <c r="D1021" t="s">
        <v>44</v>
      </c>
      <c r="E1021" t="s">
        <v>21</v>
      </c>
      <c r="F1021" t="s">
        <v>46</v>
      </c>
      <c r="G1021" t="s">
        <v>216</v>
      </c>
      <c r="H1021" t="s">
        <v>14</v>
      </c>
      <c r="I1021" t="s">
        <v>1935</v>
      </c>
      <c r="J1021" t="s">
        <v>1936</v>
      </c>
      <c r="K1021" s="8">
        <v>32</v>
      </c>
    </row>
    <row r="1022" spans="1:11">
      <c r="A1022" t="s">
        <v>2960</v>
      </c>
      <c r="B1022" s="15">
        <v>45554</v>
      </c>
      <c r="C1022" s="4">
        <v>45536</v>
      </c>
      <c r="D1022" t="s">
        <v>44</v>
      </c>
      <c r="E1022" t="s">
        <v>21</v>
      </c>
      <c r="F1022" t="s">
        <v>46</v>
      </c>
      <c r="G1022" t="s">
        <v>216</v>
      </c>
      <c r="H1022" t="s">
        <v>14</v>
      </c>
      <c r="I1022" t="s">
        <v>1935</v>
      </c>
      <c r="J1022" t="s">
        <v>1938</v>
      </c>
      <c r="K1022" s="8">
        <v>13</v>
      </c>
    </row>
    <row r="1023" spans="1:11">
      <c r="A1023" t="s">
        <v>2961</v>
      </c>
      <c r="B1023" s="15">
        <v>45553</v>
      </c>
      <c r="C1023" s="4">
        <v>45536</v>
      </c>
      <c r="D1023" t="s">
        <v>44</v>
      </c>
      <c r="E1023" t="s">
        <v>21</v>
      </c>
      <c r="F1023" t="s">
        <v>46</v>
      </c>
      <c r="G1023" t="s">
        <v>234</v>
      </c>
      <c r="H1023" t="s">
        <v>5</v>
      </c>
      <c r="I1023" t="s">
        <v>1935</v>
      </c>
      <c r="J1023" t="s">
        <v>1954</v>
      </c>
      <c r="K1023" s="8">
        <v>33</v>
      </c>
    </row>
    <row r="1024" spans="1:11">
      <c r="A1024" t="s">
        <v>2962</v>
      </c>
      <c r="B1024" s="15">
        <v>45547</v>
      </c>
      <c r="C1024" s="4">
        <v>45536</v>
      </c>
      <c r="D1024" t="s">
        <v>44</v>
      </c>
      <c r="E1024" t="s">
        <v>21</v>
      </c>
      <c r="F1024" t="s">
        <v>46</v>
      </c>
      <c r="G1024" t="s">
        <v>234</v>
      </c>
      <c r="H1024" t="s">
        <v>5</v>
      </c>
      <c r="I1024" t="s">
        <v>1935</v>
      </c>
      <c r="J1024" t="s">
        <v>1954</v>
      </c>
      <c r="K1024" s="8">
        <v>10</v>
      </c>
    </row>
    <row r="1025" spans="1:11">
      <c r="A1025" t="s">
        <v>2963</v>
      </c>
      <c r="B1025" s="15">
        <v>45539</v>
      </c>
      <c r="C1025" s="4">
        <v>45536</v>
      </c>
      <c r="D1025" t="s">
        <v>44</v>
      </c>
      <c r="E1025" t="s">
        <v>21</v>
      </c>
      <c r="F1025" t="s">
        <v>46</v>
      </c>
      <c r="G1025" t="s">
        <v>174</v>
      </c>
      <c r="H1025" t="s">
        <v>5</v>
      </c>
      <c r="I1025" t="s">
        <v>1935</v>
      </c>
      <c r="J1025" t="s">
        <v>1936</v>
      </c>
      <c r="K1025" s="8">
        <v>30</v>
      </c>
    </row>
    <row r="1026" spans="1:11">
      <c r="A1026" t="s">
        <v>2964</v>
      </c>
      <c r="B1026" s="15">
        <v>45549</v>
      </c>
      <c r="C1026" s="4">
        <v>45536</v>
      </c>
      <c r="D1026" t="s">
        <v>47</v>
      </c>
      <c r="E1026" t="s">
        <v>21</v>
      </c>
      <c r="F1026" t="s">
        <v>49</v>
      </c>
      <c r="G1026" t="s">
        <v>212</v>
      </c>
      <c r="H1026" t="s">
        <v>14</v>
      </c>
      <c r="I1026" t="s">
        <v>1935</v>
      </c>
      <c r="J1026" t="s">
        <v>1938</v>
      </c>
      <c r="K1026" s="8">
        <v>20</v>
      </c>
    </row>
    <row r="1027" spans="1:11">
      <c r="A1027" t="s">
        <v>2965</v>
      </c>
      <c r="B1027" s="15">
        <v>45561</v>
      </c>
      <c r="C1027" s="4">
        <v>45536</v>
      </c>
      <c r="D1027" t="s">
        <v>47</v>
      </c>
      <c r="E1027" t="s">
        <v>21</v>
      </c>
      <c r="F1027" t="s">
        <v>49</v>
      </c>
      <c r="G1027" t="s">
        <v>170</v>
      </c>
      <c r="H1027" t="s">
        <v>8</v>
      </c>
      <c r="I1027" t="s">
        <v>1935</v>
      </c>
      <c r="J1027" t="s">
        <v>1936</v>
      </c>
      <c r="K1027" s="8">
        <v>27</v>
      </c>
    </row>
    <row r="1028" spans="1:11">
      <c r="A1028" t="s">
        <v>2966</v>
      </c>
      <c r="B1028" s="15">
        <v>45544</v>
      </c>
      <c r="C1028" s="4">
        <v>45536</v>
      </c>
      <c r="D1028" t="s">
        <v>47</v>
      </c>
      <c r="E1028" t="s">
        <v>21</v>
      </c>
      <c r="F1028" t="s">
        <v>49</v>
      </c>
      <c r="G1028" t="s">
        <v>194</v>
      </c>
      <c r="H1028" t="s">
        <v>14</v>
      </c>
      <c r="I1028" t="s">
        <v>1935</v>
      </c>
      <c r="J1028" t="s">
        <v>1936</v>
      </c>
      <c r="K1028" s="8">
        <v>13</v>
      </c>
    </row>
    <row r="1029" spans="1:11">
      <c r="A1029" t="s">
        <v>2967</v>
      </c>
      <c r="B1029" s="15">
        <v>45541</v>
      </c>
      <c r="C1029" s="4">
        <v>45536</v>
      </c>
      <c r="D1029" t="s">
        <v>47</v>
      </c>
      <c r="E1029" t="s">
        <v>21</v>
      </c>
      <c r="F1029" t="s">
        <v>49</v>
      </c>
      <c r="G1029" t="s">
        <v>170</v>
      </c>
      <c r="H1029" t="s">
        <v>8</v>
      </c>
      <c r="I1029" t="s">
        <v>1935</v>
      </c>
      <c r="J1029" t="s">
        <v>1936</v>
      </c>
      <c r="K1029" s="8">
        <v>19</v>
      </c>
    </row>
    <row r="1030" spans="1:11">
      <c r="A1030" t="s">
        <v>2968</v>
      </c>
      <c r="B1030" s="15">
        <v>45562</v>
      </c>
      <c r="C1030" s="4">
        <v>45536</v>
      </c>
      <c r="D1030" t="s">
        <v>47</v>
      </c>
      <c r="E1030" t="s">
        <v>21</v>
      </c>
      <c r="F1030" t="s">
        <v>49</v>
      </c>
      <c r="G1030" t="s">
        <v>182</v>
      </c>
      <c r="H1030" t="s">
        <v>8</v>
      </c>
      <c r="I1030" t="s">
        <v>1935</v>
      </c>
      <c r="J1030" t="s">
        <v>1936</v>
      </c>
      <c r="K1030" s="8">
        <v>9</v>
      </c>
    </row>
    <row r="1031" spans="1:11">
      <c r="A1031" t="s">
        <v>2969</v>
      </c>
      <c r="B1031" s="15">
        <v>45544</v>
      </c>
      <c r="C1031" s="4">
        <v>45536</v>
      </c>
      <c r="D1031" t="s">
        <v>47</v>
      </c>
      <c r="E1031" t="s">
        <v>21</v>
      </c>
      <c r="F1031" t="s">
        <v>49</v>
      </c>
      <c r="G1031" t="s">
        <v>182</v>
      </c>
      <c r="H1031" t="s">
        <v>5</v>
      </c>
      <c r="I1031" t="s">
        <v>1935</v>
      </c>
      <c r="J1031" t="s">
        <v>1954</v>
      </c>
      <c r="K1031" s="8">
        <v>9</v>
      </c>
    </row>
    <row r="1032" spans="1:11">
      <c r="A1032" t="s">
        <v>2970</v>
      </c>
      <c r="B1032" s="15">
        <v>45538</v>
      </c>
      <c r="C1032" s="4">
        <v>45536</v>
      </c>
      <c r="D1032" t="s">
        <v>47</v>
      </c>
      <c r="E1032" t="s">
        <v>21</v>
      </c>
      <c r="F1032" t="s">
        <v>49</v>
      </c>
      <c r="G1032" t="s">
        <v>194</v>
      </c>
      <c r="H1032" t="s">
        <v>14</v>
      </c>
      <c r="I1032" t="s">
        <v>1935</v>
      </c>
      <c r="J1032" t="s">
        <v>1936</v>
      </c>
      <c r="K1032" s="8">
        <v>14</v>
      </c>
    </row>
    <row r="1033" spans="1:11">
      <c r="A1033" t="s">
        <v>2971</v>
      </c>
      <c r="B1033" s="15">
        <v>45542</v>
      </c>
      <c r="C1033" s="4">
        <v>45536</v>
      </c>
      <c r="D1033" t="s">
        <v>47</v>
      </c>
      <c r="E1033" t="s">
        <v>21</v>
      </c>
      <c r="F1033" t="s">
        <v>49</v>
      </c>
      <c r="G1033" t="s">
        <v>188</v>
      </c>
      <c r="H1033" t="s">
        <v>5</v>
      </c>
      <c r="I1033" t="s">
        <v>1935</v>
      </c>
      <c r="J1033" t="s">
        <v>1936</v>
      </c>
      <c r="K1033" s="8">
        <v>32</v>
      </c>
    </row>
    <row r="1034" spans="1:11">
      <c r="A1034" t="s">
        <v>2972</v>
      </c>
      <c r="B1034" s="15">
        <v>45538</v>
      </c>
      <c r="C1034" s="4">
        <v>45536</v>
      </c>
      <c r="D1034" t="s">
        <v>47</v>
      </c>
      <c r="E1034" t="s">
        <v>21</v>
      </c>
      <c r="F1034" t="s">
        <v>49</v>
      </c>
      <c r="G1034" t="s">
        <v>194</v>
      </c>
      <c r="H1034" t="s">
        <v>14</v>
      </c>
      <c r="I1034" t="s">
        <v>1942</v>
      </c>
      <c r="J1034" t="s">
        <v>1936</v>
      </c>
      <c r="K1034" s="8">
        <v>7</v>
      </c>
    </row>
    <row r="1035" spans="1:11">
      <c r="A1035" t="s">
        <v>2973</v>
      </c>
      <c r="B1035" s="15">
        <v>45565</v>
      </c>
      <c r="C1035" s="4">
        <v>45536</v>
      </c>
      <c r="D1035" t="s">
        <v>50</v>
      </c>
      <c r="E1035" t="s">
        <v>23</v>
      </c>
      <c r="F1035" t="s">
        <v>52</v>
      </c>
      <c r="G1035" t="s">
        <v>292</v>
      </c>
      <c r="H1035" t="s">
        <v>11</v>
      </c>
      <c r="I1035" t="s">
        <v>1935</v>
      </c>
      <c r="J1035" t="s">
        <v>1936</v>
      </c>
      <c r="K1035" s="8">
        <v>26</v>
      </c>
    </row>
    <row r="1036" spans="1:11">
      <c r="A1036" t="s">
        <v>2974</v>
      </c>
      <c r="B1036" s="15">
        <v>45556</v>
      </c>
      <c r="C1036" s="4">
        <v>45536</v>
      </c>
      <c r="D1036" t="s">
        <v>50</v>
      </c>
      <c r="E1036" t="s">
        <v>23</v>
      </c>
      <c r="F1036" t="s">
        <v>52</v>
      </c>
      <c r="G1036" t="s">
        <v>292</v>
      </c>
      <c r="H1036" t="s">
        <v>11</v>
      </c>
      <c r="I1036" t="s">
        <v>1935</v>
      </c>
      <c r="J1036" t="s">
        <v>1936</v>
      </c>
      <c r="K1036" s="8">
        <v>33</v>
      </c>
    </row>
    <row r="1037" spans="1:11">
      <c r="A1037" t="s">
        <v>2975</v>
      </c>
      <c r="B1037" s="15">
        <v>45541</v>
      </c>
      <c r="C1037" s="4">
        <v>45536</v>
      </c>
      <c r="D1037" t="s">
        <v>50</v>
      </c>
      <c r="E1037" t="s">
        <v>23</v>
      </c>
      <c r="F1037" t="s">
        <v>52</v>
      </c>
      <c r="G1037" t="s">
        <v>274</v>
      </c>
      <c r="H1037" t="s">
        <v>11</v>
      </c>
      <c r="I1037" t="s">
        <v>1935</v>
      </c>
      <c r="J1037" t="s">
        <v>1954</v>
      </c>
      <c r="K1037" s="8">
        <v>28</v>
      </c>
    </row>
    <row r="1038" spans="1:11">
      <c r="A1038" t="s">
        <v>2976</v>
      </c>
      <c r="B1038" s="15">
        <v>45550</v>
      </c>
      <c r="C1038" s="4">
        <v>45536</v>
      </c>
      <c r="D1038" t="s">
        <v>50</v>
      </c>
      <c r="E1038" t="s">
        <v>23</v>
      </c>
      <c r="F1038" t="s">
        <v>52</v>
      </c>
      <c r="G1038" t="s">
        <v>268</v>
      </c>
      <c r="H1038" t="s">
        <v>11</v>
      </c>
      <c r="I1038" t="s">
        <v>1935</v>
      </c>
      <c r="J1038" t="s">
        <v>1936</v>
      </c>
      <c r="K1038" s="8">
        <v>10</v>
      </c>
    </row>
    <row r="1039" spans="1:11">
      <c r="A1039" t="s">
        <v>2977</v>
      </c>
      <c r="B1039" s="15">
        <v>45560</v>
      </c>
      <c r="C1039" s="4">
        <v>45536</v>
      </c>
      <c r="D1039" t="s">
        <v>50</v>
      </c>
      <c r="E1039" t="s">
        <v>23</v>
      </c>
      <c r="F1039" t="s">
        <v>52</v>
      </c>
      <c r="G1039" t="s">
        <v>298</v>
      </c>
      <c r="H1039" t="s">
        <v>5</v>
      </c>
      <c r="I1039" t="s">
        <v>1935</v>
      </c>
      <c r="J1039" t="s">
        <v>1938</v>
      </c>
      <c r="K1039" s="8">
        <v>24</v>
      </c>
    </row>
    <row r="1040" spans="1:11">
      <c r="A1040" t="s">
        <v>2978</v>
      </c>
      <c r="B1040" s="15">
        <v>45553</v>
      </c>
      <c r="C1040" s="4">
        <v>45536</v>
      </c>
      <c r="D1040" t="s">
        <v>50</v>
      </c>
      <c r="E1040" t="s">
        <v>23</v>
      </c>
      <c r="F1040" t="s">
        <v>52</v>
      </c>
      <c r="G1040" t="s">
        <v>274</v>
      </c>
      <c r="H1040" t="s">
        <v>5</v>
      </c>
      <c r="I1040" t="s">
        <v>1935</v>
      </c>
      <c r="J1040" t="s">
        <v>1954</v>
      </c>
      <c r="K1040" s="8">
        <v>33</v>
      </c>
    </row>
    <row r="1041" spans="1:11">
      <c r="A1041" t="s">
        <v>2979</v>
      </c>
      <c r="B1041" s="15">
        <v>45556</v>
      </c>
      <c r="C1041" s="4">
        <v>45536</v>
      </c>
      <c r="D1041" t="s">
        <v>50</v>
      </c>
      <c r="E1041" t="s">
        <v>23</v>
      </c>
      <c r="F1041" t="s">
        <v>52</v>
      </c>
      <c r="G1041" t="s">
        <v>268</v>
      </c>
      <c r="H1041" t="s">
        <v>5</v>
      </c>
      <c r="I1041" t="s">
        <v>1935</v>
      </c>
      <c r="J1041" t="s">
        <v>1938</v>
      </c>
      <c r="K1041" s="8">
        <v>26</v>
      </c>
    </row>
    <row r="1042" spans="1:11">
      <c r="A1042" t="s">
        <v>2980</v>
      </c>
      <c r="B1042" s="15">
        <v>45538</v>
      </c>
      <c r="C1042" s="4">
        <v>45536</v>
      </c>
      <c r="D1042" t="s">
        <v>50</v>
      </c>
      <c r="E1042" t="s">
        <v>23</v>
      </c>
      <c r="F1042" t="s">
        <v>52</v>
      </c>
      <c r="G1042" t="s">
        <v>244</v>
      </c>
      <c r="H1042" t="s">
        <v>11</v>
      </c>
      <c r="I1042" t="s">
        <v>1935</v>
      </c>
      <c r="J1042" t="s">
        <v>1954</v>
      </c>
      <c r="K1042" s="8">
        <v>16</v>
      </c>
    </row>
    <row r="1043" spans="1:11">
      <c r="A1043" t="s">
        <v>2981</v>
      </c>
      <c r="B1043" s="15">
        <v>45543</v>
      </c>
      <c r="C1043" s="4">
        <v>45536</v>
      </c>
      <c r="D1043" t="s">
        <v>50</v>
      </c>
      <c r="E1043" t="s">
        <v>23</v>
      </c>
      <c r="F1043" t="s">
        <v>52</v>
      </c>
      <c r="G1043" t="s">
        <v>244</v>
      </c>
      <c r="H1043" t="s">
        <v>8</v>
      </c>
      <c r="I1043" t="s">
        <v>1935</v>
      </c>
      <c r="J1043" t="s">
        <v>1938</v>
      </c>
      <c r="K1043" s="8">
        <v>30</v>
      </c>
    </row>
    <row r="1044" spans="1:11">
      <c r="A1044" t="s">
        <v>2982</v>
      </c>
      <c r="B1044" s="15">
        <v>45536</v>
      </c>
      <c r="C1044" s="4">
        <v>45536</v>
      </c>
      <c r="D1044" t="s">
        <v>50</v>
      </c>
      <c r="E1044" t="s">
        <v>23</v>
      </c>
      <c r="F1044" t="s">
        <v>52</v>
      </c>
      <c r="G1044" t="s">
        <v>310</v>
      </c>
      <c r="H1044" t="s">
        <v>11</v>
      </c>
      <c r="I1044" t="s">
        <v>1935</v>
      </c>
      <c r="J1044" t="s">
        <v>1938</v>
      </c>
      <c r="K1044" s="8">
        <v>30</v>
      </c>
    </row>
    <row r="1045" spans="1:11">
      <c r="A1045" t="s">
        <v>2983</v>
      </c>
      <c r="B1045" s="15">
        <v>45563</v>
      </c>
      <c r="C1045" s="4">
        <v>45536</v>
      </c>
      <c r="D1045" t="s">
        <v>53</v>
      </c>
      <c r="E1045" t="s">
        <v>23</v>
      </c>
      <c r="F1045" t="s">
        <v>55</v>
      </c>
      <c r="G1045" t="s">
        <v>246</v>
      </c>
      <c r="H1045" t="s">
        <v>14</v>
      </c>
      <c r="I1045" t="s">
        <v>1935</v>
      </c>
      <c r="J1045" t="s">
        <v>1938</v>
      </c>
      <c r="K1045" s="8">
        <v>26</v>
      </c>
    </row>
    <row r="1046" spans="1:11">
      <c r="A1046" t="s">
        <v>2984</v>
      </c>
      <c r="B1046" s="15">
        <v>45562</v>
      </c>
      <c r="C1046" s="4">
        <v>45536</v>
      </c>
      <c r="D1046" t="s">
        <v>53</v>
      </c>
      <c r="E1046" t="s">
        <v>23</v>
      </c>
      <c r="F1046" t="s">
        <v>55</v>
      </c>
      <c r="G1046" t="s">
        <v>300</v>
      </c>
      <c r="H1046" t="s">
        <v>5</v>
      </c>
      <c r="I1046" t="s">
        <v>1995</v>
      </c>
      <c r="J1046" t="s">
        <v>1936</v>
      </c>
      <c r="K1046" s="8">
        <v>0</v>
      </c>
    </row>
    <row r="1047" spans="1:11">
      <c r="A1047" t="s">
        <v>2985</v>
      </c>
      <c r="B1047" s="15">
        <v>45537</v>
      </c>
      <c r="C1047" s="4">
        <v>45536</v>
      </c>
      <c r="D1047" t="s">
        <v>53</v>
      </c>
      <c r="E1047" t="s">
        <v>23</v>
      </c>
      <c r="F1047" t="s">
        <v>55</v>
      </c>
      <c r="G1047" t="s">
        <v>282</v>
      </c>
      <c r="H1047" t="s">
        <v>8</v>
      </c>
      <c r="I1047" t="s">
        <v>1935</v>
      </c>
      <c r="J1047" t="s">
        <v>1936</v>
      </c>
      <c r="K1047" s="8">
        <v>32</v>
      </c>
    </row>
    <row r="1048" spans="1:11">
      <c r="A1048" t="s">
        <v>2986</v>
      </c>
      <c r="B1048" s="15">
        <v>45536</v>
      </c>
      <c r="C1048" s="4">
        <v>45536</v>
      </c>
      <c r="D1048" t="s">
        <v>53</v>
      </c>
      <c r="E1048" t="s">
        <v>23</v>
      </c>
      <c r="F1048" t="s">
        <v>55</v>
      </c>
      <c r="G1048" t="s">
        <v>288</v>
      </c>
      <c r="H1048" t="s">
        <v>8</v>
      </c>
      <c r="I1048" t="s">
        <v>1935</v>
      </c>
      <c r="J1048" t="s">
        <v>1954</v>
      </c>
      <c r="K1048" s="8">
        <v>30</v>
      </c>
    </row>
    <row r="1049" spans="1:11">
      <c r="A1049" t="s">
        <v>2987</v>
      </c>
      <c r="B1049" s="15">
        <v>45547</v>
      </c>
      <c r="C1049" s="4">
        <v>45536</v>
      </c>
      <c r="D1049" t="s">
        <v>53</v>
      </c>
      <c r="E1049" t="s">
        <v>23</v>
      </c>
      <c r="F1049" t="s">
        <v>55</v>
      </c>
      <c r="G1049" t="s">
        <v>252</v>
      </c>
      <c r="H1049" t="s">
        <v>5</v>
      </c>
      <c r="I1049" t="s">
        <v>1935</v>
      </c>
      <c r="J1049" t="s">
        <v>1936</v>
      </c>
      <c r="K1049" s="8">
        <v>14</v>
      </c>
    </row>
    <row r="1050" spans="1:11">
      <c r="A1050" t="s">
        <v>2988</v>
      </c>
      <c r="B1050" s="15">
        <v>45536</v>
      </c>
      <c r="C1050" s="4">
        <v>45536</v>
      </c>
      <c r="D1050" t="s">
        <v>53</v>
      </c>
      <c r="E1050" t="s">
        <v>23</v>
      </c>
      <c r="F1050" t="s">
        <v>55</v>
      </c>
      <c r="G1050" t="s">
        <v>312</v>
      </c>
      <c r="H1050" t="s">
        <v>14</v>
      </c>
      <c r="I1050" t="s">
        <v>1935</v>
      </c>
      <c r="J1050" t="s">
        <v>1936</v>
      </c>
      <c r="K1050" s="8">
        <v>8</v>
      </c>
    </row>
    <row r="1051" spans="1:11">
      <c r="A1051" t="s">
        <v>2989</v>
      </c>
      <c r="B1051" s="15">
        <v>45536</v>
      </c>
      <c r="C1051" s="4">
        <v>45536</v>
      </c>
      <c r="D1051" t="s">
        <v>53</v>
      </c>
      <c r="E1051" t="s">
        <v>23</v>
      </c>
      <c r="F1051" t="s">
        <v>55</v>
      </c>
      <c r="G1051" t="s">
        <v>270</v>
      </c>
      <c r="H1051" t="s">
        <v>8</v>
      </c>
      <c r="I1051" t="s">
        <v>1935</v>
      </c>
      <c r="J1051" t="s">
        <v>1936</v>
      </c>
      <c r="K1051" s="8">
        <v>17</v>
      </c>
    </row>
    <row r="1052" spans="1:11">
      <c r="A1052" t="s">
        <v>2990</v>
      </c>
      <c r="B1052" s="15">
        <v>45542</v>
      </c>
      <c r="C1052" s="4">
        <v>45536</v>
      </c>
      <c r="D1052" t="s">
        <v>53</v>
      </c>
      <c r="E1052" t="s">
        <v>23</v>
      </c>
      <c r="F1052" t="s">
        <v>55</v>
      </c>
      <c r="G1052" t="s">
        <v>270</v>
      </c>
      <c r="H1052" t="s">
        <v>8</v>
      </c>
      <c r="I1052" t="s">
        <v>1935</v>
      </c>
      <c r="J1052" t="s">
        <v>1954</v>
      </c>
      <c r="K1052" s="8">
        <v>33</v>
      </c>
    </row>
    <row r="1053" spans="1:11">
      <c r="A1053" t="s">
        <v>2991</v>
      </c>
      <c r="B1053" s="15">
        <v>45545</v>
      </c>
      <c r="C1053" s="4">
        <v>45536</v>
      </c>
      <c r="D1053" t="s">
        <v>53</v>
      </c>
      <c r="E1053" t="s">
        <v>23</v>
      </c>
      <c r="F1053" t="s">
        <v>55</v>
      </c>
      <c r="G1053" t="s">
        <v>294</v>
      </c>
      <c r="H1053" t="s">
        <v>8</v>
      </c>
      <c r="I1053" t="s">
        <v>1935</v>
      </c>
      <c r="J1053" t="s">
        <v>1936</v>
      </c>
      <c r="K1053" s="8">
        <v>30</v>
      </c>
    </row>
    <row r="1054" spans="1:11">
      <c r="A1054" t="s">
        <v>2992</v>
      </c>
      <c r="B1054" s="15">
        <v>45551</v>
      </c>
      <c r="C1054" s="4">
        <v>45536</v>
      </c>
      <c r="D1054" t="s">
        <v>53</v>
      </c>
      <c r="E1054" t="s">
        <v>23</v>
      </c>
      <c r="F1054" t="s">
        <v>55</v>
      </c>
      <c r="G1054" t="s">
        <v>312</v>
      </c>
      <c r="H1054" t="s">
        <v>5</v>
      </c>
      <c r="I1054" t="s">
        <v>1935</v>
      </c>
      <c r="J1054" t="s">
        <v>1936</v>
      </c>
      <c r="K1054" s="8">
        <v>20</v>
      </c>
    </row>
    <row r="1055" spans="1:11">
      <c r="A1055" t="s">
        <v>2993</v>
      </c>
      <c r="B1055" s="15">
        <v>45543</v>
      </c>
      <c r="C1055" s="4">
        <v>45536</v>
      </c>
      <c r="D1055" t="s">
        <v>56</v>
      </c>
      <c r="E1055" t="s">
        <v>23</v>
      </c>
      <c r="F1055" t="s">
        <v>58</v>
      </c>
      <c r="G1055" t="s">
        <v>302</v>
      </c>
      <c r="H1055" t="s">
        <v>5</v>
      </c>
      <c r="I1055" t="s">
        <v>1942</v>
      </c>
      <c r="J1055" t="s">
        <v>1936</v>
      </c>
      <c r="K1055" s="8">
        <v>2</v>
      </c>
    </row>
    <row r="1056" spans="1:11">
      <c r="A1056" t="s">
        <v>2994</v>
      </c>
      <c r="B1056" s="15">
        <v>45536</v>
      </c>
      <c r="C1056" s="4">
        <v>45536</v>
      </c>
      <c r="D1056" t="s">
        <v>56</v>
      </c>
      <c r="E1056" t="s">
        <v>23</v>
      </c>
      <c r="F1056" t="s">
        <v>58</v>
      </c>
      <c r="G1056" t="s">
        <v>266</v>
      </c>
      <c r="H1056" t="s">
        <v>11</v>
      </c>
      <c r="I1056" t="s">
        <v>1935</v>
      </c>
      <c r="J1056" t="s">
        <v>1936</v>
      </c>
      <c r="K1056" s="8">
        <v>16</v>
      </c>
    </row>
    <row r="1057" spans="1:11">
      <c r="A1057" t="s">
        <v>2995</v>
      </c>
      <c r="B1057" s="15">
        <v>45541</v>
      </c>
      <c r="C1057" s="4">
        <v>45536</v>
      </c>
      <c r="D1057" t="s">
        <v>56</v>
      </c>
      <c r="E1057" t="s">
        <v>23</v>
      </c>
      <c r="F1057" t="s">
        <v>58</v>
      </c>
      <c r="G1057" t="s">
        <v>248</v>
      </c>
      <c r="H1057" t="s">
        <v>11</v>
      </c>
      <c r="I1057" t="s">
        <v>1935</v>
      </c>
      <c r="J1057" t="s">
        <v>1936</v>
      </c>
      <c r="K1057" s="8">
        <v>32</v>
      </c>
    </row>
    <row r="1058" spans="1:11">
      <c r="A1058" t="s">
        <v>2996</v>
      </c>
      <c r="B1058" s="15">
        <v>45551</v>
      </c>
      <c r="C1058" s="4">
        <v>45536</v>
      </c>
      <c r="D1058" t="s">
        <v>56</v>
      </c>
      <c r="E1058" t="s">
        <v>23</v>
      </c>
      <c r="F1058" t="s">
        <v>58</v>
      </c>
      <c r="G1058" t="s">
        <v>302</v>
      </c>
      <c r="H1058" t="s">
        <v>5</v>
      </c>
      <c r="I1058" t="s">
        <v>1935</v>
      </c>
      <c r="J1058" t="s">
        <v>1938</v>
      </c>
      <c r="K1058" s="8">
        <v>10</v>
      </c>
    </row>
    <row r="1059" spans="1:11">
      <c r="A1059" t="s">
        <v>2997</v>
      </c>
      <c r="B1059" s="15">
        <v>45540</v>
      </c>
      <c r="C1059" s="4">
        <v>45536</v>
      </c>
      <c r="D1059" t="s">
        <v>56</v>
      </c>
      <c r="E1059" t="s">
        <v>23</v>
      </c>
      <c r="F1059" t="s">
        <v>58</v>
      </c>
      <c r="G1059" t="s">
        <v>242</v>
      </c>
      <c r="H1059" t="s">
        <v>11</v>
      </c>
      <c r="I1059" t="s">
        <v>1935</v>
      </c>
      <c r="J1059" t="s">
        <v>1936</v>
      </c>
      <c r="K1059" s="8">
        <v>14</v>
      </c>
    </row>
    <row r="1060" spans="1:11">
      <c r="A1060" t="s">
        <v>2998</v>
      </c>
      <c r="B1060" s="15">
        <v>45547</v>
      </c>
      <c r="C1060" s="4">
        <v>45536</v>
      </c>
      <c r="D1060" t="s">
        <v>56</v>
      </c>
      <c r="E1060" t="s">
        <v>23</v>
      </c>
      <c r="F1060" t="s">
        <v>58</v>
      </c>
      <c r="G1060" t="s">
        <v>308</v>
      </c>
      <c r="H1060" t="s">
        <v>11</v>
      </c>
      <c r="I1060" t="s">
        <v>1935</v>
      </c>
      <c r="J1060" t="s">
        <v>1936</v>
      </c>
      <c r="K1060" s="8">
        <v>26</v>
      </c>
    </row>
    <row r="1061" spans="1:11">
      <c r="A1061" t="s">
        <v>2999</v>
      </c>
      <c r="B1061" s="15">
        <v>45541</v>
      </c>
      <c r="C1061" s="4">
        <v>45536</v>
      </c>
      <c r="D1061" t="s">
        <v>56</v>
      </c>
      <c r="E1061" t="s">
        <v>23</v>
      </c>
      <c r="F1061" t="s">
        <v>58</v>
      </c>
      <c r="G1061" t="s">
        <v>242</v>
      </c>
      <c r="H1061" t="s">
        <v>5</v>
      </c>
      <c r="I1061" t="s">
        <v>1935</v>
      </c>
      <c r="J1061" t="s">
        <v>1936</v>
      </c>
      <c r="K1061" s="8">
        <v>14</v>
      </c>
    </row>
    <row r="1062" spans="1:11">
      <c r="A1062" t="s">
        <v>3000</v>
      </c>
      <c r="B1062" s="15">
        <v>45555</v>
      </c>
      <c r="C1062" s="4">
        <v>45536</v>
      </c>
      <c r="D1062" t="s">
        <v>56</v>
      </c>
      <c r="E1062" t="s">
        <v>23</v>
      </c>
      <c r="F1062" t="s">
        <v>58</v>
      </c>
      <c r="G1062" t="s">
        <v>254</v>
      </c>
      <c r="H1062" t="s">
        <v>5</v>
      </c>
      <c r="I1062" t="s">
        <v>1935</v>
      </c>
      <c r="J1062" t="s">
        <v>1936</v>
      </c>
      <c r="K1062" s="8">
        <v>35</v>
      </c>
    </row>
    <row r="1063" spans="1:11">
      <c r="A1063" t="s">
        <v>3001</v>
      </c>
      <c r="B1063" s="15">
        <v>45557</v>
      </c>
      <c r="C1063" s="4">
        <v>45536</v>
      </c>
      <c r="D1063" t="s">
        <v>56</v>
      </c>
      <c r="E1063" t="s">
        <v>23</v>
      </c>
      <c r="F1063" t="s">
        <v>58</v>
      </c>
      <c r="G1063" t="s">
        <v>248</v>
      </c>
      <c r="H1063" t="s">
        <v>11</v>
      </c>
      <c r="I1063" t="s">
        <v>1935</v>
      </c>
      <c r="J1063" t="s">
        <v>1938</v>
      </c>
      <c r="K1063" s="8">
        <v>29</v>
      </c>
    </row>
    <row r="1064" spans="1:11">
      <c r="A1064" t="s">
        <v>3002</v>
      </c>
      <c r="B1064" s="15">
        <v>45552</v>
      </c>
      <c r="C1064" s="4">
        <v>45536</v>
      </c>
      <c r="D1064" t="s">
        <v>59</v>
      </c>
      <c r="E1064" t="s">
        <v>25</v>
      </c>
      <c r="F1064" t="s">
        <v>61</v>
      </c>
      <c r="G1064" t="s">
        <v>332</v>
      </c>
      <c r="H1064" t="s">
        <v>8</v>
      </c>
      <c r="I1064" t="s">
        <v>1935</v>
      </c>
      <c r="J1064" t="s">
        <v>1938</v>
      </c>
      <c r="K1064" s="8">
        <v>14</v>
      </c>
    </row>
    <row r="1065" spans="1:11">
      <c r="A1065" t="s">
        <v>3003</v>
      </c>
      <c r="B1065" s="15">
        <v>45562</v>
      </c>
      <c r="C1065" s="4">
        <v>45536</v>
      </c>
      <c r="D1065" t="s">
        <v>59</v>
      </c>
      <c r="E1065" t="s">
        <v>25</v>
      </c>
      <c r="F1065" t="s">
        <v>61</v>
      </c>
      <c r="G1065" t="s">
        <v>368</v>
      </c>
      <c r="H1065" t="s">
        <v>14</v>
      </c>
      <c r="I1065" t="s">
        <v>1935</v>
      </c>
      <c r="J1065" t="s">
        <v>1938</v>
      </c>
      <c r="K1065" s="8">
        <v>30</v>
      </c>
    </row>
    <row r="1066" spans="1:11">
      <c r="A1066" t="s">
        <v>3004</v>
      </c>
      <c r="B1066" s="15">
        <v>45542</v>
      </c>
      <c r="C1066" s="4">
        <v>45536</v>
      </c>
      <c r="D1066" t="s">
        <v>59</v>
      </c>
      <c r="E1066" t="s">
        <v>25</v>
      </c>
      <c r="F1066" t="s">
        <v>61</v>
      </c>
      <c r="G1066" t="s">
        <v>356</v>
      </c>
      <c r="H1066" t="s">
        <v>8</v>
      </c>
      <c r="I1066" t="s">
        <v>1935</v>
      </c>
      <c r="J1066" t="s">
        <v>1936</v>
      </c>
      <c r="K1066" s="8">
        <v>11</v>
      </c>
    </row>
    <row r="1067" spans="1:11">
      <c r="A1067" t="s">
        <v>3005</v>
      </c>
      <c r="B1067" s="15">
        <v>45557</v>
      </c>
      <c r="C1067" s="4">
        <v>45536</v>
      </c>
      <c r="D1067" t="s">
        <v>59</v>
      </c>
      <c r="E1067" t="s">
        <v>25</v>
      </c>
      <c r="F1067" t="s">
        <v>61</v>
      </c>
      <c r="G1067" t="s">
        <v>320</v>
      </c>
      <c r="H1067" t="s">
        <v>11</v>
      </c>
      <c r="I1067" t="s">
        <v>1935</v>
      </c>
      <c r="J1067" t="s">
        <v>1936</v>
      </c>
      <c r="K1067" s="8">
        <v>32</v>
      </c>
    </row>
    <row r="1068" spans="1:11">
      <c r="A1068" t="s">
        <v>3006</v>
      </c>
      <c r="B1068" s="15">
        <v>45564</v>
      </c>
      <c r="C1068" s="4">
        <v>45536</v>
      </c>
      <c r="D1068" t="s">
        <v>59</v>
      </c>
      <c r="E1068" t="s">
        <v>25</v>
      </c>
      <c r="F1068" t="s">
        <v>61</v>
      </c>
      <c r="G1068" t="s">
        <v>380</v>
      </c>
      <c r="H1068" t="s">
        <v>11</v>
      </c>
      <c r="I1068" t="s">
        <v>1935</v>
      </c>
      <c r="J1068" t="s">
        <v>1936</v>
      </c>
      <c r="K1068" s="8">
        <v>19</v>
      </c>
    </row>
    <row r="1069" spans="1:11">
      <c r="A1069" t="s">
        <v>3007</v>
      </c>
      <c r="B1069" s="15">
        <v>45555</v>
      </c>
      <c r="C1069" s="4">
        <v>45536</v>
      </c>
      <c r="D1069" t="s">
        <v>59</v>
      </c>
      <c r="E1069" t="s">
        <v>25</v>
      </c>
      <c r="F1069" t="s">
        <v>61</v>
      </c>
      <c r="G1069" t="s">
        <v>368</v>
      </c>
      <c r="H1069" t="s">
        <v>14</v>
      </c>
      <c r="I1069" t="s">
        <v>1935</v>
      </c>
      <c r="J1069" t="s">
        <v>1936</v>
      </c>
      <c r="K1069" s="8">
        <v>23</v>
      </c>
    </row>
    <row r="1070" spans="1:11">
      <c r="A1070" t="s">
        <v>3008</v>
      </c>
      <c r="B1070" s="15">
        <v>45544</v>
      </c>
      <c r="C1070" s="4">
        <v>45536</v>
      </c>
      <c r="D1070" t="s">
        <v>59</v>
      </c>
      <c r="E1070" t="s">
        <v>25</v>
      </c>
      <c r="F1070" t="s">
        <v>61</v>
      </c>
      <c r="G1070" t="s">
        <v>326</v>
      </c>
      <c r="H1070" t="s">
        <v>8</v>
      </c>
      <c r="I1070" t="s">
        <v>1935</v>
      </c>
      <c r="J1070" t="s">
        <v>1936</v>
      </c>
      <c r="K1070" s="8">
        <v>13</v>
      </c>
    </row>
    <row r="1071" spans="1:11">
      <c r="A1071" t="s">
        <v>3009</v>
      </c>
      <c r="B1071" s="15">
        <v>45554</v>
      </c>
      <c r="C1071" s="4">
        <v>45536</v>
      </c>
      <c r="D1071" t="s">
        <v>59</v>
      </c>
      <c r="E1071" t="s">
        <v>25</v>
      </c>
      <c r="F1071" t="s">
        <v>61</v>
      </c>
      <c r="G1071" t="s">
        <v>332</v>
      </c>
      <c r="H1071" t="s">
        <v>11</v>
      </c>
      <c r="I1071" t="s">
        <v>1935</v>
      </c>
      <c r="J1071" t="s">
        <v>1936</v>
      </c>
      <c r="K1071" s="8">
        <v>18</v>
      </c>
    </row>
    <row r="1072" spans="1:11">
      <c r="A1072" t="s">
        <v>3010</v>
      </c>
      <c r="B1072" s="15">
        <v>45555</v>
      </c>
      <c r="C1072" s="4">
        <v>45536</v>
      </c>
      <c r="D1072" t="s">
        <v>59</v>
      </c>
      <c r="E1072" t="s">
        <v>25</v>
      </c>
      <c r="F1072" t="s">
        <v>61</v>
      </c>
      <c r="G1072" t="s">
        <v>344</v>
      </c>
      <c r="H1072" t="s">
        <v>8</v>
      </c>
      <c r="I1072" t="s">
        <v>1935</v>
      </c>
      <c r="J1072" t="s">
        <v>1938</v>
      </c>
      <c r="K1072" s="8">
        <v>29</v>
      </c>
    </row>
    <row r="1073" spans="1:11">
      <c r="A1073" t="s">
        <v>3011</v>
      </c>
      <c r="B1073" s="15">
        <v>45543</v>
      </c>
      <c r="C1073" s="4">
        <v>45536</v>
      </c>
      <c r="D1073" t="s">
        <v>59</v>
      </c>
      <c r="E1073" t="s">
        <v>25</v>
      </c>
      <c r="F1073" t="s">
        <v>61</v>
      </c>
      <c r="G1073" t="s">
        <v>356</v>
      </c>
      <c r="H1073" t="s">
        <v>8</v>
      </c>
      <c r="I1073" t="s">
        <v>1935</v>
      </c>
      <c r="J1073" t="s">
        <v>1936</v>
      </c>
      <c r="K1073" s="8">
        <v>9</v>
      </c>
    </row>
    <row r="1074" spans="1:11">
      <c r="A1074" t="s">
        <v>3012</v>
      </c>
      <c r="B1074" s="15">
        <v>45555</v>
      </c>
      <c r="C1074" s="4">
        <v>45536</v>
      </c>
      <c r="D1074" t="s">
        <v>59</v>
      </c>
      <c r="E1074" t="s">
        <v>25</v>
      </c>
      <c r="F1074" t="s">
        <v>61</v>
      </c>
      <c r="G1074" t="s">
        <v>368</v>
      </c>
      <c r="H1074" t="s">
        <v>14</v>
      </c>
      <c r="I1074" t="s">
        <v>1935</v>
      </c>
      <c r="J1074" t="s">
        <v>1936</v>
      </c>
      <c r="K1074" s="8">
        <v>18</v>
      </c>
    </row>
    <row r="1075" spans="1:11">
      <c r="A1075" t="s">
        <v>3013</v>
      </c>
      <c r="B1075" s="15">
        <v>45546</v>
      </c>
      <c r="C1075" s="4">
        <v>45536</v>
      </c>
      <c r="D1075" t="s">
        <v>59</v>
      </c>
      <c r="E1075" t="s">
        <v>25</v>
      </c>
      <c r="F1075" t="s">
        <v>61</v>
      </c>
      <c r="G1075" t="s">
        <v>374</v>
      </c>
      <c r="H1075" t="s">
        <v>8</v>
      </c>
      <c r="I1075" t="s">
        <v>1935</v>
      </c>
      <c r="J1075" t="s">
        <v>1936</v>
      </c>
      <c r="K1075" s="8">
        <v>15</v>
      </c>
    </row>
    <row r="1076" spans="1:11">
      <c r="A1076" t="s">
        <v>3014</v>
      </c>
      <c r="B1076" s="15">
        <v>45560</v>
      </c>
      <c r="C1076" s="4">
        <v>45536</v>
      </c>
      <c r="D1076" t="s">
        <v>62</v>
      </c>
      <c r="E1076" t="s">
        <v>25</v>
      </c>
      <c r="F1076" t="s">
        <v>64</v>
      </c>
      <c r="G1076" t="s">
        <v>328</v>
      </c>
      <c r="H1076" t="s">
        <v>8</v>
      </c>
      <c r="I1076" t="s">
        <v>1935</v>
      </c>
      <c r="J1076" t="s">
        <v>1938</v>
      </c>
      <c r="K1076" s="8">
        <v>24</v>
      </c>
    </row>
    <row r="1077" spans="1:11">
      <c r="A1077" t="s">
        <v>3015</v>
      </c>
      <c r="B1077" s="15">
        <v>45554</v>
      </c>
      <c r="C1077" s="4">
        <v>45536</v>
      </c>
      <c r="D1077" t="s">
        <v>62</v>
      </c>
      <c r="E1077" t="s">
        <v>25</v>
      </c>
      <c r="F1077" t="s">
        <v>64</v>
      </c>
      <c r="G1077" t="s">
        <v>352</v>
      </c>
      <c r="H1077" t="s">
        <v>14</v>
      </c>
      <c r="I1077" t="s">
        <v>1935</v>
      </c>
      <c r="J1077" t="s">
        <v>1936</v>
      </c>
      <c r="K1077" s="8">
        <v>26</v>
      </c>
    </row>
    <row r="1078" spans="1:11">
      <c r="A1078" t="s">
        <v>3016</v>
      </c>
      <c r="B1078" s="15">
        <v>45552</v>
      </c>
      <c r="C1078" s="4">
        <v>45536</v>
      </c>
      <c r="D1078" t="s">
        <v>62</v>
      </c>
      <c r="E1078" t="s">
        <v>25</v>
      </c>
      <c r="F1078" t="s">
        <v>64</v>
      </c>
      <c r="G1078" t="s">
        <v>322</v>
      </c>
      <c r="H1078" t="s">
        <v>11</v>
      </c>
      <c r="I1078" t="s">
        <v>1935</v>
      </c>
      <c r="J1078" t="s">
        <v>1936</v>
      </c>
      <c r="K1078" s="8">
        <v>25</v>
      </c>
    </row>
    <row r="1079" spans="1:11">
      <c r="A1079" t="s">
        <v>3017</v>
      </c>
      <c r="B1079" s="15">
        <v>45553</v>
      </c>
      <c r="C1079" s="4">
        <v>45536</v>
      </c>
      <c r="D1079" t="s">
        <v>62</v>
      </c>
      <c r="E1079" t="s">
        <v>25</v>
      </c>
      <c r="F1079" t="s">
        <v>64</v>
      </c>
      <c r="G1079" t="s">
        <v>364</v>
      </c>
      <c r="H1079" t="s">
        <v>14</v>
      </c>
      <c r="I1079" t="s">
        <v>1935</v>
      </c>
      <c r="J1079" t="s">
        <v>1936</v>
      </c>
      <c r="K1079" s="8">
        <v>13</v>
      </c>
    </row>
    <row r="1080" spans="1:11">
      <c r="A1080" t="s">
        <v>3018</v>
      </c>
      <c r="B1080" s="15">
        <v>45556</v>
      </c>
      <c r="C1080" s="4">
        <v>45536</v>
      </c>
      <c r="D1080" t="s">
        <v>62</v>
      </c>
      <c r="E1080" t="s">
        <v>25</v>
      </c>
      <c r="F1080" t="s">
        <v>64</v>
      </c>
      <c r="G1080" t="s">
        <v>358</v>
      </c>
      <c r="H1080" t="s">
        <v>8</v>
      </c>
      <c r="I1080" t="s">
        <v>1935</v>
      </c>
      <c r="J1080" t="s">
        <v>1936</v>
      </c>
      <c r="K1080" s="8">
        <v>33</v>
      </c>
    </row>
    <row r="1081" spans="1:11">
      <c r="A1081" t="s">
        <v>3019</v>
      </c>
      <c r="B1081" s="15">
        <v>45563</v>
      </c>
      <c r="C1081" s="4">
        <v>45536</v>
      </c>
      <c r="D1081" t="s">
        <v>62</v>
      </c>
      <c r="E1081" t="s">
        <v>25</v>
      </c>
      <c r="F1081" t="s">
        <v>64</v>
      </c>
      <c r="G1081" t="s">
        <v>316</v>
      </c>
      <c r="H1081" t="s">
        <v>8</v>
      </c>
      <c r="I1081" t="s">
        <v>1935</v>
      </c>
      <c r="J1081" t="s">
        <v>1936</v>
      </c>
      <c r="K1081" s="8">
        <v>14</v>
      </c>
    </row>
    <row r="1082" spans="1:11">
      <c r="A1082" t="s">
        <v>3020</v>
      </c>
      <c r="B1082" s="15">
        <v>45552</v>
      </c>
      <c r="C1082" s="4">
        <v>45536</v>
      </c>
      <c r="D1082" t="s">
        <v>62</v>
      </c>
      <c r="E1082" t="s">
        <v>25</v>
      </c>
      <c r="F1082" t="s">
        <v>64</v>
      </c>
      <c r="G1082" t="s">
        <v>370</v>
      </c>
      <c r="H1082" t="s">
        <v>5</v>
      </c>
      <c r="I1082" t="s">
        <v>1935</v>
      </c>
      <c r="J1082" t="s">
        <v>1936</v>
      </c>
      <c r="K1082" s="8">
        <v>25</v>
      </c>
    </row>
    <row r="1083" spans="1:11">
      <c r="A1083" t="s">
        <v>3021</v>
      </c>
      <c r="B1083" s="15">
        <v>45540</v>
      </c>
      <c r="C1083" s="4">
        <v>45536</v>
      </c>
      <c r="D1083" t="s">
        <v>62</v>
      </c>
      <c r="E1083" t="s">
        <v>25</v>
      </c>
      <c r="F1083" t="s">
        <v>64</v>
      </c>
      <c r="G1083" t="s">
        <v>358</v>
      </c>
      <c r="H1083" t="s">
        <v>8</v>
      </c>
      <c r="I1083" t="s">
        <v>1935</v>
      </c>
      <c r="J1083" t="s">
        <v>1936</v>
      </c>
      <c r="K1083" s="8">
        <v>9</v>
      </c>
    </row>
    <row r="1084" spans="1:11">
      <c r="A1084" t="s">
        <v>3022</v>
      </c>
      <c r="B1084" s="15">
        <v>45560</v>
      </c>
      <c r="C1084" s="4">
        <v>45536</v>
      </c>
      <c r="D1084" t="s">
        <v>62</v>
      </c>
      <c r="E1084" t="s">
        <v>25</v>
      </c>
      <c r="F1084" t="s">
        <v>64</v>
      </c>
      <c r="G1084" t="s">
        <v>322</v>
      </c>
      <c r="H1084" t="s">
        <v>8</v>
      </c>
      <c r="I1084" t="s">
        <v>1935</v>
      </c>
      <c r="J1084" t="s">
        <v>1936</v>
      </c>
      <c r="K1084" s="8">
        <v>32</v>
      </c>
    </row>
    <row r="1085" spans="1:11">
      <c r="A1085" t="s">
        <v>3023</v>
      </c>
      <c r="B1085" s="15">
        <v>45536</v>
      </c>
      <c r="C1085" s="4">
        <v>45536</v>
      </c>
      <c r="D1085" t="s">
        <v>62</v>
      </c>
      <c r="E1085" t="s">
        <v>25</v>
      </c>
      <c r="F1085" t="s">
        <v>64</v>
      </c>
      <c r="G1085" t="s">
        <v>316</v>
      </c>
      <c r="H1085" t="s">
        <v>8</v>
      </c>
      <c r="I1085" t="s">
        <v>1935</v>
      </c>
      <c r="J1085" t="s">
        <v>1936</v>
      </c>
      <c r="K1085" s="8">
        <v>28</v>
      </c>
    </row>
    <row r="1086" spans="1:11">
      <c r="A1086" t="s">
        <v>3024</v>
      </c>
      <c r="B1086" s="15">
        <v>45546</v>
      </c>
      <c r="C1086" s="4">
        <v>45536</v>
      </c>
      <c r="D1086" t="s">
        <v>62</v>
      </c>
      <c r="E1086" t="s">
        <v>25</v>
      </c>
      <c r="F1086" t="s">
        <v>64</v>
      </c>
      <c r="G1086" t="s">
        <v>346</v>
      </c>
      <c r="H1086" t="s">
        <v>14</v>
      </c>
      <c r="I1086" t="s">
        <v>1935</v>
      </c>
      <c r="J1086" t="s">
        <v>1936</v>
      </c>
      <c r="K1086" s="8">
        <v>14</v>
      </c>
    </row>
    <row r="1087" spans="1:11">
      <c r="A1087" t="s">
        <v>3025</v>
      </c>
      <c r="B1087" s="15">
        <v>45557</v>
      </c>
      <c r="C1087" s="4">
        <v>45536</v>
      </c>
      <c r="D1087" t="s">
        <v>62</v>
      </c>
      <c r="E1087" t="s">
        <v>25</v>
      </c>
      <c r="F1087" t="s">
        <v>64</v>
      </c>
      <c r="G1087" t="s">
        <v>316</v>
      </c>
      <c r="H1087" t="s">
        <v>8</v>
      </c>
      <c r="I1087" t="s">
        <v>1935</v>
      </c>
      <c r="J1087" t="s">
        <v>1936</v>
      </c>
      <c r="K1087" s="8">
        <v>11</v>
      </c>
    </row>
    <row r="1088" spans="1:11">
      <c r="A1088" t="s">
        <v>3026</v>
      </c>
      <c r="B1088" s="15">
        <v>45562</v>
      </c>
      <c r="C1088" s="4">
        <v>45536</v>
      </c>
      <c r="D1088" t="s">
        <v>65</v>
      </c>
      <c r="E1088" t="s">
        <v>25</v>
      </c>
      <c r="F1088" t="s">
        <v>67</v>
      </c>
      <c r="G1088" t="s">
        <v>372</v>
      </c>
      <c r="H1088" t="s">
        <v>5</v>
      </c>
      <c r="I1088" t="s">
        <v>1935</v>
      </c>
      <c r="J1088" t="s">
        <v>1936</v>
      </c>
      <c r="K1088" s="8">
        <v>23</v>
      </c>
    </row>
    <row r="1089" spans="1:11">
      <c r="A1089" t="s">
        <v>3027</v>
      </c>
      <c r="B1089" s="15">
        <v>45564</v>
      </c>
      <c r="C1089" s="4">
        <v>45536</v>
      </c>
      <c r="D1089" t="s">
        <v>65</v>
      </c>
      <c r="E1089" t="s">
        <v>25</v>
      </c>
      <c r="F1089" t="s">
        <v>67</v>
      </c>
      <c r="G1089" t="s">
        <v>318</v>
      </c>
      <c r="H1089" t="s">
        <v>14</v>
      </c>
      <c r="I1089" t="s">
        <v>1935</v>
      </c>
      <c r="J1089" t="s">
        <v>1936</v>
      </c>
      <c r="K1089" s="8">
        <v>25</v>
      </c>
    </row>
    <row r="1090" spans="1:11">
      <c r="A1090" t="s">
        <v>3028</v>
      </c>
      <c r="B1090" s="15">
        <v>45561</v>
      </c>
      <c r="C1090" s="4">
        <v>45536</v>
      </c>
      <c r="D1090" t="s">
        <v>65</v>
      </c>
      <c r="E1090" t="s">
        <v>25</v>
      </c>
      <c r="F1090" t="s">
        <v>67</v>
      </c>
      <c r="G1090" t="s">
        <v>318</v>
      </c>
      <c r="H1090" t="s">
        <v>14</v>
      </c>
      <c r="I1090" t="s">
        <v>1935</v>
      </c>
      <c r="J1090" t="s">
        <v>1936</v>
      </c>
      <c r="K1090" s="8">
        <v>34</v>
      </c>
    </row>
    <row r="1091" spans="1:11">
      <c r="A1091" t="s">
        <v>3029</v>
      </c>
      <c r="B1091" s="15">
        <v>45560</v>
      </c>
      <c r="C1091" s="4">
        <v>45536</v>
      </c>
      <c r="D1091" t="s">
        <v>65</v>
      </c>
      <c r="E1091" t="s">
        <v>25</v>
      </c>
      <c r="F1091" t="s">
        <v>67</v>
      </c>
      <c r="G1091" t="s">
        <v>354</v>
      </c>
      <c r="H1091" t="s">
        <v>8</v>
      </c>
      <c r="I1091" t="s">
        <v>1935</v>
      </c>
      <c r="J1091" t="s">
        <v>1936</v>
      </c>
      <c r="K1091" s="8">
        <v>19</v>
      </c>
    </row>
    <row r="1092" spans="1:11">
      <c r="A1092" t="s">
        <v>3030</v>
      </c>
      <c r="B1092" s="15">
        <v>45562</v>
      </c>
      <c r="C1092" s="4">
        <v>45536</v>
      </c>
      <c r="D1092" t="s">
        <v>65</v>
      </c>
      <c r="E1092" t="s">
        <v>25</v>
      </c>
      <c r="F1092" t="s">
        <v>67</v>
      </c>
      <c r="G1092" t="s">
        <v>348</v>
      </c>
      <c r="H1092" t="s">
        <v>14</v>
      </c>
      <c r="I1092" t="s">
        <v>1935</v>
      </c>
      <c r="J1092" t="s">
        <v>1936</v>
      </c>
      <c r="K1092" s="8">
        <v>21</v>
      </c>
    </row>
    <row r="1093" spans="1:11">
      <c r="A1093" t="s">
        <v>3031</v>
      </c>
      <c r="B1093" s="15">
        <v>45548</v>
      </c>
      <c r="C1093" s="4">
        <v>45536</v>
      </c>
      <c r="D1093" t="s">
        <v>65</v>
      </c>
      <c r="E1093" t="s">
        <v>25</v>
      </c>
      <c r="F1093" t="s">
        <v>67</v>
      </c>
      <c r="G1093" t="s">
        <v>372</v>
      </c>
      <c r="H1093" t="s">
        <v>5</v>
      </c>
      <c r="I1093" t="s">
        <v>1942</v>
      </c>
      <c r="J1093" t="s">
        <v>1936</v>
      </c>
      <c r="K1093" s="8">
        <v>1</v>
      </c>
    </row>
    <row r="1094" spans="1:11">
      <c r="A1094" t="s">
        <v>3032</v>
      </c>
      <c r="B1094" s="15">
        <v>45553</v>
      </c>
      <c r="C1094" s="4">
        <v>45536</v>
      </c>
      <c r="D1094" t="s">
        <v>65</v>
      </c>
      <c r="E1094" t="s">
        <v>25</v>
      </c>
      <c r="F1094" t="s">
        <v>67</v>
      </c>
      <c r="G1094" t="s">
        <v>354</v>
      </c>
      <c r="H1094" t="s">
        <v>11</v>
      </c>
      <c r="I1094" t="s">
        <v>1935</v>
      </c>
      <c r="J1094" t="s">
        <v>1954</v>
      </c>
      <c r="K1094" s="8">
        <v>27</v>
      </c>
    </row>
    <row r="1095" spans="1:11">
      <c r="A1095" t="s">
        <v>3033</v>
      </c>
      <c r="B1095" s="15">
        <v>45564</v>
      </c>
      <c r="C1095" s="4">
        <v>45536</v>
      </c>
      <c r="D1095" t="s">
        <v>65</v>
      </c>
      <c r="E1095" t="s">
        <v>25</v>
      </c>
      <c r="F1095" t="s">
        <v>67</v>
      </c>
      <c r="G1095" t="s">
        <v>342</v>
      </c>
      <c r="H1095" t="s">
        <v>5</v>
      </c>
      <c r="I1095" t="s">
        <v>1935</v>
      </c>
      <c r="J1095" t="s">
        <v>1936</v>
      </c>
      <c r="K1095" s="8">
        <v>19</v>
      </c>
    </row>
    <row r="1096" spans="1:11">
      <c r="A1096" t="s">
        <v>3034</v>
      </c>
      <c r="B1096" s="15">
        <v>45562</v>
      </c>
      <c r="C1096" s="4">
        <v>45536</v>
      </c>
      <c r="D1096" t="s">
        <v>65</v>
      </c>
      <c r="E1096" t="s">
        <v>25</v>
      </c>
      <c r="F1096" t="s">
        <v>67</v>
      </c>
      <c r="G1096" t="s">
        <v>372</v>
      </c>
      <c r="H1096" t="s">
        <v>14</v>
      </c>
      <c r="I1096" t="s">
        <v>1935</v>
      </c>
      <c r="J1096" t="s">
        <v>1936</v>
      </c>
      <c r="K1096" s="8">
        <v>18</v>
      </c>
    </row>
    <row r="1097" spans="1:11">
      <c r="A1097" t="s">
        <v>3035</v>
      </c>
      <c r="B1097" s="15">
        <v>45553</v>
      </c>
      <c r="C1097" s="4">
        <v>45536</v>
      </c>
      <c r="D1097" t="s">
        <v>65</v>
      </c>
      <c r="E1097" t="s">
        <v>25</v>
      </c>
      <c r="F1097" t="s">
        <v>67</v>
      </c>
      <c r="G1097" t="s">
        <v>354</v>
      </c>
      <c r="H1097" t="s">
        <v>11</v>
      </c>
      <c r="I1097" t="s">
        <v>1935</v>
      </c>
      <c r="J1097" t="s">
        <v>1936</v>
      </c>
      <c r="K1097" s="8">
        <v>33</v>
      </c>
    </row>
    <row r="1098" spans="1:11">
      <c r="A1098" t="s">
        <v>3036</v>
      </c>
      <c r="B1098" s="15">
        <v>45559</v>
      </c>
      <c r="C1098" s="4">
        <v>45536</v>
      </c>
      <c r="D1098" t="s">
        <v>65</v>
      </c>
      <c r="E1098" t="s">
        <v>25</v>
      </c>
      <c r="F1098" t="s">
        <v>67</v>
      </c>
      <c r="G1098" t="s">
        <v>318</v>
      </c>
      <c r="H1098" t="s">
        <v>14</v>
      </c>
      <c r="I1098" t="s">
        <v>1935</v>
      </c>
      <c r="J1098" t="s">
        <v>1938</v>
      </c>
      <c r="K1098" s="8">
        <v>34</v>
      </c>
    </row>
    <row r="1099" spans="1:11">
      <c r="A1099" t="s">
        <v>3037</v>
      </c>
      <c r="B1099" s="15">
        <v>45566</v>
      </c>
      <c r="C1099" s="4">
        <v>45566</v>
      </c>
      <c r="D1099" t="s">
        <v>32</v>
      </c>
      <c r="E1099" t="s">
        <v>19</v>
      </c>
      <c r="F1099" t="s">
        <v>34</v>
      </c>
      <c r="G1099" t="s">
        <v>105</v>
      </c>
      <c r="H1099" t="s">
        <v>11</v>
      </c>
      <c r="I1099" t="s">
        <v>1935</v>
      </c>
      <c r="J1099" t="s">
        <v>1936</v>
      </c>
      <c r="K1099" s="8">
        <v>20</v>
      </c>
    </row>
    <row r="1100" spans="1:11">
      <c r="A1100" t="s">
        <v>3038</v>
      </c>
      <c r="B1100" s="15">
        <v>45577</v>
      </c>
      <c r="C1100" s="4">
        <v>45566</v>
      </c>
      <c r="D1100" t="s">
        <v>32</v>
      </c>
      <c r="E1100" t="s">
        <v>19</v>
      </c>
      <c r="F1100" t="s">
        <v>34</v>
      </c>
      <c r="G1100" t="s">
        <v>99</v>
      </c>
      <c r="H1100" t="s">
        <v>14</v>
      </c>
      <c r="I1100" t="s">
        <v>1942</v>
      </c>
      <c r="J1100" t="s">
        <v>1936</v>
      </c>
      <c r="K1100" s="8">
        <v>7</v>
      </c>
    </row>
    <row r="1101" spans="1:11">
      <c r="A1101" t="s">
        <v>3039</v>
      </c>
      <c r="B1101" s="15">
        <v>45594</v>
      </c>
      <c r="C1101" s="4">
        <v>45566</v>
      </c>
      <c r="D1101" t="s">
        <v>32</v>
      </c>
      <c r="E1101" t="s">
        <v>19</v>
      </c>
      <c r="F1101" t="s">
        <v>34</v>
      </c>
      <c r="G1101" t="s">
        <v>92</v>
      </c>
      <c r="H1101" t="s">
        <v>8</v>
      </c>
      <c r="I1101" t="s">
        <v>1935</v>
      </c>
      <c r="J1101" t="s">
        <v>1936</v>
      </c>
      <c r="K1101" s="8">
        <v>34</v>
      </c>
    </row>
    <row r="1102" spans="1:11">
      <c r="A1102" t="s">
        <v>3040</v>
      </c>
      <c r="B1102" s="15">
        <v>45588</v>
      </c>
      <c r="C1102" s="4">
        <v>45566</v>
      </c>
      <c r="D1102" t="s">
        <v>32</v>
      </c>
      <c r="E1102" t="s">
        <v>19</v>
      </c>
      <c r="F1102" t="s">
        <v>34</v>
      </c>
      <c r="G1102" t="s">
        <v>75</v>
      </c>
      <c r="H1102" t="s">
        <v>8</v>
      </c>
      <c r="I1102" t="s">
        <v>1935</v>
      </c>
      <c r="J1102" t="s">
        <v>1936</v>
      </c>
      <c r="K1102" s="8">
        <v>16</v>
      </c>
    </row>
    <row r="1103" spans="1:11">
      <c r="A1103" t="s">
        <v>3041</v>
      </c>
      <c r="B1103" s="15">
        <v>45573</v>
      </c>
      <c r="C1103" s="4">
        <v>45566</v>
      </c>
      <c r="D1103" t="s">
        <v>32</v>
      </c>
      <c r="E1103" t="s">
        <v>19</v>
      </c>
      <c r="F1103" t="s">
        <v>34</v>
      </c>
      <c r="G1103" t="s">
        <v>85</v>
      </c>
      <c r="H1103" t="s">
        <v>14</v>
      </c>
      <c r="I1103" t="s">
        <v>1942</v>
      </c>
      <c r="J1103" t="s">
        <v>1936</v>
      </c>
      <c r="K1103" s="8">
        <v>4</v>
      </c>
    </row>
    <row r="1104" spans="1:11">
      <c r="A1104" t="s">
        <v>3042</v>
      </c>
      <c r="B1104" s="15">
        <v>45594</v>
      </c>
      <c r="C1104" s="4">
        <v>45566</v>
      </c>
      <c r="D1104" t="s">
        <v>32</v>
      </c>
      <c r="E1104" t="s">
        <v>19</v>
      </c>
      <c r="F1104" t="s">
        <v>34</v>
      </c>
      <c r="G1104" t="s">
        <v>130</v>
      </c>
      <c r="H1104" t="s">
        <v>14</v>
      </c>
      <c r="I1104" t="s">
        <v>1935</v>
      </c>
      <c r="J1104" t="s">
        <v>1938</v>
      </c>
      <c r="K1104" s="8">
        <v>27</v>
      </c>
    </row>
    <row r="1105" spans="1:11">
      <c r="A1105" t="s">
        <v>3043</v>
      </c>
      <c r="B1105" s="15">
        <v>45568</v>
      </c>
      <c r="C1105" s="4">
        <v>45566</v>
      </c>
      <c r="D1105" t="s">
        <v>32</v>
      </c>
      <c r="E1105" t="s">
        <v>19</v>
      </c>
      <c r="F1105" t="s">
        <v>34</v>
      </c>
      <c r="G1105" t="s">
        <v>92</v>
      </c>
      <c r="H1105" t="s">
        <v>8</v>
      </c>
      <c r="I1105" t="s">
        <v>1935</v>
      </c>
      <c r="J1105" t="s">
        <v>1936</v>
      </c>
      <c r="K1105" s="8">
        <v>25</v>
      </c>
    </row>
    <row r="1106" spans="1:11">
      <c r="A1106" t="s">
        <v>3044</v>
      </c>
      <c r="B1106" s="15">
        <v>45580</v>
      </c>
      <c r="C1106" s="4">
        <v>45566</v>
      </c>
      <c r="D1106" t="s">
        <v>32</v>
      </c>
      <c r="E1106" t="s">
        <v>19</v>
      </c>
      <c r="F1106" t="s">
        <v>34</v>
      </c>
      <c r="G1106" t="s">
        <v>92</v>
      </c>
      <c r="H1106" t="s">
        <v>8</v>
      </c>
      <c r="I1106" t="s">
        <v>1935</v>
      </c>
      <c r="J1106" t="s">
        <v>1936</v>
      </c>
      <c r="K1106" s="8">
        <v>28</v>
      </c>
    </row>
    <row r="1107" spans="1:11">
      <c r="A1107" t="s">
        <v>3045</v>
      </c>
      <c r="B1107" s="15">
        <v>45589</v>
      </c>
      <c r="C1107" s="4">
        <v>45566</v>
      </c>
      <c r="D1107" t="s">
        <v>32</v>
      </c>
      <c r="E1107" t="s">
        <v>19</v>
      </c>
      <c r="F1107" t="s">
        <v>34</v>
      </c>
      <c r="G1107" t="s">
        <v>75</v>
      </c>
      <c r="H1107" t="s">
        <v>11</v>
      </c>
      <c r="I1107" t="s">
        <v>1942</v>
      </c>
      <c r="J1107" t="s">
        <v>1936</v>
      </c>
      <c r="K1107" s="8">
        <v>7</v>
      </c>
    </row>
    <row r="1108" spans="1:11">
      <c r="A1108" t="s">
        <v>3046</v>
      </c>
      <c r="B1108" s="15">
        <v>45582</v>
      </c>
      <c r="C1108" s="4">
        <v>45566</v>
      </c>
      <c r="D1108" t="s">
        <v>32</v>
      </c>
      <c r="E1108" t="s">
        <v>19</v>
      </c>
      <c r="F1108" t="s">
        <v>34</v>
      </c>
      <c r="G1108" t="s">
        <v>118</v>
      </c>
      <c r="H1108" t="s">
        <v>8</v>
      </c>
      <c r="I1108" t="s">
        <v>1935</v>
      </c>
      <c r="J1108" t="s">
        <v>1936</v>
      </c>
      <c r="K1108" s="8">
        <v>8</v>
      </c>
    </row>
    <row r="1109" spans="1:11">
      <c r="A1109" t="s">
        <v>3047</v>
      </c>
      <c r="B1109" s="15">
        <v>45591</v>
      </c>
      <c r="C1109" s="4">
        <v>45566</v>
      </c>
      <c r="D1109" t="s">
        <v>35</v>
      </c>
      <c r="E1109" t="s">
        <v>19</v>
      </c>
      <c r="F1109" t="s">
        <v>37</v>
      </c>
      <c r="G1109" t="s">
        <v>101</v>
      </c>
      <c r="H1109" t="s">
        <v>11</v>
      </c>
      <c r="I1109" t="s">
        <v>1935</v>
      </c>
      <c r="J1109" t="s">
        <v>1936</v>
      </c>
      <c r="K1109" s="8">
        <v>34</v>
      </c>
    </row>
    <row r="1110" spans="1:11">
      <c r="A1110" t="s">
        <v>3048</v>
      </c>
      <c r="B1110" s="15">
        <v>45578</v>
      </c>
      <c r="C1110" s="4">
        <v>45566</v>
      </c>
      <c r="D1110" t="s">
        <v>35</v>
      </c>
      <c r="E1110" t="s">
        <v>19</v>
      </c>
      <c r="F1110" t="s">
        <v>37</v>
      </c>
      <c r="G1110" t="s">
        <v>101</v>
      </c>
      <c r="H1110" t="s">
        <v>5</v>
      </c>
      <c r="I1110" t="s">
        <v>1935</v>
      </c>
      <c r="J1110" t="s">
        <v>1936</v>
      </c>
      <c r="K1110" s="8">
        <v>9</v>
      </c>
    </row>
    <row r="1111" spans="1:11">
      <c r="A1111" t="s">
        <v>3049</v>
      </c>
      <c r="B1111" s="15">
        <v>45573</v>
      </c>
      <c r="C1111" s="4">
        <v>45566</v>
      </c>
      <c r="D1111" t="s">
        <v>35</v>
      </c>
      <c r="E1111" t="s">
        <v>19</v>
      </c>
      <c r="F1111" t="s">
        <v>37</v>
      </c>
      <c r="G1111" t="s">
        <v>88</v>
      </c>
      <c r="H1111" t="s">
        <v>8</v>
      </c>
      <c r="I1111" t="s">
        <v>1935</v>
      </c>
      <c r="J1111" t="s">
        <v>1954</v>
      </c>
      <c r="K1111" s="8">
        <v>16</v>
      </c>
    </row>
    <row r="1112" spans="1:11">
      <c r="A1112" t="s">
        <v>3050</v>
      </c>
      <c r="B1112" s="15">
        <v>45596</v>
      </c>
      <c r="C1112" s="4">
        <v>45566</v>
      </c>
      <c r="D1112" t="s">
        <v>35</v>
      </c>
      <c r="E1112" t="s">
        <v>19</v>
      </c>
      <c r="F1112" t="s">
        <v>37</v>
      </c>
      <c r="G1112" t="s">
        <v>107</v>
      </c>
      <c r="H1112" t="s">
        <v>8</v>
      </c>
      <c r="I1112" t="s">
        <v>1935</v>
      </c>
      <c r="J1112" t="s">
        <v>1938</v>
      </c>
      <c r="K1112" s="8">
        <v>30</v>
      </c>
    </row>
    <row r="1113" spans="1:11">
      <c r="A1113" t="s">
        <v>3051</v>
      </c>
      <c r="B1113" s="15">
        <v>45587</v>
      </c>
      <c r="C1113" s="4">
        <v>45566</v>
      </c>
      <c r="D1113" t="s">
        <v>35</v>
      </c>
      <c r="E1113" t="s">
        <v>19</v>
      </c>
      <c r="F1113" t="s">
        <v>37</v>
      </c>
      <c r="G1113" t="s">
        <v>101</v>
      </c>
      <c r="H1113" t="s">
        <v>8</v>
      </c>
      <c r="I1113" t="s">
        <v>1935</v>
      </c>
      <c r="J1113" t="s">
        <v>1936</v>
      </c>
      <c r="K1113" s="8">
        <v>32</v>
      </c>
    </row>
    <row r="1114" spans="1:11">
      <c r="A1114" t="s">
        <v>3052</v>
      </c>
      <c r="B1114" s="15">
        <v>45571</v>
      </c>
      <c r="C1114" s="4">
        <v>45566</v>
      </c>
      <c r="D1114" t="s">
        <v>35</v>
      </c>
      <c r="E1114" t="s">
        <v>19</v>
      </c>
      <c r="F1114" t="s">
        <v>37</v>
      </c>
      <c r="G1114" t="s">
        <v>107</v>
      </c>
      <c r="H1114" t="s">
        <v>5</v>
      </c>
      <c r="I1114" t="s">
        <v>1935</v>
      </c>
      <c r="J1114" t="s">
        <v>1954</v>
      </c>
      <c r="K1114" s="8">
        <v>27</v>
      </c>
    </row>
    <row r="1115" spans="1:11">
      <c r="A1115" t="s">
        <v>3053</v>
      </c>
      <c r="B1115" s="15">
        <v>45567</v>
      </c>
      <c r="C1115" s="4">
        <v>45566</v>
      </c>
      <c r="D1115" t="s">
        <v>35</v>
      </c>
      <c r="E1115" t="s">
        <v>19</v>
      </c>
      <c r="F1115" t="s">
        <v>37</v>
      </c>
      <c r="G1115" t="s">
        <v>78</v>
      </c>
      <c r="H1115" t="s">
        <v>8</v>
      </c>
      <c r="I1115" t="s">
        <v>1935</v>
      </c>
      <c r="J1115" t="s">
        <v>1938</v>
      </c>
      <c r="K1115" s="8">
        <v>19</v>
      </c>
    </row>
    <row r="1116" spans="1:11">
      <c r="A1116" t="s">
        <v>3054</v>
      </c>
      <c r="B1116" s="15">
        <v>45592</v>
      </c>
      <c r="C1116" s="4">
        <v>45566</v>
      </c>
      <c r="D1116" t="s">
        <v>35</v>
      </c>
      <c r="E1116" t="s">
        <v>19</v>
      </c>
      <c r="F1116" t="s">
        <v>37</v>
      </c>
      <c r="G1116" t="s">
        <v>101</v>
      </c>
      <c r="H1116" t="s">
        <v>8</v>
      </c>
      <c r="I1116" t="s">
        <v>1935</v>
      </c>
      <c r="J1116" t="s">
        <v>1936</v>
      </c>
      <c r="K1116" s="8">
        <v>34</v>
      </c>
    </row>
    <row r="1117" spans="1:11">
      <c r="A1117" t="s">
        <v>3055</v>
      </c>
      <c r="B1117" s="15">
        <v>45567</v>
      </c>
      <c r="C1117" s="4">
        <v>45566</v>
      </c>
      <c r="D1117" t="s">
        <v>35</v>
      </c>
      <c r="E1117" t="s">
        <v>19</v>
      </c>
      <c r="F1117" t="s">
        <v>37</v>
      </c>
      <c r="G1117" t="s">
        <v>101</v>
      </c>
      <c r="H1117" t="s">
        <v>8</v>
      </c>
      <c r="I1117" t="s">
        <v>1935</v>
      </c>
      <c r="J1117" t="s">
        <v>1936</v>
      </c>
      <c r="K1117" s="8">
        <v>11</v>
      </c>
    </row>
    <row r="1118" spans="1:11">
      <c r="A1118" t="s">
        <v>3056</v>
      </c>
      <c r="B1118" s="15">
        <v>45578</v>
      </c>
      <c r="C1118" s="4">
        <v>45566</v>
      </c>
      <c r="D1118" t="s">
        <v>35</v>
      </c>
      <c r="E1118" t="s">
        <v>19</v>
      </c>
      <c r="F1118" t="s">
        <v>37</v>
      </c>
      <c r="G1118" t="s">
        <v>88</v>
      </c>
      <c r="H1118" t="s">
        <v>8</v>
      </c>
      <c r="I1118" t="s">
        <v>1935</v>
      </c>
      <c r="J1118" t="s">
        <v>1936</v>
      </c>
      <c r="K1118" s="8">
        <v>35</v>
      </c>
    </row>
    <row r="1119" spans="1:11">
      <c r="A1119" t="s">
        <v>3057</v>
      </c>
      <c r="B1119" s="15">
        <v>45591</v>
      </c>
      <c r="C1119" s="4">
        <v>45566</v>
      </c>
      <c r="D1119" t="s">
        <v>35</v>
      </c>
      <c r="E1119" t="s">
        <v>19</v>
      </c>
      <c r="F1119" t="s">
        <v>37</v>
      </c>
      <c r="G1119" t="s">
        <v>101</v>
      </c>
      <c r="H1119" t="s">
        <v>5</v>
      </c>
      <c r="I1119" t="s">
        <v>1935</v>
      </c>
      <c r="J1119" t="s">
        <v>1936</v>
      </c>
      <c r="K1119" s="8">
        <v>20</v>
      </c>
    </row>
    <row r="1120" spans="1:11">
      <c r="A1120" t="s">
        <v>3058</v>
      </c>
      <c r="B1120" s="15">
        <v>45573</v>
      </c>
      <c r="C1120" s="4">
        <v>45566</v>
      </c>
      <c r="D1120" t="s">
        <v>35</v>
      </c>
      <c r="E1120" t="s">
        <v>19</v>
      </c>
      <c r="F1120" t="s">
        <v>37</v>
      </c>
      <c r="G1120" t="s">
        <v>156</v>
      </c>
      <c r="H1120" t="s">
        <v>11</v>
      </c>
      <c r="I1120" t="s">
        <v>1935</v>
      </c>
      <c r="J1120" t="s">
        <v>1936</v>
      </c>
      <c r="K1120" s="8">
        <v>25</v>
      </c>
    </row>
    <row r="1121" spans="1:11">
      <c r="A1121" t="s">
        <v>3059</v>
      </c>
      <c r="B1121" s="15">
        <v>45570</v>
      </c>
      <c r="C1121" s="4">
        <v>45566</v>
      </c>
      <c r="D1121" t="s">
        <v>38</v>
      </c>
      <c r="E1121" t="s">
        <v>19</v>
      </c>
      <c r="F1121" t="s">
        <v>40</v>
      </c>
      <c r="G1121" t="s">
        <v>134</v>
      </c>
      <c r="H1121" t="s">
        <v>14</v>
      </c>
      <c r="I1121" t="s">
        <v>1935</v>
      </c>
      <c r="J1121" t="s">
        <v>1936</v>
      </c>
      <c r="K1121" s="8">
        <v>14</v>
      </c>
    </row>
    <row r="1122" spans="1:11">
      <c r="A1122" t="s">
        <v>3060</v>
      </c>
      <c r="B1122" s="15">
        <v>45567</v>
      </c>
      <c r="C1122" s="4">
        <v>45566</v>
      </c>
      <c r="D1122" t="s">
        <v>38</v>
      </c>
      <c r="E1122" t="s">
        <v>19</v>
      </c>
      <c r="F1122" t="s">
        <v>40</v>
      </c>
      <c r="G1122" t="s">
        <v>96</v>
      </c>
      <c r="H1122" t="s">
        <v>11</v>
      </c>
      <c r="I1122" t="s">
        <v>1935</v>
      </c>
      <c r="J1122" t="s">
        <v>1936</v>
      </c>
      <c r="K1122" s="8">
        <v>16</v>
      </c>
    </row>
    <row r="1123" spans="1:11">
      <c r="A1123" t="s">
        <v>3061</v>
      </c>
      <c r="B1123" s="15">
        <v>45583</v>
      </c>
      <c r="C1123" s="4">
        <v>45566</v>
      </c>
      <c r="D1123" t="s">
        <v>38</v>
      </c>
      <c r="E1123" t="s">
        <v>19</v>
      </c>
      <c r="F1123" t="s">
        <v>40</v>
      </c>
      <c r="G1123" t="s">
        <v>128</v>
      </c>
      <c r="H1123" t="s">
        <v>11</v>
      </c>
      <c r="I1123" t="s">
        <v>1935</v>
      </c>
      <c r="J1123" t="s">
        <v>1938</v>
      </c>
      <c r="K1123" s="8">
        <v>27</v>
      </c>
    </row>
    <row r="1124" spans="1:11">
      <c r="A1124" t="s">
        <v>3062</v>
      </c>
      <c r="B1124" s="15">
        <v>45578</v>
      </c>
      <c r="C1124" s="4">
        <v>45566</v>
      </c>
      <c r="D1124" t="s">
        <v>38</v>
      </c>
      <c r="E1124" t="s">
        <v>19</v>
      </c>
      <c r="F1124" t="s">
        <v>40</v>
      </c>
      <c r="G1124" t="s">
        <v>146</v>
      </c>
      <c r="H1124" t="s">
        <v>8</v>
      </c>
      <c r="I1124" t="s">
        <v>1935</v>
      </c>
      <c r="J1124" t="s">
        <v>1936</v>
      </c>
      <c r="K1124" s="8">
        <v>18</v>
      </c>
    </row>
    <row r="1125" spans="1:11">
      <c r="A1125" t="s">
        <v>3063</v>
      </c>
      <c r="B1125" s="15">
        <v>45575</v>
      </c>
      <c r="C1125" s="4">
        <v>45566</v>
      </c>
      <c r="D1125" t="s">
        <v>38</v>
      </c>
      <c r="E1125" t="s">
        <v>19</v>
      </c>
      <c r="F1125" t="s">
        <v>40</v>
      </c>
      <c r="G1125" t="s">
        <v>103</v>
      </c>
      <c r="H1125" t="s">
        <v>5</v>
      </c>
      <c r="I1125" t="s">
        <v>1935</v>
      </c>
      <c r="J1125" t="s">
        <v>1936</v>
      </c>
      <c r="K1125" s="8">
        <v>22</v>
      </c>
    </row>
    <row r="1126" spans="1:11">
      <c r="A1126" t="s">
        <v>3064</v>
      </c>
      <c r="B1126" s="15">
        <v>45594</v>
      </c>
      <c r="C1126" s="4">
        <v>45566</v>
      </c>
      <c r="D1126" t="s">
        <v>38</v>
      </c>
      <c r="E1126" t="s">
        <v>19</v>
      </c>
      <c r="F1126" t="s">
        <v>40</v>
      </c>
      <c r="G1126" t="s">
        <v>82</v>
      </c>
      <c r="H1126" t="s">
        <v>11</v>
      </c>
      <c r="I1126" t="s">
        <v>1935</v>
      </c>
      <c r="J1126" t="s">
        <v>1936</v>
      </c>
      <c r="K1126" s="8">
        <v>27</v>
      </c>
    </row>
    <row r="1127" spans="1:11">
      <c r="A1127" t="s">
        <v>3065</v>
      </c>
      <c r="B1127" s="15">
        <v>45568</v>
      </c>
      <c r="C1127" s="4">
        <v>45566</v>
      </c>
      <c r="D1127" t="s">
        <v>38</v>
      </c>
      <c r="E1127" t="s">
        <v>19</v>
      </c>
      <c r="F1127" t="s">
        <v>40</v>
      </c>
      <c r="G1127" t="s">
        <v>109</v>
      </c>
      <c r="H1127" t="s">
        <v>5</v>
      </c>
      <c r="I1127" t="s">
        <v>1935</v>
      </c>
      <c r="J1127" t="s">
        <v>1936</v>
      </c>
      <c r="K1127" s="8">
        <v>14</v>
      </c>
    </row>
    <row r="1128" spans="1:11">
      <c r="A1128" t="s">
        <v>3066</v>
      </c>
      <c r="B1128" s="15">
        <v>45585</v>
      </c>
      <c r="C1128" s="4">
        <v>45566</v>
      </c>
      <c r="D1128" t="s">
        <v>38</v>
      </c>
      <c r="E1128" t="s">
        <v>19</v>
      </c>
      <c r="F1128" t="s">
        <v>40</v>
      </c>
      <c r="G1128" t="s">
        <v>140</v>
      </c>
      <c r="H1128" t="s">
        <v>8</v>
      </c>
      <c r="I1128" t="s">
        <v>1935</v>
      </c>
      <c r="J1128" t="s">
        <v>1938</v>
      </c>
      <c r="K1128" s="8">
        <v>13</v>
      </c>
    </row>
    <row r="1129" spans="1:11">
      <c r="A1129" t="s">
        <v>3067</v>
      </c>
      <c r="B1129" s="15">
        <v>45575</v>
      </c>
      <c r="C1129" s="4">
        <v>45566</v>
      </c>
      <c r="D1129" t="s">
        <v>38</v>
      </c>
      <c r="E1129" t="s">
        <v>19</v>
      </c>
      <c r="F1129" t="s">
        <v>40</v>
      </c>
      <c r="G1129" t="s">
        <v>96</v>
      </c>
      <c r="H1129" t="s">
        <v>11</v>
      </c>
      <c r="I1129" t="s">
        <v>1935</v>
      </c>
      <c r="J1129" t="s">
        <v>1936</v>
      </c>
      <c r="K1129" s="8">
        <v>10</v>
      </c>
    </row>
    <row r="1130" spans="1:11">
      <c r="A1130" t="s">
        <v>3068</v>
      </c>
      <c r="B1130" s="15">
        <v>45589</v>
      </c>
      <c r="C1130" s="4">
        <v>45566</v>
      </c>
      <c r="D1130" t="s">
        <v>38</v>
      </c>
      <c r="E1130" t="s">
        <v>19</v>
      </c>
      <c r="F1130" t="s">
        <v>40</v>
      </c>
      <c r="G1130" t="s">
        <v>82</v>
      </c>
      <c r="H1130" t="s">
        <v>5</v>
      </c>
      <c r="I1130" t="s">
        <v>1935</v>
      </c>
      <c r="J1130" t="s">
        <v>1936</v>
      </c>
      <c r="K1130" s="8">
        <v>11</v>
      </c>
    </row>
    <row r="1131" spans="1:11">
      <c r="A1131" t="s">
        <v>3069</v>
      </c>
      <c r="B1131" s="15">
        <v>45572</v>
      </c>
      <c r="C1131" s="4">
        <v>45566</v>
      </c>
      <c r="D1131" t="s">
        <v>38</v>
      </c>
      <c r="E1131" t="s">
        <v>19</v>
      </c>
      <c r="F1131" t="s">
        <v>40</v>
      </c>
      <c r="G1131" t="s">
        <v>164</v>
      </c>
      <c r="H1131" t="s">
        <v>5</v>
      </c>
      <c r="I1131" t="s">
        <v>1935</v>
      </c>
      <c r="J1131" t="s">
        <v>1936</v>
      </c>
      <c r="K1131" s="8">
        <v>32</v>
      </c>
    </row>
    <row r="1132" spans="1:11">
      <c r="A1132" t="s">
        <v>3070</v>
      </c>
      <c r="B1132" s="15">
        <v>45583</v>
      </c>
      <c r="C1132" s="4">
        <v>45566</v>
      </c>
      <c r="D1132" t="s">
        <v>38</v>
      </c>
      <c r="E1132" t="s">
        <v>19</v>
      </c>
      <c r="F1132" t="s">
        <v>40</v>
      </c>
      <c r="G1132" t="s">
        <v>96</v>
      </c>
      <c r="H1132" t="s">
        <v>11</v>
      </c>
      <c r="I1132" t="s">
        <v>1935</v>
      </c>
      <c r="J1132" t="s">
        <v>1936</v>
      </c>
      <c r="K1132" s="8">
        <v>27</v>
      </c>
    </row>
    <row r="1133" spans="1:11">
      <c r="A1133" t="s">
        <v>3071</v>
      </c>
      <c r="B1133" s="15">
        <v>45596</v>
      </c>
      <c r="C1133" s="4">
        <v>45566</v>
      </c>
      <c r="D1133" t="s">
        <v>41</v>
      </c>
      <c r="E1133" t="s">
        <v>21</v>
      </c>
      <c r="F1133" t="s">
        <v>43</v>
      </c>
      <c r="G1133" t="s">
        <v>208</v>
      </c>
      <c r="H1133" t="s">
        <v>11</v>
      </c>
      <c r="I1133" t="s">
        <v>1935</v>
      </c>
      <c r="J1133" t="s">
        <v>1936</v>
      </c>
      <c r="K1133" s="8">
        <v>22</v>
      </c>
    </row>
    <row r="1134" spans="1:11">
      <c r="A1134" t="s">
        <v>3072</v>
      </c>
      <c r="B1134" s="15">
        <v>45579</v>
      </c>
      <c r="C1134" s="4">
        <v>45566</v>
      </c>
      <c r="D1134" t="s">
        <v>41</v>
      </c>
      <c r="E1134" t="s">
        <v>21</v>
      </c>
      <c r="F1134" t="s">
        <v>43</v>
      </c>
      <c r="G1134" t="s">
        <v>208</v>
      </c>
      <c r="H1134" t="s">
        <v>11</v>
      </c>
      <c r="I1134" t="s">
        <v>1935</v>
      </c>
      <c r="J1134" t="s">
        <v>1936</v>
      </c>
      <c r="K1134" s="8">
        <v>26</v>
      </c>
    </row>
    <row r="1135" spans="1:11">
      <c r="A1135" t="s">
        <v>3073</v>
      </c>
      <c r="B1135" s="15">
        <v>45581</v>
      </c>
      <c r="C1135" s="4">
        <v>45566</v>
      </c>
      <c r="D1135" t="s">
        <v>41</v>
      </c>
      <c r="E1135" t="s">
        <v>21</v>
      </c>
      <c r="F1135" t="s">
        <v>43</v>
      </c>
      <c r="G1135" t="s">
        <v>214</v>
      </c>
      <c r="H1135" t="s">
        <v>5</v>
      </c>
      <c r="I1135" t="s">
        <v>1935</v>
      </c>
      <c r="J1135" t="s">
        <v>1936</v>
      </c>
      <c r="K1135" s="8">
        <v>21</v>
      </c>
    </row>
    <row r="1136" spans="1:11">
      <c r="A1136" t="s">
        <v>3074</v>
      </c>
      <c r="B1136" s="15">
        <v>45581</v>
      </c>
      <c r="C1136" s="4">
        <v>45566</v>
      </c>
      <c r="D1136" t="s">
        <v>41</v>
      </c>
      <c r="E1136" t="s">
        <v>21</v>
      </c>
      <c r="F1136" t="s">
        <v>43</v>
      </c>
      <c r="G1136" t="s">
        <v>190</v>
      </c>
      <c r="H1136" t="s">
        <v>8</v>
      </c>
      <c r="I1136" t="s">
        <v>1935</v>
      </c>
      <c r="J1136" t="s">
        <v>1938</v>
      </c>
      <c r="K1136" s="8">
        <v>9</v>
      </c>
    </row>
    <row r="1137" spans="1:11">
      <c r="A1137" t="s">
        <v>3075</v>
      </c>
      <c r="B1137" s="15">
        <v>45575</v>
      </c>
      <c r="C1137" s="4">
        <v>45566</v>
      </c>
      <c r="D1137" t="s">
        <v>41</v>
      </c>
      <c r="E1137" t="s">
        <v>21</v>
      </c>
      <c r="F1137" t="s">
        <v>43</v>
      </c>
      <c r="G1137" t="s">
        <v>220</v>
      </c>
      <c r="H1137" t="s">
        <v>8</v>
      </c>
      <c r="I1137" t="s">
        <v>1935</v>
      </c>
      <c r="J1137" t="s">
        <v>1936</v>
      </c>
      <c r="K1137" s="8">
        <v>25</v>
      </c>
    </row>
    <row r="1138" spans="1:11">
      <c r="A1138" t="s">
        <v>3076</v>
      </c>
      <c r="B1138" s="15">
        <v>45581</v>
      </c>
      <c r="C1138" s="4">
        <v>45566</v>
      </c>
      <c r="D1138" t="s">
        <v>41</v>
      </c>
      <c r="E1138" t="s">
        <v>21</v>
      </c>
      <c r="F1138" t="s">
        <v>43</v>
      </c>
      <c r="G1138" t="s">
        <v>214</v>
      </c>
      <c r="H1138" t="s">
        <v>14</v>
      </c>
      <c r="I1138" t="s">
        <v>1935</v>
      </c>
      <c r="J1138" t="s">
        <v>1936</v>
      </c>
      <c r="K1138" s="8">
        <v>21</v>
      </c>
    </row>
    <row r="1139" spans="1:11">
      <c r="A1139" t="s">
        <v>3077</v>
      </c>
      <c r="B1139" s="15">
        <v>45595</v>
      </c>
      <c r="C1139" s="4">
        <v>45566</v>
      </c>
      <c r="D1139" t="s">
        <v>41</v>
      </c>
      <c r="E1139" t="s">
        <v>21</v>
      </c>
      <c r="F1139" t="s">
        <v>43</v>
      </c>
      <c r="G1139" t="s">
        <v>214</v>
      </c>
      <c r="H1139" t="s">
        <v>8</v>
      </c>
      <c r="I1139" t="s">
        <v>1935</v>
      </c>
      <c r="J1139" t="s">
        <v>1938</v>
      </c>
      <c r="K1139" s="8">
        <v>30</v>
      </c>
    </row>
    <row r="1140" spans="1:11">
      <c r="A1140" t="s">
        <v>3078</v>
      </c>
      <c r="B1140" s="15">
        <v>45570</v>
      </c>
      <c r="C1140" s="4">
        <v>45566</v>
      </c>
      <c r="D1140" t="s">
        <v>41</v>
      </c>
      <c r="E1140" t="s">
        <v>21</v>
      </c>
      <c r="F1140" t="s">
        <v>43</v>
      </c>
      <c r="G1140" t="s">
        <v>172</v>
      </c>
      <c r="H1140" t="s">
        <v>5</v>
      </c>
      <c r="I1140" t="s">
        <v>1935</v>
      </c>
      <c r="J1140" t="s">
        <v>1954</v>
      </c>
      <c r="K1140" s="8">
        <v>11</v>
      </c>
    </row>
    <row r="1141" spans="1:11">
      <c r="A1141" t="s">
        <v>3079</v>
      </c>
      <c r="B1141" s="15">
        <v>45586</v>
      </c>
      <c r="C1141" s="4">
        <v>45566</v>
      </c>
      <c r="D1141" t="s">
        <v>41</v>
      </c>
      <c r="E1141" t="s">
        <v>21</v>
      </c>
      <c r="F1141" t="s">
        <v>43</v>
      </c>
      <c r="G1141" t="s">
        <v>178</v>
      </c>
      <c r="H1141" t="s">
        <v>11</v>
      </c>
      <c r="I1141" t="s">
        <v>1935</v>
      </c>
      <c r="J1141" t="s">
        <v>1936</v>
      </c>
      <c r="K1141" s="8">
        <v>8</v>
      </c>
    </row>
    <row r="1142" spans="1:11">
      <c r="A1142" t="s">
        <v>3080</v>
      </c>
      <c r="B1142" s="15">
        <v>45585</v>
      </c>
      <c r="C1142" s="4">
        <v>45566</v>
      </c>
      <c r="D1142" t="s">
        <v>41</v>
      </c>
      <c r="E1142" t="s">
        <v>21</v>
      </c>
      <c r="F1142" t="s">
        <v>43</v>
      </c>
      <c r="G1142" t="s">
        <v>172</v>
      </c>
      <c r="H1142" t="s">
        <v>8</v>
      </c>
      <c r="I1142" t="s">
        <v>1935</v>
      </c>
      <c r="J1142" t="s">
        <v>1954</v>
      </c>
      <c r="K1142" s="8">
        <v>25</v>
      </c>
    </row>
    <row r="1143" spans="1:11">
      <c r="A1143" t="s">
        <v>3081</v>
      </c>
      <c r="B1143" s="15">
        <v>45593</v>
      </c>
      <c r="C1143" s="4">
        <v>45566</v>
      </c>
      <c r="D1143" t="s">
        <v>41</v>
      </c>
      <c r="E1143" t="s">
        <v>21</v>
      </c>
      <c r="F1143" t="s">
        <v>43</v>
      </c>
      <c r="G1143" t="s">
        <v>202</v>
      </c>
      <c r="H1143" t="s">
        <v>11</v>
      </c>
      <c r="I1143" t="s">
        <v>1935</v>
      </c>
      <c r="J1143" t="s">
        <v>1936</v>
      </c>
      <c r="K1143" s="8">
        <v>24</v>
      </c>
    </row>
    <row r="1144" spans="1:11">
      <c r="A1144" t="s">
        <v>3082</v>
      </c>
      <c r="B1144" s="15">
        <v>45581</v>
      </c>
      <c r="C1144" s="4">
        <v>45566</v>
      </c>
      <c r="D1144" t="s">
        <v>41</v>
      </c>
      <c r="E1144" t="s">
        <v>21</v>
      </c>
      <c r="F1144" t="s">
        <v>43</v>
      </c>
      <c r="G1144" t="s">
        <v>226</v>
      </c>
      <c r="H1144" t="s">
        <v>5</v>
      </c>
      <c r="I1144" t="s">
        <v>1935</v>
      </c>
      <c r="J1144" t="s">
        <v>1936</v>
      </c>
      <c r="K1144" s="8">
        <v>9</v>
      </c>
    </row>
    <row r="1145" spans="1:11">
      <c r="A1145" t="s">
        <v>3083</v>
      </c>
      <c r="B1145" s="15">
        <v>45572</v>
      </c>
      <c r="C1145" s="4">
        <v>45566</v>
      </c>
      <c r="D1145" t="s">
        <v>44</v>
      </c>
      <c r="E1145" t="s">
        <v>21</v>
      </c>
      <c r="F1145" t="s">
        <v>46</v>
      </c>
      <c r="G1145" t="s">
        <v>192</v>
      </c>
      <c r="H1145" t="s">
        <v>8</v>
      </c>
      <c r="I1145" t="s">
        <v>1935</v>
      </c>
      <c r="J1145" t="s">
        <v>1936</v>
      </c>
      <c r="K1145" s="8">
        <v>8</v>
      </c>
    </row>
    <row r="1146" spans="1:11">
      <c r="A1146" t="s">
        <v>3084</v>
      </c>
      <c r="B1146" s="15">
        <v>45578</v>
      </c>
      <c r="C1146" s="4">
        <v>45566</v>
      </c>
      <c r="D1146" t="s">
        <v>44</v>
      </c>
      <c r="E1146" t="s">
        <v>21</v>
      </c>
      <c r="F1146" t="s">
        <v>46</v>
      </c>
      <c r="G1146" t="s">
        <v>198</v>
      </c>
      <c r="H1146" t="s">
        <v>8</v>
      </c>
      <c r="I1146" t="s">
        <v>1935</v>
      </c>
      <c r="J1146" t="s">
        <v>1936</v>
      </c>
      <c r="K1146" s="8">
        <v>13</v>
      </c>
    </row>
    <row r="1147" spans="1:11">
      <c r="A1147" t="s">
        <v>3085</v>
      </c>
      <c r="B1147" s="15">
        <v>45570</v>
      </c>
      <c r="C1147" s="4">
        <v>45566</v>
      </c>
      <c r="D1147" t="s">
        <v>44</v>
      </c>
      <c r="E1147" t="s">
        <v>21</v>
      </c>
      <c r="F1147" t="s">
        <v>46</v>
      </c>
      <c r="G1147" t="s">
        <v>234</v>
      </c>
      <c r="H1147" t="s">
        <v>5</v>
      </c>
      <c r="I1147" t="s">
        <v>1935</v>
      </c>
      <c r="J1147" t="s">
        <v>1936</v>
      </c>
      <c r="K1147" s="8">
        <v>24</v>
      </c>
    </row>
    <row r="1148" spans="1:11">
      <c r="A1148" t="s">
        <v>3086</v>
      </c>
      <c r="B1148" s="15">
        <v>45587</v>
      </c>
      <c r="C1148" s="4">
        <v>45566</v>
      </c>
      <c r="D1148" t="s">
        <v>44</v>
      </c>
      <c r="E1148" t="s">
        <v>21</v>
      </c>
      <c r="F1148" t="s">
        <v>46</v>
      </c>
      <c r="G1148" t="s">
        <v>198</v>
      </c>
      <c r="H1148" t="s">
        <v>8</v>
      </c>
      <c r="I1148" t="s">
        <v>1935</v>
      </c>
      <c r="J1148" t="s">
        <v>1936</v>
      </c>
      <c r="K1148" s="8">
        <v>33</v>
      </c>
    </row>
    <row r="1149" spans="1:11">
      <c r="A1149" t="s">
        <v>3087</v>
      </c>
      <c r="B1149" s="15">
        <v>45591</v>
      </c>
      <c r="C1149" s="4">
        <v>45566</v>
      </c>
      <c r="D1149" t="s">
        <v>44</v>
      </c>
      <c r="E1149" t="s">
        <v>21</v>
      </c>
      <c r="F1149" t="s">
        <v>46</v>
      </c>
      <c r="G1149" t="s">
        <v>210</v>
      </c>
      <c r="H1149" t="s">
        <v>14</v>
      </c>
      <c r="I1149" t="s">
        <v>1935</v>
      </c>
      <c r="J1149" t="s">
        <v>1936</v>
      </c>
      <c r="K1149" s="8">
        <v>25</v>
      </c>
    </row>
    <row r="1150" spans="1:11">
      <c r="A1150" t="s">
        <v>3088</v>
      </c>
      <c r="B1150" s="15">
        <v>45572</v>
      </c>
      <c r="C1150" s="4">
        <v>45566</v>
      </c>
      <c r="D1150" t="s">
        <v>44</v>
      </c>
      <c r="E1150" t="s">
        <v>21</v>
      </c>
      <c r="F1150" t="s">
        <v>46</v>
      </c>
      <c r="G1150" t="s">
        <v>234</v>
      </c>
      <c r="H1150" t="s">
        <v>5</v>
      </c>
      <c r="I1150" t="s">
        <v>1935</v>
      </c>
      <c r="J1150" t="s">
        <v>1954</v>
      </c>
      <c r="K1150" s="8">
        <v>31</v>
      </c>
    </row>
    <row r="1151" spans="1:11">
      <c r="A1151" t="s">
        <v>3089</v>
      </c>
      <c r="B1151" s="15">
        <v>45567</v>
      </c>
      <c r="C1151" s="4">
        <v>45566</v>
      </c>
      <c r="D1151" t="s">
        <v>44</v>
      </c>
      <c r="E1151" t="s">
        <v>21</v>
      </c>
      <c r="F1151" t="s">
        <v>46</v>
      </c>
      <c r="G1151" t="s">
        <v>216</v>
      </c>
      <c r="H1151" t="s">
        <v>14</v>
      </c>
      <c r="I1151" t="s">
        <v>1935</v>
      </c>
      <c r="J1151" t="s">
        <v>1936</v>
      </c>
      <c r="K1151" s="8">
        <v>31</v>
      </c>
    </row>
    <row r="1152" spans="1:11">
      <c r="A1152" t="s">
        <v>3090</v>
      </c>
      <c r="B1152" s="15">
        <v>45572</v>
      </c>
      <c r="C1152" s="4">
        <v>45566</v>
      </c>
      <c r="D1152" t="s">
        <v>44</v>
      </c>
      <c r="E1152" t="s">
        <v>21</v>
      </c>
      <c r="F1152" t="s">
        <v>46</v>
      </c>
      <c r="G1152" t="s">
        <v>174</v>
      </c>
      <c r="H1152" t="s">
        <v>8</v>
      </c>
      <c r="I1152" t="s">
        <v>1935</v>
      </c>
      <c r="J1152" t="s">
        <v>1936</v>
      </c>
      <c r="K1152" s="8">
        <v>15</v>
      </c>
    </row>
    <row r="1153" spans="1:11">
      <c r="A1153" t="s">
        <v>3091</v>
      </c>
      <c r="B1153" s="15">
        <v>45570</v>
      </c>
      <c r="C1153" s="4">
        <v>45566</v>
      </c>
      <c r="D1153" t="s">
        <v>44</v>
      </c>
      <c r="E1153" t="s">
        <v>21</v>
      </c>
      <c r="F1153" t="s">
        <v>46</v>
      </c>
      <c r="G1153" t="s">
        <v>234</v>
      </c>
      <c r="H1153" t="s">
        <v>5</v>
      </c>
      <c r="I1153" t="s">
        <v>1935</v>
      </c>
      <c r="J1153" t="s">
        <v>1938</v>
      </c>
      <c r="K1153" s="8">
        <v>8</v>
      </c>
    </row>
    <row r="1154" spans="1:11">
      <c r="A1154" t="s">
        <v>3092</v>
      </c>
      <c r="B1154" s="15">
        <v>45584</v>
      </c>
      <c r="C1154" s="4">
        <v>45566</v>
      </c>
      <c r="D1154" t="s">
        <v>47</v>
      </c>
      <c r="E1154" t="s">
        <v>21</v>
      </c>
      <c r="F1154" t="s">
        <v>49</v>
      </c>
      <c r="G1154" t="s">
        <v>182</v>
      </c>
      <c r="H1154" t="s">
        <v>5</v>
      </c>
      <c r="I1154" t="s">
        <v>1935</v>
      </c>
      <c r="J1154" t="s">
        <v>1936</v>
      </c>
      <c r="K1154" s="8">
        <v>34</v>
      </c>
    </row>
    <row r="1155" spans="1:11">
      <c r="A1155" t="s">
        <v>3093</v>
      </c>
      <c r="B1155" s="15">
        <v>45575</v>
      </c>
      <c r="C1155" s="4">
        <v>45566</v>
      </c>
      <c r="D1155" t="s">
        <v>47</v>
      </c>
      <c r="E1155" t="s">
        <v>21</v>
      </c>
      <c r="F1155" t="s">
        <v>49</v>
      </c>
      <c r="G1155" t="s">
        <v>182</v>
      </c>
      <c r="H1155" t="s">
        <v>5</v>
      </c>
      <c r="I1155" t="s">
        <v>1935</v>
      </c>
      <c r="J1155" t="s">
        <v>1936</v>
      </c>
      <c r="K1155" s="8">
        <v>17</v>
      </c>
    </row>
    <row r="1156" spans="1:11">
      <c r="A1156" t="s">
        <v>3094</v>
      </c>
      <c r="B1156" s="15">
        <v>45566</v>
      </c>
      <c r="C1156" s="4">
        <v>45566</v>
      </c>
      <c r="D1156" t="s">
        <v>47</v>
      </c>
      <c r="E1156" t="s">
        <v>21</v>
      </c>
      <c r="F1156" t="s">
        <v>49</v>
      </c>
      <c r="G1156" t="s">
        <v>194</v>
      </c>
      <c r="H1156" t="s">
        <v>14</v>
      </c>
      <c r="I1156" t="s">
        <v>1935</v>
      </c>
      <c r="J1156" t="s">
        <v>1936</v>
      </c>
      <c r="K1156" s="8">
        <v>17</v>
      </c>
    </row>
    <row r="1157" spans="1:11">
      <c r="A1157" t="s">
        <v>3095</v>
      </c>
      <c r="B1157" s="15">
        <v>45566</v>
      </c>
      <c r="C1157" s="4">
        <v>45566</v>
      </c>
      <c r="D1157" t="s">
        <v>47</v>
      </c>
      <c r="E1157" t="s">
        <v>21</v>
      </c>
      <c r="F1157" t="s">
        <v>49</v>
      </c>
      <c r="G1157" t="s">
        <v>230</v>
      </c>
      <c r="H1157" t="s">
        <v>8</v>
      </c>
      <c r="I1157" t="s">
        <v>1935</v>
      </c>
      <c r="J1157" t="s">
        <v>1936</v>
      </c>
      <c r="K1157" s="8">
        <v>22</v>
      </c>
    </row>
    <row r="1158" spans="1:11">
      <c r="A1158" t="s">
        <v>3096</v>
      </c>
      <c r="B1158" s="15">
        <v>45573</v>
      </c>
      <c r="C1158" s="4">
        <v>45566</v>
      </c>
      <c r="D1158" t="s">
        <v>47</v>
      </c>
      <c r="E1158" t="s">
        <v>21</v>
      </c>
      <c r="F1158" t="s">
        <v>49</v>
      </c>
      <c r="G1158" t="s">
        <v>212</v>
      </c>
      <c r="H1158" t="s">
        <v>14</v>
      </c>
      <c r="I1158" t="s">
        <v>1935</v>
      </c>
      <c r="J1158" t="s">
        <v>1936</v>
      </c>
      <c r="K1158" s="8">
        <v>26</v>
      </c>
    </row>
    <row r="1159" spans="1:11">
      <c r="A1159" t="s">
        <v>3097</v>
      </c>
      <c r="B1159" s="15">
        <v>45592</v>
      </c>
      <c r="C1159" s="4">
        <v>45566</v>
      </c>
      <c r="D1159" t="s">
        <v>47</v>
      </c>
      <c r="E1159" t="s">
        <v>21</v>
      </c>
      <c r="F1159" t="s">
        <v>49</v>
      </c>
      <c r="G1159" t="s">
        <v>182</v>
      </c>
      <c r="H1159" t="s">
        <v>8</v>
      </c>
      <c r="I1159" t="s">
        <v>1935</v>
      </c>
      <c r="J1159" t="s">
        <v>1936</v>
      </c>
      <c r="K1159" s="8">
        <v>17</v>
      </c>
    </row>
    <row r="1160" spans="1:11">
      <c r="A1160" t="s">
        <v>3098</v>
      </c>
      <c r="B1160" s="15">
        <v>45567</v>
      </c>
      <c r="C1160" s="4">
        <v>45566</v>
      </c>
      <c r="D1160" t="s">
        <v>47</v>
      </c>
      <c r="E1160" t="s">
        <v>21</v>
      </c>
      <c r="F1160" t="s">
        <v>49</v>
      </c>
      <c r="G1160" t="s">
        <v>188</v>
      </c>
      <c r="H1160" t="s">
        <v>14</v>
      </c>
      <c r="I1160" t="s">
        <v>1935</v>
      </c>
      <c r="J1160" t="s">
        <v>1936</v>
      </c>
      <c r="K1160" s="8">
        <v>11</v>
      </c>
    </row>
    <row r="1161" spans="1:11">
      <c r="A1161" t="s">
        <v>3099</v>
      </c>
      <c r="B1161" s="15">
        <v>45579</v>
      </c>
      <c r="C1161" s="4">
        <v>45566</v>
      </c>
      <c r="D1161" t="s">
        <v>47</v>
      </c>
      <c r="E1161" t="s">
        <v>21</v>
      </c>
      <c r="F1161" t="s">
        <v>49</v>
      </c>
      <c r="G1161" t="s">
        <v>188</v>
      </c>
      <c r="H1161" t="s">
        <v>14</v>
      </c>
      <c r="I1161" t="s">
        <v>1935</v>
      </c>
      <c r="J1161" t="s">
        <v>1936</v>
      </c>
      <c r="K1161" s="8">
        <v>25</v>
      </c>
    </row>
    <row r="1162" spans="1:11">
      <c r="A1162" t="s">
        <v>3100</v>
      </c>
      <c r="B1162" s="15">
        <v>45581</v>
      </c>
      <c r="C1162" s="4">
        <v>45566</v>
      </c>
      <c r="D1162" t="s">
        <v>47</v>
      </c>
      <c r="E1162" t="s">
        <v>21</v>
      </c>
      <c r="F1162" t="s">
        <v>49</v>
      </c>
      <c r="G1162" t="s">
        <v>236</v>
      </c>
      <c r="H1162" t="s">
        <v>14</v>
      </c>
      <c r="I1162" t="s">
        <v>1935</v>
      </c>
      <c r="J1162" t="s">
        <v>1936</v>
      </c>
      <c r="K1162" s="8">
        <v>21</v>
      </c>
    </row>
    <row r="1163" spans="1:11">
      <c r="A1163" t="s">
        <v>3101</v>
      </c>
      <c r="B1163" s="15">
        <v>45571</v>
      </c>
      <c r="C1163" s="4">
        <v>45566</v>
      </c>
      <c r="D1163" t="s">
        <v>50</v>
      </c>
      <c r="E1163" t="s">
        <v>23</v>
      </c>
      <c r="F1163" t="s">
        <v>52</v>
      </c>
      <c r="G1163" t="s">
        <v>244</v>
      </c>
      <c r="H1163" t="s">
        <v>8</v>
      </c>
      <c r="I1163" t="s">
        <v>1935</v>
      </c>
      <c r="J1163" t="s">
        <v>1936</v>
      </c>
      <c r="K1163" s="8">
        <v>30</v>
      </c>
    </row>
    <row r="1164" spans="1:11">
      <c r="A1164" t="s">
        <v>3102</v>
      </c>
      <c r="B1164" s="15">
        <v>45590</v>
      </c>
      <c r="C1164" s="4">
        <v>45566</v>
      </c>
      <c r="D1164" t="s">
        <v>50</v>
      </c>
      <c r="E1164" t="s">
        <v>23</v>
      </c>
      <c r="F1164" t="s">
        <v>52</v>
      </c>
      <c r="G1164" t="s">
        <v>274</v>
      </c>
      <c r="H1164" t="s">
        <v>8</v>
      </c>
      <c r="I1164" t="s">
        <v>1995</v>
      </c>
      <c r="J1164" t="s">
        <v>1936</v>
      </c>
      <c r="K1164" s="8">
        <v>4</v>
      </c>
    </row>
    <row r="1165" spans="1:11">
      <c r="A1165" t="s">
        <v>3103</v>
      </c>
      <c r="B1165" s="15">
        <v>45573</v>
      </c>
      <c r="C1165" s="4">
        <v>45566</v>
      </c>
      <c r="D1165" t="s">
        <v>50</v>
      </c>
      <c r="E1165" t="s">
        <v>23</v>
      </c>
      <c r="F1165" t="s">
        <v>52</v>
      </c>
      <c r="G1165" t="s">
        <v>244</v>
      </c>
      <c r="H1165" t="s">
        <v>11</v>
      </c>
      <c r="I1165" t="s">
        <v>1935</v>
      </c>
      <c r="J1165" t="s">
        <v>1936</v>
      </c>
      <c r="K1165" s="8">
        <v>21</v>
      </c>
    </row>
    <row r="1166" spans="1:11">
      <c r="A1166" t="s">
        <v>3104</v>
      </c>
      <c r="B1166" s="15">
        <v>45573</v>
      </c>
      <c r="C1166" s="4">
        <v>45566</v>
      </c>
      <c r="D1166" t="s">
        <v>50</v>
      </c>
      <c r="E1166" t="s">
        <v>23</v>
      </c>
      <c r="F1166" t="s">
        <v>52</v>
      </c>
      <c r="G1166" t="s">
        <v>298</v>
      </c>
      <c r="H1166" t="s">
        <v>5</v>
      </c>
      <c r="I1166" t="s">
        <v>1935</v>
      </c>
      <c r="J1166" t="s">
        <v>1936</v>
      </c>
      <c r="K1166" s="8">
        <v>32</v>
      </c>
    </row>
    <row r="1167" spans="1:11">
      <c r="A1167" t="s">
        <v>3105</v>
      </c>
      <c r="B1167" s="15">
        <v>45566</v>
      </c>
      <c r="C1167" s="4">
        <v>45566</v>
      </c>
      <c r="D1167" t="s">
        <v>50</v>
      </c>
      <c r="E1167" t="s">
        <v>23</v>
      </c>
      <c r="F1167" t="s">
        <v>52</v>
      </c>
      <c r="G1167" t="s">
        <v>268</v>
      </c>
      <c r="H1167" t="s">
        <v>8</v>
      </c>
      <c r="I1167" t="s">
        <v>1935</v>
      </c>
      <c r="J1167" t="s">
        <v>1936</v>
      </c>
      <c r="K1167" s="8">
        <v>11</v>
      </c>
    </row>
    <row r="1168" spans="1:11">
      <c r="A1168" t="s">
        <v>3106</v>
      </c>
      <c r="B1168" s="15">
        <v>45567</v>
      </c>
      <c r="C1168" s="4">
        <v>45566</v>
      </c>
      <c r="D1168" t="s">
        <v>50</v>
      </c>
      <c r="E1168" t="s">
        <v>23</v>
      </c>
      <c r="F1168" t="s">
        <v>52</v>
      </c>
      <c r="G1168" t="s">
        <v>304</v>
      </c>
      <c r="H1168" t="s">
        <v>8</v>
      </c>
      <c r="I1168" t="s">
        <v>1942</v>
      </c>
      <c r="J1168" t="s">
        <v>1936</v>
      </c>
      <c r="K1168" s="8">
        <v>6</v>
      </c>
    </row>
    <row r="1169" spans="1:11">
      <c r="A1169" t="s">
        <v>3107</v>
      </c>
      <c r="B1169" s="15">
        <v>45570</v>
      </c>
      <c r="C1169" s="4">
        <v>45566</v>
      </c>
      <c r="D1169" t="s">
        <v>50</v>
      </c>
      <c r="E1169" t="s">
        <v>23</v>
      </c>
      <c r="F1169" t="s">
        <v>52</v>
      </c>
      <c r="G1169" t="s">
        <v>298</v>
      </c>
      <c r="H1169" t="s">
        <v>5</v>
      </c>
      <c r="I1169" t="s">
        <v>1935</v>
      </c>
      <c r="J1169" t="s">
        <v>1936</v>
      </c>
      <c r="K1169" s="8">
        <v>21</v>
      </c>
    </row>
    <row r="1170" spans="1:11">
      <c r="A1170" t="s">
        <v>3108</v>
      </c>
      <c r="B1170" s="15">
        <v>45582</v>
      </c>
      <c r="C1170" s="4">
        <v>45566</v>
      </c>
      <c r="D1170" t="s">
        <v>50</v>
      </c>
      <c r="E1170" t="s">
        <v>23</v>
      </c>
      <c r="F1170" t="s">
        <v>52</v>
      </c>
      <c r="G1170" t="s">
        <v>238</v>
      </c>
      <c r="H1170" t="s">
        <v>8</v>
      </c>
      <c r="I1170" t="s">
        <v>1935</v>
      </c>
      <c r="J1170" t="s">
        <v>1936</v>
      </c>
      <c r="K1170" s="8">
        <v>8</v>
      </c>
    </row>
    <row r="1171" spans="1:11">
      <c r="A1171" t="s">
        <v>3109</v>
      </c>
      <c r="B1171" s="15">
        <v>45582</v>
      </c>
      <c r="C1171" s="4">
        <v>45566</v>
      </c>
      <c r="D1171" t="s">
        <v>50</v>
      </c>
      <c r="E1171" t="s">
        <v>23</v>
      </c>
      <c r="F1171" t="s">
        <v>52</v>
      </c>
      <c r="G1171" t="s">
        <v>268</v>
      </c>
      <c r="H1171" t="s">
        <v>5</v>
      </c>
      <c r="I1171" t="s">
        <v>1935</v>
      </c>
      <c r="J1171" t="s">
        <v>1936</v>
      </c>
      <c r="K1171" s="8">
        <v>29</v>
      </c>
    </row>
    <row r="1172" spans="1:11">
      <c r="A1172" t="s">
        <v>3110</v>
      </c>
      <c r="B1172" s="15">
        <v>45572</v>
      </c>
      <c r="C1172" s="4">
        <v>45566</v>
      </c>
      <c r="D1172" t="s">
        <v>53</v>
      </c>
      <c r="E1172" t="s">
        <v>23</v>
      </c>
      <c r="F1172" t="s">
        <v>55</v>
      </c>
      <c r="G1172" t="s">
        <v>312</v>
      </c>
      <c r="H1172" t="s">
        <v>5</v>
      </c>
      <c r="I1172" t="s">
        <v>1935</v>
      </c>
      <c r="J1172" t="s">
        <v>1936</v>
      </c>
      <c r="K1172" s="8">
        <v>14</v>
      </c>
    </row>
    <row r="1173" spans="1:11">
      <c r="A1173" t="s">
        <v>3111</v>
      </c>
      <c r="B1173" s="15">
        <v>45575</v>
      </c>
      <c r="C1173" s="4">
        <v>45566</v>
      </c>
      <c r="D1173" t="s">
        <v>53</v>
      </c>
      <c r="E1173" t="s">
        <v>23</v>
      </c>
      <c r="F1173" t="s">
        <v>55</v>
      </c>
      <c r="G1173" t="s">
        <v>282</v>
      </c>
      <c r="H1173" t="s">
        <v>8</v>
      </c>
      <c r="I1173" t="s">
        <v>1935</v>
      </c>
      <c r="J1173" t="s">
        <v>1936</v>
      </c>
      <c r="K1173" s="8">
        <v>26</v>
      </c>
    </row>
    <row r="1174" spans="1:11">
      <c r="A1174" t="s">
        <v>3112</v>
      </c>
      <c r="B1174" s="15">
        <v>45571</v>
      </c>
      <c r="C1174" s="4">
        <v>45566</v>
      </c>
      <c r="D1174" t="s">
        <v>53</v>
      </c>
      <c r="E1174" t="s">
        <v>23</v>
      </c>
      <c r="F1174" t="s">
        <v>55</v>
      </c>
      <c r="G1174" t="s">
        <v>270</v>
      </c>
      <c r="H1174" t="s">
        <v>8</v>
      </c>
      <c r="I1174" t="s">
        <v>1935</v>
      </c>
      <c r="J1174" t="s">
        <v>1936</v>
      </c>
      <c r="K1174" s="8">
        <v>19</v>
      </c>
    </row>
    <row r="1175" spans="1:11">
      <c r="A1175" t="s">
        <v>3113</v>
      </c>
      <c r="B1175" s="15">
        <v>45576</v>
      </c>
      <c r="C1175" s="4">
        <v>45566</v>
      </c>
      <c r="D1175" t="s">
        <v>53</v>
      </c>
      <c r="E1175" t="s">
        <v>23</v>
      </c>
      <c r="F1175" t="s">
        <v>55</v>
      </c>
      <c r="G1175" t="s">
        <v>282</v>
      </c>
      <c r="H1175" t="s">
        <v>8</v>
      </c>
      <c r="I1175" t="s">
        <v>1935</v>
      </c>
      <c r="J1175" t="s">
        <v>1954</v>
      </c>
      <c r="K1175" s="8">
        <v>26</v>
      </c>
    </row>
    <row r="1176" spans="1:11">
      <c r="A1176" t="s">
        <v>3114</v>
      </c>
      <c r="B1176" s="15">
        <v>45595</v>
      </c>
      <c r="C1176" s="4">
        <v>45566</v>
      </c>
      <c r="D1176" t="s">
        <v>53</v>
      </c>
      <c r="E1176" t="s">
        <v>23</v>
      </c>
      <c r="F1176" t="s">
        <v>55</v>
      </c>
      <c r="G1176" t="s">
        <v>294</v>
      </c>
      <c r="H1176" t="s">
        <v>8</v>
      </c>
      <c r="I1176" t="s">
        <v>1942</v>
      </c>
      <c r="J1176" t="s">
        <v>1936</v>
      </c>
      <c r="K1176" s="8">
        <v>2</v>
      </c>
    </row>
    <row r="1177" spans="1:11">
      <c r="A1177" t="s">
        <v>3115</v>
      </c>
      <c r="B1177" s="15">
        <v>45571</v>
      </c>
      <c r="C1177" s="4">
        <v>45566</v>
      </c>
      <c r="D1177" t="s">
        <v>53</v>
      </c>
      <c r="E1177" t="s">
        <v>23</v>
      </c>
      <c r="F1177" t="s">
        <v>55</v>
      </c>
      <c r="G1177" t="s">
        <v>270</v>
      </c>
      <c r="H1177" t="s">
        <v>8</v>
      </c>
      <c r="I1177" t="s">
        <v>1935</v>
      </c>
      <c r="J1177" t="s">
        <v>1936</v>
      </c>
      <c r="K1177" s="8">
        <v>21</v>
      </c>
    </row>
    <row r="1178" spans="1:11">
      <c r="A1178" t="s">
        <v>3116</v>
      </c>
      <c r="B1178" s="15">
        <v>45578</v>
      </c>
      <c r="C1178" s="4">
        <v>45566</v>
      </c>
      <c r="D1178" t="s">
        <v>53</v>
      </c>
      <c r="E1178" t="s">
        <v>23</v>
      </c>
      <c r="F1178" t="s">
        <v>55</v>
      </c>
      <c r="G1178" t="s">
        <v>312</v>
      </c>
      <c r="H1178" t="s">
        <v>5</v>
      </c>
      <c r="I1178" t="s">
        <v>1935</v>
      </c>
      <c r="J1178" t="s">
        <v>1938</v>
      </c>
      <c r="K1178" s="8">
        <v>21</v>
      </c>
    </row>
    <row r="1179" spans="1:11">
      <c r="A1179" t="s">
        <v>3117</v>
      </c>
      <c r="B1179" s="15">
        <v>45585</v>
      </c>
      <c r="C1179" s="4">
        <v>45566</v>
      </c>
      <c r="D1179" t="s">
        <v>53</v>
      </c>
      <c r="E1179" t="s">
        <v>23</v>
      </c>
      <c r="F1179" t="s">
        <v>55</v>
      </c>
      <c r="G1179" t="s">
        <v>246</v>
      </c>
      <c r="H1179" t="s">
        <v>14</v>
      </c>
      <c r="I1179" t="s">
        <v>1935</v>
      </c>
      <c r="J1179" t="s">
        <v>1936</v>
      </c>
      <c r="K1179" s="8">
        <v>12</v>
      </c>
    </row>
    <row r="1180" spans="1:11">
      <c r="A1180" t="s">
        <v>3118</v>
      </c>
      <c r="B1180" s="15">
        <v>45592</v>
      </c>
      <c r="C1180" s="4">
        <v>45566</v>
      </c>
      <c r="D1180" t="s">
        <v>53</v>
      </c>
      <c r="E1180" t="s">
        <v>23</v>
      </c>
      <c r="F1180" t="s">
        <v>55</v>
      </c>
      <c r="G1180" t="s">
        <v>276</v>
      </c>
      <c r="H1180" t="s">
        <v>8</v>
      </c>
      <c r="I1180" t="s">
        <v>1935</v>
      </c>
      <c r="J1180" t="s">
        <v>1936</v>
      </c>
      <c r="K1180" s="8">
        <v>10</v>
      </c>
    </row>
    <row r="1181" spans="1:11">
      <c r="A1181" t="s">
        <v>3119</v>
      </c>
      <c r="B1181" s="15">
        <v>45587</v>
      </c>
      <c r="C1181" s="4">
        <v>45566</v>
      </c>
      <c r="D1181" t="s">
        <v>56</v>
      </c>
      <c r="E1181" t="s">
        <v>23</v>
      </c>
      <c r="F1181" t="s">
        <v>58</v>
      </c>
      <c r="G1181" t="s">
        <v>302</v>
      </c>
      <c r="H1181" t="s">
        <v>5</v>
      </c>
      <c r="I1181" t="s">
        <v>1935</v>
      </c>
      <c r="J1181" t="s">
        <v>1936</v>
      </c>
      <c r="K1181" s="8">
        <v>12</v>
      </c>
    </row>
    <row r="1182" spans="1:11">
      <c r="A1182" t="s">
        <v>3120</v>
      </c>
      <c r="B1182" s="15">
        <v>45581</v>
      </c>
      <c r="C1182" s="4">
        <v>45566</v>
      </c>
      <c r="D1182" t="s">
        <v>56</v>
      </c>
      <c r="E1182" t="s">
        <v>23</v>
      </c>
      <c r="F1182" t="s">
        <v>58</v>
      </c>
      <c r="G1182" t="s">
        <v>296</v>
      </c>
      <c r="H1182" t="s">
        <v>5</v>
      </c>
      <c r="I1182" t="s">
        <v>1935</v>
      </c>
      <c r="J1182" t="s">
        <v>1936</v>
      </c>
      <c r="K1182" s="8">
        <v>33</v>
      </c>
    </row>
    <row r="1183" spans="1:11">
      <c r="A1183" t="s">
        <v>3121</v>
      </c>
      <c r="B1183" s="15">
        <v>45588</v>
      </c>
      <c r="C1183" s="4">
        <v>45566</v>
      </c>
      <c r="D1183" t="s">
        <v>56</v>
      </c>
      <c r="E1183" t="s">
        <v>23</v>
      </c>
      <c r="F1183" t="s">
        <v>58</v>
      </c>
      <c r="G1183" t="s">
        <v>302</v>
      </c>
      <c r="H1183" t="s">
        <v>5</v>
      </c>
      <c r="I1183" t="s">
        <v>1935</v>
      </c>
      <c r="J1183" t="s">
        <v>1936</v>
      </c>
      <c r="K1183" s="8">
        <v>8</v>
      </c>
    </row>
    <row r="1184" spans="1:11">
      <c r="A1184" t="s">
        <v>3122</v>
      </c>
      <c r="B1184" s="15">
        <v>45573</v>
      </c>
      <c r="C1184" s="4">
        <v>45566</v>
      </c>
      <c r="D1184" t="s">
        <v>56</v>
      </c>
      <c r="E1184" t="s">
        <v>23</v>
      </c>
      <c r="F1184" t="s">
        <v>58</v>
      </c>
      <c r="G1184" t="s">
        <v>302</v>
      </c>
      <c r="H1184" t="s">
        <v>5</v>
      </c>
      <c r="I1184" t="s">
        <v>1935</v>
      </c>
      <c r="J1184" t="s">
        <v>1936</v>
      </c>
      <c r="K1184" s="8">
        <v>32</v>
      </c>
    </row>
    <row r="1185" spans="1:11">
      <c r="A1185" t="s">
        <v>3123</v>
      </c>
      <c r="B1185" s="15">
        <v>45570</v>
      </c>
      <c r="C1185" s="4">
        <v>45566</v>
      </c>
      <c r="D1185" t="s">
        <v>56</v>
      </c>
      <c r="E1185" t="s">
        <v>23</v>
      </c>
      <c r="F1185" t="s">
        <v>58</v>
      </c>
      <c r="G1185" t="s">
        <v>260</v>
      </c>
      <c r="H1185" t="s">
        <v>14</v>
      </c>
      <c r="I1185" t="s">
        <v>1935</v>
      </c>
      <c r="J1185" t="s">
        <v>1936</v>
      </c>
      <c r="K1185" s="8">
        <v>23</v>
      </c>
    </row>
    <row r="1186" spans="1:11">
      <c r="A1186" t="s">
        <v>3124</v>
      </c>
      <c r="B1186" s="15">
        <v>45594</v>
      </c>
      <c r="C1186" s="4">
        <v>45566</v>
      </c>
      <c r="D1186" t="s">
        <v>56</v>
      </c>
      <c r="E1186" t="s">
        <v>23</v>
      </c>
      <c r="F1186" t="s">
        <v>58</v>
      </c>
      <c r="G1186" t="s">
        <v>302</v>
      </c>
      <c r="H1186" t="s">
        <v>5</v>
      </c>
      <c r="I1186" t="s">
        <v>1935</v>
      </c>
      <c r="J1186" t="s">
        <v>1936</v>
      </c>
      <c r="K1186" s="8">
        <v>18</v>
      </c>
    </row>
    <row r="1187" spans="1:11">
      <c r="A1187" t="s">
        <v>3125</v>
      </c>
      <c r="B1187" s="15">
        <v>45593</v>
      </c>
      <c r="C1187" s="4">
        <v>45566</v>
      </c>
      <c r="D1187" t="s">
        <v>56</v>
      </c>
      <c r="E1187" t="s">
        <v>23</v>
      </c>
      <c r="F1187" t="s">
        <v>58</v>
      </c>
      <c r="G1187" t="s">
        <v>248</v>
      </c>
      <c r="H1187" t="s">
        <v>5</v>
      </c>
      <c r="I1187" t="s">
        <v>1935</v>
      </c>
      <c r="J1187" t="s">
        <v>1938</v>
      </c>
      <c r="K1187" s="8">
        <v>27</v>
      </c>
    </row>
    <row r="1188" spans="1:11">
      <c r="A1188" t="s">
        <v>3126</v>
      </c>
      <c r="B1188" s="15">
        <v>45596</v>
      </c>
      <c r="C1188" s="4">
        <v>45566</v>
      </c>
      <c r="D1188" t="s">
        <v>56</v>
      </c>
      <c r="E1188" t="s">
        <v>23</v>
      </c>
      <c r="F1188" t="s">
        <v>58</v>
      </c>
      <c r="G1188" t="s">
        <v>242</v>
      </c>
      <c r="H1188" t="s">
        <v>8</v>
      </c>
      <c r="I1188" t="s">
        <v>1935</v>
      </c>
      <c r="J1188" t="s">
        <v>1936</v>
      </c>
      <c r="K1188" s="8">
        <v>22</v>
      </c>
    </row>
    <row r="1189" spans="1:11">
      <c r="A1189" t="s">
        <v>3127</v>
      </c>
      <c r="B1189" s="15">
        <v>45578</v>
      </c>
      <c r="C1189" s="4">
        <v>45566</v>
      </c>
      <c r="D1189" t="s">
        <v>59</v>
      </c>
      <c r="E1189" t="s">
        <v>25</v>
      </c>
      <c r="F1189" t="s">
        <v>61</v>
      </c>
      <c r="G1189" t="s">
        <v>374</v>
      </c>
      <c r="H1189" t="s">
        <v>11</v>
      </c>
      <c r="I1189" t="s">
        <v>1935</v>
      </c>
      <c r="J1189" t="s">
        <v>1936</v>
      </c>
      <c r="K1189" s="8">
        <v>17</v>
      </c>
    </row>
    <row r="1190" spans="1:11">
      <c r="A1190" t="s">
        <v>3128</v>
      </c>
      <c r="B1190" s="15">
        <v>45569</v>
      </c>
      <c r="C1190" s="4">
        <v>45566</v>
      </c>
      <c r="D1190" t="s">
        <v>59</v>
      </c>
      <c r="E1190" t="s">
        <v>25</v>
      </c>
      <c r="F1190" t="s">
        <v>61</v>
      </c>
      <c r="G1190" t="s">
        <v>368</v>
      </c>
      <c r="H1190" t="s">
        <v>14</v>
      </c>
      <c r="I1190" t="s">
        <v>1935</v>
      </c>
      <c r="J1190" t="s">
        <v>1954</v>
      </c>
      <c r="K1190" s="8">
        <v>17</v>
      </c>
    </row>
    <row r="1191" spans="1:11">
      <c r="A1191" t="s">
        <v>3129</v>
      </c>
      <c r="B1191" s="15">
        <v>45568</v>
      </c>
      <c r="C1191" s="4">
        <v>45566</v>
      </c>
      <c r="D1191" t="s">
        <v>59</v>
      </c>
      <c r="E1191" t="s">
        <v>25</v>
      </c>
      <c r="F1191" t="s">
        <v>61</v>
      </c>
      <c r="G1191" t="s">
        <v>332</v>
      </c>
      <c r="H1191" t="s">
        <v>8</v>
      </c>
      <c r="I1191" t="s">
        <v>1942</v>
      </c>
      <c r="J1191" t="s">
        <v>1936</v>
      </c>
      <c r="K1191" s="8">
        <v>4</v>
      </c>
    </row>
    <row r="1192" spans="1:11">
      <c r="A1192" t="s">
        <v>3130</v>
      </c>
      <c r="B1192" s="15">
        <v>45567</v>
      </c>
      <c r="C1192" s="4">
        <v>45566</v>
      </c>
      <c r="D1192" t="s">
        <v>59</v>
      </c>
      <c r="E1192" t="s">
        <v>25</v>
      </c>
      <c r="F1192" t="s">
        <v>61</v>
      </c>
      <c r="G1192" t="s">
        <v>368</v>
      </c>
      <c r="H1192" t="s">
        <v>14</v>
      </c>
      <c r="I1192" t="s">
        <v>1995</v>
      </c>
      <c r="J1192" t="s">
        <v>1936</v>
      </c>
      <c r="K1192" s="8">
        <v>7</v>
      </c>
    </row>
    <row r="1193" spans="1:11">
      <c r="A1193" t="s">
        <v>3131</v>
      </c>
      <c r="B1193" s="15">
        <v>45591</v>
      </c>
      <c r="C1193" s="4">
        <v>45566</v>
      </c>
      <c r="D1193" t="s">
        <v>59</v>
      </c>
      <c r="E1193" t="s">
        <v>25</v>
      </c>
      <c r="F1193" t="s">
        <v>61</v>
      </c>
      <c r="G1193" t="s">
        <v>326</v>
      </c>
      <c r="H1193" t="s">
        <v>11</v>
      </c>
      <c r="I1193" t="s">
        <v>1935</v>
      </c>
      <c r="J1193" t="s">
        <v>1936</v>
      </c>
      <c r="K1193" s="8">
        <v>18</v>
      </c>
    </row>
    <row r="1194" spans="1:11">
      <c r="A1194" t="s">
        <v>3132</v>
      </c>
      <c r="B1194" s="15">
        <v>45572</v>
      </c>
      <c r="C1194" s="4">
        <v>45566</v>
      </c>
      <c r="D1194" t="s">
        <v>59</v>
      </c>
      <c r="E1194" t="s">
        <v>25</v>
      </c>
      <c r="F1194" t="s">
        <v>61</v>
      </c>
      <c r="G1194" t="s">
        <v>368</v>
      </c>
      <c r="H1194" t="s">
        <v>14</v>
      </c>
      <c r="I1194" t="s">
        <v>1935</v>
      </c>
      <c r="J1194" t="s">
        <v>1938</v>
      </c>
      <c r="K1194" s="8">
        <v>34</v>
      </c>
    </row>
    <row r="1195" spans="1:11">
      <c r="A1195" t="s">
        <v>3133</v>
      </c>
      <c r="B1195" s="15">
        <v>45582</v>
      </c>
      <c r="C1195" s="4">
        <v>45566</v>
      </c>
      <c r="D1195" t="s">
        <v>59</v>
      </c>
      <c r="E1195" t="s">
        <v>25</v>
      </c>
      <c r="F1195" t="s">
        <v>61</v>
      </c>
      <c r="G1195" t="s">
        <v>380</v>
      </c>
      <c r="H1195" t="s">
        <v>11</v>
      </c>
      <c r="I1195" t="s">
        <v>1935</v>
      </c>
      <c r="J1195" t="s">
        <v>1936</v>
      </c>
      <c r="K1195" s="8">
        <v>22</v>
      </c>
    </row>
    <row r="1196" spans="1:11">
      <c r="A1196" t="s">
        <v>3134</v>
      </c>
      <c r="B1196" s="15">
        <v>45577</v>
      </c>
      <c r="C1196" s="4">
        <v>45566</v>
      </c>
      <c r="D1196" t="s">
        <v>59</v>
      </c>
      <c r="E1196" t="s">
        <v>25</v>
      </c>
      <c r="F1196" t="s">
        <v>61</v>
      </c>
      <c r="G1196" t="s">
        <v>320</v>
      </c>
      <c r="H1196" t="s">
        <v>11</v>
      </c>
      <c r="I1196" t="s">
        <v>1935</v>
      </c>
      <c r="J1196" t="s">
        <v>1938</v>
      </c>
      <c r="K1196" s="8">
        <v>13</v>
      </c>
    </row>
    <row r="1197" spans="1:11">
      <c r="A1197" t="s">
        <v>3135</v>
      </c>
      <c r="B1197" s="15">
        <v>45569</v>
      </c>
      <c r="C1197" s="4">
        <v>45566</v>
      </c>
      <c r="D1197" t="s">
        <v>59</v>
      </c>
      <c r="E1197" t="s">
        <v>25</v>
      </c>
      <c r="F1197" t="s">
        <v>61</v>
      </c>
      <c r="G1197" t="s">
        <v>326</v>
      </c>
      <c r="H1197" t="s">
        <v>5</v>
      </c>
      <c r="I1197" t="s">
        <v>1935</v>
      </c>
      <c r="J1197" t="s">
        <v>1936</v>
      </c>
      <c r="K1197" s="8">
        <v>24</v>
      </c>
    </row>
    <row r="1198" spans="1:11">
      <c r="A1198" t="s">
        <v>3136</v>
      </c>
      <c r="B1198" s="15">
        <v>45582</v>
      </c>
      <c r="C1198" s="4">
        <v>45566</v>
      </c>
      <c r="D1198" t="s">
        <v>59</v>
      </c>
      <c r="E1198" t="s">
        <v>25</v>
      </c>
      <c r="F1198" t="s">
        <v>61</v>
      </c>
      <c r="G1198" t="s">
        <v>344</v>
      </c>
      <c r="H1198" t="s">
        <v>8</v>
      </c>
      <c r="I1198" t="s">
        <v>1935</v>
      </c>
      <c r="J1198" t="s">
        <v>1936</v>
      </c>
      <c r="K1198" s="8">
        <v>13</v>
      </c>
    </row>
    <row r="1199" spans="1:11">
      <c r="A1199" t="s">
        <v>3137</v>
      </c>
      <c r="B1199" s="15">
        <v>45582</v>
      </c>
      <c r="C1199" s="4">
        <v>45566</v>
      </c>
      <c r="D1199" t="s">
        <v>59</v>
      </c>
      <c r="E1199" t="s">
        <v>25</v>
      </c>
      <c r="F1199" t="s">
        <v>61</v>
      </c>
      <c r="G1199" t="s">
        <v>332</v>
      </c>
      <c r="H1199" t="s">
        <v>8</v>
      </c>
      <c r="I1199" t="s">
        <v>1935</v>
      </c>
      <c r="J1199" t="s">
        <v>1954</v>
      </c>
      <c r="K1199" s="8">
        <v>21</v>
      </c>
    </row>
    <row r="1200" spans="1:11">
      <c r="A1200" t="s">
        <v>3138</v>
      </c>
      <c r="B1200" s="15">
        <v>45589</v>
      </c>
      <c r="C1200" s="4">
        <v>45566</v>
      </c>
      <c r="D1200" t="s">
        <v>59</v>
      </c>
      <c r="E1200" t="s">
        <v>25</v>
      </c>
      <c r="F1200" t="s">
        <v>61</v>
      </c>
      <c r="G1200" t="s">
        <v>344</v>
      </c>
      <c r="H1200" t="s">
        <v>8</v>
      </c>
      <c r="I1200" t="s">
        <v>1935</v>
      </c>
      <c r="J1200" t="s">
        <v>1936</v>
      </c>
      <c r="K1200" s="8">
        <v>33</v>
      </c>
    </row>
    <row r="1201" spans="1:11">
      <c r="A1201" t="s">
        <v>3139</v>
      </c>
      <c r="B1201" s="15">
        <v>45590</v>
      </c>
      <c r="C1201" s="4">
        <v>45566</v>
      </c>
      <c r="D1201" t="s">
        <v>59</v>
      </c>
      <c r="E1201" t="s">
        <v>25</v>
      </c>
      <c r="F1201" t="s">
        <v>61</v>
      </c>
      <c r="G1201" t="s">
        <v>332</v>
      </c>
      <c r="H1201" t="s">
        <v>8</v>
      </c>
      <c r="I1201" t="s">
        <v>1935</v>
      </c>
      <c r="J1201" t="s">
        <v>1936</v>
      </c>
      <c r="K1201" s="8">
        <v>32</v>
      </c>
    </row>
    <row r="1202" spans="1:11">
      <c r="A1202" t="s">
        <v>3140</v>
      </c>
      <c r="B1202" s="15">
        <v>45570</v>
      </c>
      <c r="C1202" s="4">
        <v>45566</v>
      </c>
      <c r="D1202" t="s">
        <v>62</v>
      </c>
      <c r="E1202" t="s">
        <v>25</v>
      </c>
      <c r="F1202" t="s">
        <v>64</v>
      </c>
      <c r="G1202" t="s">
        <v>316</v>
      </c>
      <c r="H1202" t="s">
        <v>8</v>
      </c>
      <c r="I1202" t="s">
        <v>1935</v>
      </c>
      <c r="J1202" t="s">
        <v>1936</v>
      </c>
      <c r="K1202" s="8">
        <v>34</v>
      </c>
    </row>
    <row r="1203" spans="1:11">
      <c r="A1203" t="s">
        <v>3141</v>
      </c>
      <c r="B1203" s="15">
        <v>45579</v>
      </c>
      <c r="C1203" s="4">
        <v>45566</v>
      </c>
      <c r="D1203" t="s">
        <v>62</v>
      </c>
      <c r="E1203" t="s">
        <v>25</v>
      </c>
      <c r="F1203" t="s">
        <v>64</v>
      </c>
      <c r="G1203" t="s">
        <v>340</v>
      </c>
      <c r="H1203" t="s">
        <v>8</v>
      </c>
      <c r="I1203" t="s">
        <v>1935</v>
      </c>
      <c r="J1203" t="s">
        <v>1936</v>
      </c>
      <c r="K1203" s="8">
        <v>19</v>
      </c>
    </row>
    <row r="1204" spans="1:11">
      <c r="A1204" t="s">
        <v>3142</v>
      </c>
      <c r="B1204" s="15">
        <v>45594</v>
      </c>
      <c r="C1204" s="4">
        <v>45566</v>
      </c>
      <c r="D1204" t="s">
        <v>62</v>
      </c>
      <c r="E1204" t="s">
        <v>25</v>
      </c>
      <c r="F1204" t="s">
        <v>64</v>
      </c>
      <c r="G1204" t="s">
        <v>358</v>
      </c>
      <c r="H1204" t="s">
        <v>8</v>
      </c>
      <c r="I1204" t="s">
        <v>1935</v>
      </c>
      <c r="J1204" t="s">
        <v>1936</v>
      </c>
      <c r="K1204" s="8">
        <v>31</v>
      </c>
    </row>
    <row r="1205" spans="1:11">
      <c r="A1205" t="s">
        <v>3143</v>
      </c>
      <c r="B1205" s="15">
        <v>45587</v>
      </c>
      <c r="C1205" s="4">
        <v>45566</v>
      </c>
      <c r="D1205" t="s">
        <v>62</v>
      </c>
      <c r="E1205" t="s">
        <v>25</v>
      </c>
      <c r="F1205" t="s">
        <v>64</v>
      </c>
      <c r="G1205" t="s">
        <v>322</v>
      </c>
      <c r="H1205" t="s">
        <v>8</v>
      </c>
      <c r="I1205" t="s">
        <v>1935</v>
      </c>
      <c r="J1205" t="s">
        <v>1936</v>
      </c>
      <c r="K1205" s="8">
        <v>8</v>
      </c>
    </row>
    <row r="1206" spans="1:11">
      <c r="A1206" t="s">
        <v>3144</v>
      </c>
      <c r="B1206" s="15">
        <v>45574</v>
      </c>
      <c r="C1206" s="4">
        <v>45566</v>
      </c>
      <c r="D1206" t="s">
        <v>62</v>
      </c>
      <c r="E1206" t="s">
        <v>25</v>
      </c>
      <c r="F1206" t="s">
        <v>64</v>
      </c>
      <c r="G1206" t="s">
        <v>322</v>
      </c>
      <c r="H1206" t="s">
        <v>8</v>
      </c>
      <c r="I1206" t="s">
        <v>1935</v>
      </c>
      <c r="J1206" t="s">
        <v>1936</v>
      </c>
      <c r="K1206" s="8">
        <v>8</v>
      </c>
    </row>
    <row r="1207" spans="1:11">
      <c r="A1207" t="s">
        <v>3145</v>
      </c>
      <c r="B1207" s="15">
        <v>45567</v>
      </c>
      <c r="C1207" s="4">
        <v>45566</v>
      </c>
      <c r="D1207" t="s">
        <v>62</v>
      </c>
      <c r="E1207" t="s">
        <v>25</v>
      </c>
      <c r="F1207" t="s">
        <v>64</v>
      </c>
      <c r="G1207" t="s">
        <v>328</v>
      </c>
      <c r="H1207" t="s">
        <v>5</v>
      </c>
      <c r="I1207" t="s">
        <v>1935</v>
      </c>
      <c r="J1207" t="s">
        <v>1936</v>
      </c>
      <c r="K1207" s="8">
        <v>26</v>
      </c>
    </row>
    <row r="1208" spans="1:11">
      <c r="A1208" t="s">
        <v>3146</v>
      </c>
      <c r="B1208" s="15">
        <v>45593</v>
      </c>
      <c r="C1208" s="4">
        <v>45566</v>
      </c>
      <c r="D1208" t="s">
        <v>62</v>
      </c>
      <c r="E1208" t="s">
        <v>25</v>
      </c>
      <c r="F1208" t="s">
        <v>64</v>
      </c>
      <c r="G1208" t="s">
        <v>346</v>
      </c>
      <c r="H1208" t="s">
        <v>14</v>
      </c>
      <c r="I1208" t="s">
        <v>1935</v>
      </c>
      <c r="J1208" t="s">
        <v>1936</v>
      </c>
      <c r="K1208" s="8">
        <v>33</v>
      </c>
    </row>
    <row r="1209" spans="1:11">
      <c r="A1209" t="s">
        <v>3147</v>
      </c>
      <c r="B1209" s="15">
        <v>45589</v>
      </c>
      <c r="C1209" s="4">
        <v>45566</v>
      </c>
      <c r="D1209" t="s">
        <v>62</v>
      </c>
      <c r="E1209" t="s">
        <v>25</v>
      </c>
      <c r="F1209" t="s">
        <v>64</v>
      </c>
      <c r="G1209" t="s">
        <v>358</v>
      </c>
      <c r="H1209" t="s">
        <v>8</v>
      </c>
      <c r="I1209" t="s">
        <v>1935</v>
      </c>
      <c r="J1209" t="s">
        <v>1936</v>
      </c>
      <c r="K1209" s="8">
        <v>15</v>
      </c>
    </row>
    <row r="1210" spans="1:11">
      <c r="A1210" t="s">
        <v>3148</v>
      </c>
      <c r="B1210" s="15">
        <v>45566</v>
      </c>
      <c r="C1210" s="4">
        <v>45566</v>
      </c>
      <c r="D1210" t="s">
        <v>62</v>
      </c>
      <c r="E1210" t="s">
        <v>25</v>
      </c>
      <c r="F1210" t="s">
        <v>64</v>
      </c>
      <c r="G1210" t="s">
        <v>376</v>
      </c>
      <c r="H1210" t="s">
        <v>8</v>
      </c>
      <c r="I1210" t="s">
        <v>1935</v>
      </c>
      <c r="J1210" t="s">
        <v>1936</v>
      </c>
      <c r="K1210" s="8">
        <v>28</v>
      </c>
    </row>
    <row r="1211" spans="1:11">
      <c r="A1211" t="s">
        <v>3149</v>
      </c>
      <c r="B1211" s="15">
        <v>45582</v>
      </c>
      <c r="C1211" s="4">
        <v>45566</v>
      </c>
      <c r="D1211" t="s">
        <v>65</v>
      </c>
      <c r="E1211" t="s">
        <v>25</v>
      </c>
      <c r="F1211" t="s">
        <v>67</v>
      </c>
      <c r="G1211" t="s">
        <v>372</v>
      </c>
      <c r="H1211" t="s">
        <v>5</v>
      </c>
      <c r="I1211" t="s">
        <v>1935</v>
      </c>
      <c r="J1211" t="s">
        <v>1936</v>
      </c>
      <c r="K1211" s="8">
        <v>20</v>
      </c>
    </row>
    <row r="1212" spans="1:11">
      <c r="A1212" t="s">
        <v>3150</v>
      </c>
      <c r="B1212" s="15">
        <v>45578</v>
      </c>
      <c r="C1212" s="4">
        <v>45566</v>
      </c>
      <c r="D1212" t="s">
        <v>65</v>
      </c>
      <c r="E1212" t="s">
        <v>25</v>
      </c>
      <c r="F1212" t="s">
        <v>67</v>
      </c>
      <c r="G1212" t="s">
        <v>330</v>
      </c>
      <c r="H1212" t="s">
        <v>8</v>
      </c>
      <c r="I1212" t="s">
        <v>1935</v>
      </c>
      <c r="J1212" t="s">
        <v>1936</v>
      </c>
      <c r="K1212" s="8">
        <v>16</v>
      </c>
    </row>
    <row r="1213" spans="1:11">
      <c r="A1213" t="s">
        <v>3151</v>
      </c>
      <c r="B1213" s="15">
        <v>45575</v>
      </c>
      <c r="C1213" s="4">
        <v>45566</v>
      </c>
      <c r="D1213" t="s">
        <v>65</v>
      </c>
      <c r="E1213" t="s">
        <v>25</v>
      </c>
      <c r="F1213" t="s">
        <v>67</v>
      </c>
      <c r="G1213" t="s">
        <v>348</v>
      </c>
      <c r="H1213" t="s">
        <v>11</v>
      </c>
      <c r="I1213" t="s">
        <v>1935</v>
      </c>
      <c r="J1213" t="s">
        <v>1936</v>
      </c>
      <c r="K1213" s="8">
        <v>16</v>
      </c>
    </row>
    <row r="1214" spans="1:11">
      <c r="A1214" t="s">
        <v>3152</v>
      </c>
      <c r="B1214" s="15">
        <v>45566</v>
      </c>
      <c r="C1214" s="4">
        <v>45566</v>
      </c>
      <c r="D1214" t="s">
        <v>65</v>
      </c>
      <c r="E1214" t="s">
        <v>25</v>
      </c>
      <c r="F1214" t="s">
        <v>67</v>
      </c>
      <c r="G1214" t="s">
        <v>318</v>
      </c>
      <c r="H1214" t="s">
        <v>14</v>
      </c>
      <c r="I1214" t="s">
        <v>1935</v>
      </c>
      <c r="J1214" t="s">
        <v>1936</v>
      </c>
      <c r="K1214" s="8">
        <v>16</v>
      </c>
    </row>
    <row r="1215" spans="1:11">
      <c r="A1215" t="s">
        <v>3153</v>
      </c>
      <c r="B1215" s="15">
        <v>45594</v>
      </c>
      <c r="C1215" s="4">
        <v>45566</v>
      </c>
      <c r="D1215" t="s">
        <v>65</v>
      </c>
      <c r="E1215" t="s">
        <v>25</v>
      </c>
      <c r="F1215" t="s">
        <v>67</v>
      </c>
      <c r="G1215" t="s">
        <v>318</v>
      </c>
      <c r="H1215" t="s">
        <v>14</v>
      </c>
      <c r="I1215" t="s">
        <v>1935</v>
      </c>
      <c r="J1215" t="s">
        <v>1936</v>
      </c>
      <c r="K1215" s="8">
        <v>24</v>
      </c>
    </row>
    <row r="1216" spans="1:11">
      <c r="A1216" t="s">
        <v>3154</v>
      </c>
      <c r="B1216" s="15">
        <v>45569</v>
      </c>
      <c r="C1216" s="4">
        <v>45566</v>
      </c>
      <c r="D1216" t="s">
        <v>65</v>
      </c>
      <c r="E1216" t="s">
        <v>25</v>
      </c>
      <c r="F1216" t="s">
        <v>67</v>
      </c>
      <c r="G1216" t="s">
        <v>372</v>
      </c>
      <c r="H1216" t="s">
        <v>14</v>
      </c>
      <c r="I1216" t="s">
        <v>1935</v>
      </c>
      <c r="J1216" t="s">
        <v>1936</v>
      </c>
      <c r="K1216" s="8">
        <v>29</v>
      </c>
    </row>
    <row r="1217" spans="1:11">
      <c r="A1217" t="s">
        <v>3155</v>
      </c>
      <c r="B1217" s="15">
        <v>45572</v>
      </c>
      <c r="C1217" s="4">
        <v>45566</v>
      </c>
      <c r="D1217" t="s">
        <v>65</v>
      </c>
      <c r="E1217" t="s">
        <v>25</v>
      </c>
      <c r="F1217" t="s">
        <v>67</v>
      </c>
      <c r="G1217" t="s">
        <v>318</v>
      </c>
      <c r="H1217" t="s">
        <v>8</v>
      </c>
      <c r="I1217" t="s">
        <v>1935</v>
      </c>
      <c r="J1217" t="s">
        <v>1954</v>
      </c>
      <c r="K1217" s="8">
        <v>17</v>
      </c>
    </row>
    <row r="1218" spans="1:11">
      <c r="A1218" t="s">
        <v>3156</v>
      </c>
      <c r="B1218" s="15">
        <v>45594</v>
      </c>
      <c r="C1218" s="4">
        <v>45566</v>
      </c>
      <c r="D1218" t="s">
        <v>65</v>
      </c>
      <c r="E1218" t="s">
        <v>25</v>
      </c>
      <c r="F1218" t="s">
        <v>67</v>
      </c>
      <c r="G1218" t="s">
        <v>318</v>
      </c>
      <c r="H1218" t="s">
        <v>14</v>
      </c>
      <c r="I1218" t="s">
        <v>1935</v>
      </c>
      <c r="J1218" t="s">
        <v>1938</v>
      </c>
      <c r="K1218" s="8">
        <v>13</v>
      </c>
    </row>
    <row r="1219" spans="1:11">
      <c r="A1219" t="s">
        <v>3157</v>
      </c>
      <c r="B1219" s="15">
        <v>45589</v>
      </c>
      <c r="C1219" s="4">
        <v>45566</v>
      </c>
      <c r="D1219" t="s">
        <v>65</v>
      </c>
      <c r="E1219" t="s">
        <v>25</v>
      </c>
      <c r="F1219" t="s">
        <v>67</v>
      </c>
      <c r="G1219" t="s">
        <v>348</v>
      </c>
      <c r="H1219" t="s">
        <v>11</v>
      </c>
      <c r="I1219" t="s">
        <v>1935</v>
      </c>
      <c r="J1219" t="s">
        <v>1938</v>
      </c>
      <c r="K1219" s="8">
        <v>10</v>
      </c>
    </row>
    <row r="1220" spans="1:11">
      <c r="A1220" t="s">
        <v>3158</v>
      </c>
      <c r="B1220" s="15">
        <v>45604</v>
      </c>
      <c r="C1220" s="4">
        <v>45597</v>
      </c>
      <c r="D1220" t="s">
        <v>32</v>
      </c>
      <c r="E1220" t="s">
        <v>19</v>
      </c>
      <c r="F1220" t="s">
        <v>34</v>
      </c>
      <c r="G1220" t="s">
        <v>99</v>
      </c>
      <c r="H1220" t="s">
        <v>14</v>
      </c>
      <c r="I1220" t="s">
        <v>1935</v>
      </c>
      <c r="J1220" t="s">
        <v>1936</v>
      </c>
      <c r="K1220" s="8">
        <v>8</v>
      </c>
    </row>
    <row r="1221" spans="1:11">
      <c r="A1221" t="s">
        <v>3159</v>
      </c>
      <c r="B1221" s="15">
        <v>45607</v>
      </c>
      <c r="C1221" s="4">
        <v>45597</v>
      </c>
      <c r="D1221" t="s">
        <v>32</v>
      </c>
      <c r="E1221" t="s">
        <v>19</v>
      </c>
      <c r="F1221" t="s">
        <v>34</v>
      </c>
      <c r="G1221" t="s">
        <v>142</v>
      </c>
      <c r="H1221" t="s">
        <v>8</v>
      </c>
      <c r="I1221" t="s">
        <v>1935</v>
      </c>
      <c r="J1221" t="s">
        <v>1938</v>
      </c>
      <c r="K1221" s="8">
        <v>35</v>
      </c>
    </row>
    <row r="1222" spans="1:11">
      <c r="A1222" t="s">
        <v>3160</v>
      </c>
      <c r="B1222" s="15">
        <v>45607</v>
      </c>
      <c r="C1222" s="4">
        <v>45597</v>
      </c>
      <c r="D1222" t="s">
        <v>32</v>
      </c>
      <c r="E1222" t="s">
        <v>19</v>
      </c>
      <c r="F1222" t="s">
        <v>34</v>
      </c>
      <c r="G1222" t="s">
        <v>75</v>
      </c>
      <c r="H1222" t="s">
        <v>5</v>
      </c>
      <c r="I1222" t="s">
        <v>1935</v>
      </c>
      <c r="J1222" t="s">
        <v>1938</v>
      </c>
      <c r="K1222" s="8">
        <v>17</v>
      </c>
    </row>
    <row r="1223" spans="1:11">
      <c r="A1223" t="s">
        <v>3161</v>
      </c>
      <c r="B1223" s="15">
        <v>45624</v>
      </c>
      <c r="C1223" s="4">
        <v>45597</v>
      </c>
      <c r="D1223" t="s">
        <v>32</v>
      </c>
      <c r="E1223" t="s">
        <v>19</v>
      </c>
      <c r="F1223" t="s">
        <v>34</v>
      </c>
      <c r="G1223" t="s">
        <v>130</v>
      </c>
      <c r="H1223" t="s">
        <v>14</v>
      </c>
      <c r="I1223" t="s">
        <v>1935</v>
      </c>
      <c r="J1223" t="s">
        <v>1938</v>
      </c>
      <c r="K1223" s="8">
        <v>22</v>
      </c>
    </row>
    <row r="1224" spans="1:11">
      <c r="A1224" t="s">
        <v>3162</v>
      </c>
      <c r="B1224" s="15">
        <v>45598</v>
      </c>
      <c r="C1224" s="4">
        <v>45597</v>
      </c>
      <c r="D1224" t="s">
        <v>32</v>
      </c>
      <c r="E1224" t="s">
        <v>19</v>
      </c>
      <c r="F1224" t="s">
        <v>34</v>
      </c>
      <c r="G1224" t="s">
        <v>75</v>
      </c>
      <c r="H1224" t="s">
        <v>5</v>
      </c>
      <c r="I1224" t="s">
        <v>1935</v>
      </c>
      <c r="J1224" t="s">
        <v>1936</v>
      </c>
      <c r="K1224" s="8">
        <v>17</v>
      </c>
    </row>
    <row r="1225" spans="1:11">
      <c r="A1225" t="s">
        <v>3163</v>
      </c>
      <c r="B1225" s="15">
        <v>45605</v>
      </c>
      <c r="C1225" s="4">
        <v>45597</v>
      </c>
      <c r="D1225" t="s">
        <v>32</v>
      </c>
      <c r="E1225" t="s">
        <v>19</v>
      </c>
      <c r="F1225" t="s">
        <v>34</v>
      </c>
      <c r="G1225" t="s">
        <v>75</v>
      </c>
      <c r="H1225" t="s">
        <v>5</v>
      </c>
      <c r="I1225" t="s">
        <v>1995</v>
      </c>
      <c r="J1225" t="s">
        <v>1936</v>
      </c>
      <c r="K1225" s="8">
        <v>7</v>
      </c>
    </row>
    <row r="1226" spans="1:11">
      <c r="A1226" t="s">
        <v>3164</v>
      </c>
      <c r="B1226" s="15">
        <v>45603</v>
      </c>
      <c r="C1226" s="4">
        <v>45597</v>
      </c>
      <c r="D1226" t="s">
        <v>32</v>
      </c>
      <c r="E1226" t="s">
        <v>19</v>
      </c>
      <c r="F1226" t="s">
        <v>34</v>
      </c>
      <c r="G1226" t="s">
        <v>130</v>
      </c>
      <c r="H1226" t="s">
        <v>14</v>
      </c>
      <c r="I1226" t="s">
        <v>1935</v>
      </c>
      <c r="J1226" t="s">
        <v>1936</v>
      </c>
      <c r="K1226" s="8">
        <v>34</v>
      </c>
    </row>
    <row r="1227" spans="1:11">
      <c r="A1227" t="s">
        <v>3165</v>
      </c>
      <c r="B1227" s="15">
        <v>45607</v>
      </c>
      <c r="C1227" s="4">
        <v>45597</v>
      </c>
      <c r="D1227" t="s">
        <v>32</v>
      </c>
      <c r="E1227" t="s">
        <v>19</v>
      </c>
      <c r="F1227" t="s">
        <v>34</v>
      </c>
      <c r="G1227" t="s">
        <v>136</v>
      </c>
      <c r="H1227" t="s">
        <v>8</v>
      </c>
      <c r="I1227" t="s">
        <v>1935</v>
      </c>
      <c r="J1227" t="s">
        <v>1936</v>
      </c>
      <c r="K1227" s="8">
        <v>9</v>
      </c>
    </row>
    <row r="1228" spans="1:11">
      <c r="A1228" t="s">
        <v>3166</v>
      </c>
      <c r="B1228" s="15">
        <v>45621</v>
      </c>
      <c r="C1228" s="4">
        <v>45597</v>
      </c>
      <c r="D1228" t="s">
        <v>32</v>
      </c>
      <c r="E1228" t="s">
        <v>19</v>
      </c>
      <c r="F1228" t="s">
        <v>34</v>
      </c>
      <c r="G1228" t="s">
        <v>130</v>
      </c>
      <c r="H1228" t="s">
        <v>14</v>
      </c>
      <c r="I1228" t="s">
        <v>1935</v>
      </c>
      <c r="J1228" t="s">
        <v>1936</v>
      </c>
      <c r="K1228" s="8">
        <v>24</v>
      </c>
    </row>
    <row r="1229" spans="1:11">
      <c r="A1229" t="s">
        <v>3167</v>
      </c>
      <c r="B1229" s="15">
        <v>45598</v>
      </c>
      <c r="C1229" s="4">
        <v>45597</v>
      </c>
      <c r="D1229" t="s">
        <v>32</v>
      </c>
      <c r="E1229" t="s">
        <v>19</v>
      </c>
      <c r="F1229" t="s">
        <v>34</v>
      </c>
      <c r="G1229" t="s">
        <v>130</v>
      </c>
      <c r="H1229" t="s">
        <v>14</v>
      </c>
      <c r="I1229" t="s">
        <v>1935</v>
      </c>
      <c r="J1229" t="s">
        <v>1954</v>
      </c>
      <c r="K1229" s="8">
        <v>15</v>
      </c>
    </row>
    <row r="1230" spans="1:11">
      <c r="A1230" t="s">
        <v>3168</v>
      </c>
      <c r="B1230" s="15">
        <v>45613</v>
      </c>
      <c r="C1230" s="4">
        <v>45597</v>
      </c>
      <c r="D1230" t="s">
        <v>35</v>
      </c>
      <c r="E1230" t="s">
        <v>19</v>
      </c>
      <c r="F1230" t="s">
        <v>37</v>
      </c>
      <c r="G1230" t="s">
        <v>113</v>
      </c>
      <c r="H1230" t="s">
        <v>14</v>
      </c>
      <c r="I1230" t="s">
        <v>1935</v>
      </c>
      <c r="J1230" t="s">
        <v>1936</v>
      </c>
      <c r="K1230" s="8">
        <v>13</v>
      </c>
    </row>
    <row r="1231" spans="1:11">
      <c r="A1231" t="s">
        <v>3169</v>
      </c>
      <c r="B1231" s="15">
        <v>45611</v>
      </c>
      <c r="C1231" s="4">
        <v>45597</v>
      </c>
      <c r="D1231" t="s">
        <v>35</v>
      </c>
      <c r="E1231" t="s">
        <v>19</v>
      </c>
      <c r="F1231" t="s">
        <v>37</v>
      </c>
      <c r="G1231" t="s">
        <v>78</v>
      </c>
      <c r="H1231" t="s">
        <v>8</v>
      </c>
      <c r="I1231" t="s">
        <v>1935</v>
      </c>
      <c r="J1231" t="s">
        <v>1936</v>
      </c>
      <c r="K1231" s="8">
        <v>25</v>
      </c>
    </row>
    <row r="1232" spans="1:11">
      <c r="A1232" t="s">
        <v>3170</v>
      </c>
      <c r="B1232" s="15">
        <v>45619</v>
      </c>
      <c r="C1232" s="4">
        <v>45597</v>
      </c>
      <c r="D1232" t="s">
        <v>35</v>
      </c>
      <c r="E1232" t="s">
        <v>19</v>
      </c>
      <c r="F1232" t="s">
        <v>37</v>
      </c>
      <c r="G1232" t="s">
        <v>107</v>
      </c>
      <c r="H1232" t="s">
        <v>8</v>
      </c>
      <c r="I1232" t="s">
        <v>1935</v>
      </c>
      <c r="J1232" t="s">
        <v>1936</v>
      </c>
      <c r="K1232" s="8">
        <v>16</v>
      </c>
    </row>
    <row r="1233" spans="1:11">
      <c r="A1233" t="s">
        <v>3171</v>
      </c>
      <c r="B1233" s="15">
        <v>45621</v>
      </c>
      <c r="C1233" s="4">
        <v>45597</v>
      </c>
      <c r="D1233" t="s">
        <v>35</v>
      </c>
      <c r="E1233" t="s">
        <v>19</v>
      </c>
      <c r="F1233" t="s">
        <v>37</v>
      </c>
      <c r="G1233" t="s">
        <v>88</v>
      </c>
      <c r="H1233" t="s">
        <v>8</v>
      </c>
      <c r="I1233" t="s">
        <v>1935</v>
      </c>
      <c r="J1233" t="s">
        <v>1936</v>
      </c>
      <c r="K1233" s="8">
        <v>9</v>
      </c>
    </row>
    <row r="1234" spans="1:11">
      <c r="A1234" t="s">
        <v>3172</v>
      </c>
      <c r="B1234" s="15">
        <v>45619</v>
      </c>
      <c r="C1234" s="4">
        <v>45597</v>
      </c>
      <c r="D1234" t="s">
        <v>35</v>
      </c>
      <c r="E1234" t="s">
        <v>19</v>
      </c>
      <c r="F1234" t="s">
        <v>37</v>
      </c>
      <c r="G1234" t="s">
        <v>101</v>
      </c>
      <c r="H1234" t="s">
        <v>5</v>
      </c>
      <c r="I1234" t="s">
        <v>1935</v>
      </c>
      <c r="J1234" t="s">
        <v>1954</v>
      </c>
      <c r="K1234" s="8">
        <v>15</v>
      </c>
    </row>
    <row r="1235" spans="1:11">
      <c r="A1235" t="s">
        <v>3173</v>
      </c>
      <c r="B1235" s="15">
        <v>45615</v>
      </c>
      <c r="C1235" s="4">
        <v>45597</v>
      </c>
      <c r="D1235" t="s">
        <v>35</v>
      </c>
      <c r="E1235" t="s">
        <v>19</v>
      </c>
      <c r="F1235" t="s">
        <v>37</v>
      </c>
      <c r="G1235" t="s">
        <v>78</v>
      </c>
      <c r="H1235" t="s">
        <v>8</v>
      </c>
      <c r="I1235" t="s">
        <v>1935</v>
      </c>
      <c r="J1235" t="s">
        <v>1938</v>
      </c>
      <c r="K1235" s="8">
        <v>19</v>
      </c>
    </row>
    <row r="1236" spans="1:11">
      <c r="A1236" t="s">
        <v>3174</v>
      </c>
      <c r="B1236" s="15">
        <v>45620</v>
      </c>
      <c r="C1236" s="4">
        <v>45597</v>
      </c>
      <c r="D1236" t="s">
        <v>35</v>
      </c>
      <c r="E1236" t="s">
        <v>19</v>
      </c>
      <c r="F1236" t="s">
        <v>37</v>
      </c>
      <c r="G1236" t="s">
        <v>138</v>
      </c>
      <c r="H1236" t="s">
        <v>11</v>
      </c>
      <c r="I1236" t="s">
        <v>1935</v>
      </c>
      <c r="J1236" t="s">
        <v>1936</v>
      </c>
      <c r="K1236" s="8">
        <v>16</v>
      </c>
    </row>
    <row r="1237" spans="1:11">
      <c r="A1237" t="s">
        <v>3175</v>
      </c>
      <c r="B1237" s="15">
        <v>45625</v>
      </c>
      <c r="C1237" s="4">
        <v>45597</v>
      </c>
      <c r="D1237" t="s">
        <v>35</v>
      </c>
      <c r="E1237" t="s">
        <v>19</v>
      </c>
      <c r="F1237" t="s">
        <v>37</v>
      </c>
      <c r="G1237" t="s">
        <v>101</v>
      </c>
      <c r="H1237" t="s">
        <v>8</v>
      </c>
      <c r="I1237" t="s">
        <v>1935</v>
      </c>
      <c r="J1237" t="s">
        <v>1936</v>
      </c>
      <c r="K1237" s="8">
        <v>11</v>
      </c>
    </row>
    <row r="1238" spans="1:11">
      <c r="A1238" t="s">
        <v>3176</v>
      </c>
      <c r="B1238" s="15">
        <v>45626</v>
      </c>
      <c r="C1238" s="4">
        <v>45597</v>
      </c>
      <c r="D1238" t="s">
        <v>35</v>
      </c>
      <c r="E1238" t="s">
        <v>19</v>
      </c>
      <c r="F1238" t="s">
        <v>37</v>
      </c>
      <c r="G1238" t="s">
        <v>138</v>
      </c>
      <c r="H1238" t="s">
        <v>11</v>
      </c>
      <c r="I1238" t="s">
        <v>1935</v>
      </c>
      <c r="J1238" t="s">
        <v>1936</v>
      </c>
      <c r="K1238" s="8">
        <v>30</v>
      </c>
    </row>
    <row r="1239" spans="1:11">
      <c r="A1239" t="s">
        <v>3177</v>
      </c>
      <c r="B1239" s="15">
        <v>45620</v>
      </c>
      <c r="C1239" s="4">
        <v>45597</v>
      </c>
      <c r="D1239" t="s">
        <v>35</v>
      </c>
      <c r="E1239" t="s">
        <v>19</v>
      </c>
      <c r="F1239" t="s">
        <v>37</v>
      </c>
      <c r="G1239" t="s">
        <v>107</v>
      </c>
      <c r="H1239" t="s">
        <v>8</v>
      </c>
      <c r="I1239" t="s">
        <v>1935</v>
      </c>
      <c r="J1239" t="s">
        <v>1936</v>
      </c>
      <c r="K1239" s="8">
        <v>23</v>
      </c>
    </row>
    <row r="1240" spans="1:11">
      <c r="A1240" t="s">
        <v>3178</v>
      </c>
      <c r="B1240" s="15">
        <v>45621</v>
      </c>
      <c r="C1240" s="4">
        <v>45597</v>
      </c>
      <c r="D1240" t="s">
        <v>35</v>
      </c>
      <c r="E1240" t="s">
        <v>19</v>
      </c>
      <c r="F1240" t="s">
        <v>37</v>
      </c>
      <c r="G1240" t="s">
        <v>88</v>
      </c>
      <c r="H1240" t="s">
        <v>8</v>
      </c>
      <c r="I1240" t="s">
        <v>1935</v>
      </c>
      <c r="J1240" t="s">
        <v>1954</v>
      </c>
      <c r="K1240" s="8">
        <v>21</v>
      </c>
    </row>
    <row r="1241" spans="1:11">
      <c r="A1241" t="s">
        <v>3179</v>
      </c>
      <c r="B1241" s="15">
        <v>45602</v>
      </c>
      <c r="C1241" s="4">
        <v>45597</v>
      </c>
      <c r="D1241" t="s">
        <v>35</v>
      </c>
      <c r="E1241" t="s">
        <v>19</v>
      </c>
      <c r="F1241" t="s">
        <v>37</v>
      </c>
      <c r="G1241" t="s">
        <v>101</v>
      </c>
      <c r="H1241" t="s">
        <v>8</v>
      </c>
      <c r="I1241" t="s">
        <v>1935</v>
      </c>
      <c r="J1241" t="s">
        <v>1936</v>
      </c>
      <c r="K1241" s="8">
        <v>30</v>
      </c>
    </row>
    <row r="1242" spans="1:11">
      <c r="A1242" t="s">
        <v>3180</v>
      </c>
      <c r="B1242" s="15">
        <v>45615</v>
      </c>
      <c r="C1242" s="4">
        <v>45597</v>
      </c>
      <c r="D1242" t="s">
        <v>35</v>
      </c>
      <c r="E1242" t="s">
        <v>19</v>
      </c>
      <c r="F1242" t="s">
        <v>37</v>
      </c>
      <c r="G1242" t="s">
        <v>88</v>
      </c>
      <c r="H1242" t="s">
        <v>8</v>
      </c>
      <c r="I1242" t="s">
        <v>1935</v>
      </c>
      <c r="J1242" t="s">
        <v>1936</v>
      </c>
      <c r="K1242" s="8">
        <v>17</v>
      </c>
    </row>
    <row r="1243" spans="1:11">
      <c r="A1243" t="s">
        <v>3181</v>
      </c>
      <c r="B1243" s="15">
        <v>45605</v>
      </c>
      <c r="C1243" s="4">
        <v>45597</v>
      </c>
      <c r="D1243" t="s">
        <v>38</v>
      </c>
      <c r="E1243" t="s">
        <v>19</v>
      </c>
      <c r="F1243" t="s">
        <v>40</v>
      </c>
      <c r="G1243" t="s">
        <v>82</v>
      </c>
      <c r="H1243" t="s">
        <v>5</v>
      </c>
      <c r="I1243" t="s">
        <v>1935</v>
      </c>
      <c r="J1243" t="s">
        <v>1938</v>
      </c>
      <c r="K1243" s="8">
        <v>32</v>
      </c>
    </row>
    <row r="1244" spans="1:11">
      <c r="A1244" t="s">
        <v>3182</v>
      </c>
      <c r="B1244" s="15">
        <v>45620</v>
      </c>
      <c r="C1244" s="4">
        <v>45597</v>
      </c>
      <c r="D1244" t="s">
        <v>38</v>
      </c>
      <c r="E1244" t="s">
        <v>19</v>
      </c>
      <c r="F1244" t="s">
        <v>40</v>
      </c>
      <c r="G1244" t="s">
        <v>103</v>
      </c>
      <c r="H1244" t="s">
        <v>5</v>
      </c>
      <c r="I1244" t="s">
        <v>1935</v>
      </c>
      <c r="J1244" t="s">
        <v>1936</v>
      </c>
      <c r="K1244" s="8">
        <v>17</v>
      </c>
    </row>
    <row r="1245" spans="1:11">
      <c r="A1245" t="s">
        <v>3183</v>
      </c>
      <c r="B1245" s="15">
        <v>45609</v>
      </c>
      <c r="C1245" s="4">
        <v>45597</v>
      </c>
      <c r="D1245" t="s">
        <v>38</v>
      </c>
      <c r="E1245" t="s">
        <v>19</v>
      </c>
      <c r="F1245" t="s">
        <v>40</v>
      </c>
      <c r="G1245" t="s">
        <v>134</v>
      </c>
      <c r="H1245" t="s">
        <v>5</v>
      </c>
      <c r="I1245" t="s">
        <v>1935</v>
      </c>
      <c r="J1245" t="s">
        <v>1936</v>
      </c>
      <c r="K1245" s="8">
        <v>16</v>
      </c>
    </row>
    <row r="1246" spans="1:11">
      <c r="A1246" t="s">
        <v>3184</v>
      </c>
      <c r="B1246" s="15">
        <v>45621</v>
      </c>
      <c r="C1246" s="4">
        <v>45597</v>
      </c>
      <c r="D1246" t="s">
        <v>38</v>
      </c>
      <c r="E1246" t="s">
        <v>19</v>
      </c>
      <c r="F1246" t="s">
        <v>40</v>
      </c>
      <c r="G1246" t="s">
        <v>90</v>
      </c>
      <c r="H1246" t="s">
        <v>5</v>
      </c>
      <c r="I1246" t="s">
        <v>1995</v>
      </c>
      <c r="J1246" t="s">
        <v>1936</v>
      </c>
      <c r="K1246" s="8">
        <v>2</v>
      </c>
    </row>
    <row r="1247" spans="1:11">
      <c r="A1247" t="s">
        <v>3185</v>
      </c>
      <c r="B1247" s="15">
        <v>45620</v>
      </c>
      <c r="C1247" s="4">
        <v>45597</v>
      </c>
      <c r="D1247" t="s">
        <v>38</v>
      </c>
      <c r="E1247" t="s">
        <v>19</v>
      </c>
      <c r="F1247" t="s">
        <v>40</v>
      </c>
      <c r="G1247" t="s">
        <v>96</v>
      </c>
      <c r="H1247" t="s">
        <v>11</v>
      </c>
      <c r="I1247" t="s">
        <v>1935</v>
      </c>
      <c r="J1247" t="s">
        <v>1936</v>
      </c>
      <c r="K1247" s="8">
        <v>13</v>
      </c>
    </row>
    <row r="1248" spans="1:11">
      <c r="A1248" t="s">
        <v>3186</v>
      </c>
      <c r="B1248" s="15">
        <v>45601</v>
      </c>
      <c r="C1248" s="4">
        <v>45597</v>
      </c>
      <c r="D1248" t="s">
        <v>38</v>
      </c>
      <c r="E1248" t="s">
        <v>19</v>
      </c>
      <c r="F1248" t="s">
        <v>40</v>
      </c>
      <c r="G1248" t="s">
        <v>115</v>
      </c>
      <c r="H1248" t="s">
        <v>5</v>
      </c>
      <c r="I1248" t="s">
        <v>1935</v>
      </c>
      <c r="J1248" t="s">
        <v>1936</v>
      </c>
      <c r="K1248" s="8">
        <v>30</v>
      </c>
    </row>
    <row r="1249" spans="1:11">
      <c r="A1249" t="s">
        <v>3187</v>
      </c>
      <c r="B1249" s="15">
        <v>45606</v>
      </c>
      <c r="C1249" s="4">
        <v>45597</v>
      </c>
      <c r="D1249" t="s">
        <v>38</v>
      </c>
      <c r="E1249" t="s">
        <v>19</v>
      </c>
      <c r="F1249" t="s">
        <v>40</v>
      </c>
      <c r="G1249" t="s">
        <v>109</v>
      </c>
      <c r="H1249" t="s">
        <v>11</v>
      </c>
      <c r="I1249" t="s">
        <v>1935</v>
      </c>
      <c r="J1249" t="s">
        <v>1938</v>
      </c>
      <c r="K1249" s="8">
        <v>29</v>
      </c>
    </row>
    <row r="1250" spans="1:11">
      <c r="A1250" t="s">
        <v>3188</v>
      </c>
      <c r="B1250" s="15">
        <v>45613</v>
      </c>
      <c r="C1250" s="4">
        <v>45597</v>
      </c>
      <c r="D1250" t="s">
        <v>38</v>
      </c>
      <c r="E1250" t="s">
        <v>19</v>
      </c>
      <c r="F1250" t="s">
        <v>40</v>
      </c>
      <c r="G1250" t="s">
        <v>82</v>
      </c>
      <c r="H1250" t="s">
        <v>8</v>
      </c>
      <c r="I1250" t="s">
        <v>1935</v>
      </c>
      <c r="J1250" t="s">
        <v>1936</v>
      </c>
      <c r="K1250" s="8">
        <v>25</v>
      </c>
    </row>
    <row r="1251" spans="1:11">
      <c r="A1251" t="s">
        <v>3189</v>
      </c>
      <c r="B1251" s="15">
        <v>45606</v>
      </c>
      <c r="C1251" s="4">
        <v>45597</v>
      </c>
      <c r="D1251" t="s">
        <v>38</v>
      </c>
      <c r="E1251" t="s">
        <v>19</v>
      </c>
      <c r="F1251" t="s">
        <v>40</v>
      </c>
      <c r="G1251" t="s">
        <v>82</v>
      </c>
      <c r="H1251" t="s">
        <v>5</v>
      </c>
      <c r="I1251" t="s">
        <v>1935</v>
      </c>
      <c r="J1251" t="s">
        <v>1936</v>
      </c>
      <c r="K1251" s="8">
        <v>33</v>
      </c>
    </row>
    <row r="1252" spans="1:11">
      <c r="A1252" t="s">
        <v>3190</v>
      </c>
      <c r="B1252" s="15">
        <v>45604</v>
      </c>
      <c r="C1252" s="4">
        <v>45597</v>
      </c>
      <c r="D1252" t="s">
        <v>41</v>
      </c>
      <c r="E1252" t="s">
        <v>21</v>
      </c>
      <c r="F1252" t="s">
        <v>43</v>
      </c>
      <c r="G1252" t="s">
        <v>232</v>
      </c>
      <c r="H1252" t="s">
        <v>11</v>
      </c>
      <c r="I1252" t="s">
        <v>1935</v>
      </c>
      <c r="J1252" t="s">
        <v>1936</v>
      </c>
      <c r="K1252" s="8">
        <v>8</v>
      </c>
    </row>
    <row r="1253" spans="1:11">
      <c r="A1253" t="s">
        <v>3191</v>
      </c>
      <c r="B1253" s="15">
        <v>45606</v>
      </c>
      <c r="C1253" s="4">
        <v>45597</v>
      </c>
      <c r="D1253" t="s">
        <v>41</v>
      </c>
      <c r="E1253" t="s">
        <v>21</v>
      </c>
      <c r="F1253" t="s">
        <v>43</v>
      </c>
      <c r="G1253" t="s">
        <v>196</v>
      </c>
      <c r="H1253" t="s">
        <v>8</v>
      </c>
      <c r="I1253" t="s">
        <v>1935</v>
      </c>
      <c r="J1253" t="s">
        <v>1936</v>
      </c>
      <c r="K1253" s="8">
        <v>28</v>
      </c>
    </row>
    <row r="1254" spans="1:11">
      <c r="A1254" t="s">
        <v>3192</v>
      </c>
      <c r="B1254" s="15">
        <v>45604</v>
      </c>
      <c r="C1254" s="4">
        <v>45597</v>
      </c>
      <c r="D1254" t="s">
        <v>41</v>
      </c>
      <c r="E1254" t="s">
        <v>21</v>
      </c>
      <c r="F1254" t="s">
        <v>43</v>
      </c>
      <c r="G1254" t="s">
        <v>190</v>
      </c>
      <c r="H1254" t="s">
        <v>8</v>
      </c>
      <c r="I1254" t="s">
        <v>1935</v>
      </c>
      <c r="J1254" t="s">
        <v>1936</v>
      </c>
      <c r="K1254" s="8">
        <v>15</v>
      </c>
    </row>
    <row r="1255" spans="1:11">
      <c r="A1255" t="s">
        <v>3193</v>
      </c>
      <c r="B1255" s="15">
        <v>45597</v>
      </c>
      <c r="C1255" s="4">
        <v>45597</v>
      </c>
      <c r="D1255" t="s">
        <v>41</v>
      </c>
      <c r="E1255" t="s">
        <v>21</v>
      </c>
      <c r="F1255" t="s">
        <v>43</v>
      </c>
      <c r="G1255" t="s">
        <v>208</v>
      </c>
      <c r="H1255" t="s">
        <v>11</v>
      </c>
      <c r="I1255" t="s">
        <v>1942</v>
      </c>
      <c r="J1255" t="s">
        <v>1954</v>
      </c>
      <c r="K1255" s="8">
        <v>0</v>
      </c>
    </row>
    <row r="1256" spans="1:11">
      <c r="A1256" t="s">
        <v>3194</v>
      </c>
      <c r="B1256" s="15">
        <v>45618</v>
      </c>
      <c r="C1256" s="4">
        <v>45597</v>
      </c>
      <c r="D1256" t="s">
        <v>41</v>
      </c>
      <c r="E1256" t="s">
        <v>21</v>
      </c>
      <c r="F1256" t="s">
        <v>43</v>
      </c>
      <c r="G1256" t="s">
        <v>220</v>
      </c>
      <c r="H1256" t="s">
        <v>11</v>
      </c>
      <c r="I1256" t="s">
        <v>1935</v>
      </c>
      <c r="J1256" t="s">
        <v>1938</v>
      </c>
      <c r="K1256" s="8">
        <v>11</v>
      </c>
    </row>
    <row r="1257" spans="1:11">
      <c r="A1257" t="s">
        <v>3195</v>
      </c>
      <c r="B1257" s="15">
        <v>45599</v>
      </c>
      <c r="C1257" s="4">
        <v>45597</v>
      </c>
      <c r="D1257" t="s">
        <v>41</v>
      </c>
      <c r="E1257" t="s">
        <v>21</v>
      </c>
      <c r="F1257" t="s">
        <v>43</v>
      </c>
      <c r="G1257" t="s">
        <v>220</v>
      </c>
      <c r="H1257" t="s">
        <v>11</v>
      </c>
      <c r="I1257" t="s">
        <v>1935</v>
      </c>
      <c r="J1257" t="s">
        <v>1936</v>
      </c>
      <c r="K1257" s="8">
        <v>11</v>
      </c>
    </row>
    <row r="1258" spans="1:11">
      <c r="A1258" t="s">
        <v>3196</v>
      </c>
      <c r="B1258" s="15">
        <v>45624</v>
      </c>
      <c r="C1258" s="4">
        <v>45597</v>
      </c>
      <c r="D1258" t="s">
        <v>41</v>
      </c>
      <c r="E1258" t="s">
        <v>21</v>
      </c>
      <c r="F1258" t="s">
        <v>43</v>
      </c>
      <c r="G1258" t="s">
        <v>232</v>
      </c>
      <c r="H1258" t="s">
        <v>11</v>
      </c>
      <c r="I1258" t="s">
        <v>1935</v>
      </c>
      <c r="J1258" t="s">
        <v>1938</v>
      </c>
      <c r="K1258" s="8">
        <v>11</v>
      </c>
    </row>
    <row r="1259" spans="1:11">
      <c r="A1259" t="s">
        <v>3197</v>
      </c>
      <c r="B1259" s="15">
        <v>45612</v>
      </c>
      <c r="C1259" s="4">
        <v>45597</v>
      </c>
      <c r="D1259" t="s">
        <v>41</v>
      </c>
      <c r="E1259" t="s">
        <v>21</v>
      </c>
      <c r="F1259" t="s">
        <v>43</v>
      </c>
      <c r="G1259" t="s">
        <v>202</v>
      </c>
      <c r="H1259" t="s">
        <v>11</v>
      </c>
      <c r="I1259" t="s">
        <v>1935</v>
      </c>
      <c r="J1259" t="s">
        <v>1936</v>
      </c>
      <c r="K1259" s="8">
        <v>13</v>
      </c>
    </row>
    <row r="1260" spans="1:11">
      <c r="A1260" t="s">
        <v>3198</v>
      </c>
      <c r="B1260" s="15">
        <v>45617</v>
      </c>
      <c r="C1260" s="4">
        <v>45597</v>
      </c>
      <c r="D1260" t="s">
        <v>41</v>
      </c>
      <c r="E1260" t="s">
        <v>21</v>
      </c>
      <c r="F1260" t="s">
        <v>43</v>
      </c>
      <c r="G1260" t="s">
        <v>220</v>
      </c>
      <c r="H1260" t="s">
        <v>11</v>
      </c>
      <c r="I1260" t="s">
        <v>1935</v>
      </c>
      <c r="J1260" t="s">
        <v>1936</v>
      </c>
      <c r="K1260" s="8">
        <v>34</v>
      </c>
    </row>
    <row r="1261" spans="1:11">
      <c r="A1261" t="s">
        <v>3199</v>
      </c>
      <c r="B1261" s="15">
        <v>45600</v>
      </c>
      <c r="C1261" s="4">
        <v>45597</v>
      </c>
      <c r="D1261" t="s">
        <v>41</v>
      </c>
      <c r="E1261" t="s">
        <v>21</v>
      </c>
      <c r="F1261" t="s">
        <v>43</v>
      </c>
      <c r="G1261" t="s">
        <v>214</v>
      </c>
      <c r="H1261" t="s">
        <v>8</v>
      </c>
      <c r="I1261" t="s">
        <v>1935</v>
      </c>
      <c r="J1261" t="s">
        <v>1936</v>
      </c>
      <c r="K1261" s="8">
        <v>9</v>
      </c>
    </row>
    <row r="1262" spans="1:11">
      <c r="A1262" t="s">
        <v>3200</v>
      </c>
      <c r="B1262" s="15">
        <v>45622</v>
      </c>
      <c r="C1262" s="4">
        <v>45597</v>
      </c>
      <c r="D1262" t="s">
        <v>44</v>
      </c>
      <c r="E1262" t="s">
        <v>21</v>
      </c>
      <c r="F1262" t="s">
        <v>46</v>
      </c>
      <c r="G1262" t="s">
        <v>210</v>
      </c>
      <c r="H1262" t="s">
        <v>11</v>
      </c>
      <c r="I1262" t="s">
        <v>1935</v>
      </c>
      <c r="J1262" t="s">
        <v>1936</v>
      </c>
      <c r="K1262" s="8">
        <v>8</v>
      </c>
    </row>
    <row r="1263" spans="1:11">
      <c r="A1263" t="s">
        <v>3201</v>
      </c>
      <c r="B1263" s="15">
        <v>45612</v>
      </c>
      <c r="C1263" s="4">
        <v>45597</v>
      </c>
      <c r="D1263" t="s">
        <v>44</v>
      </c>
      <c r="E1263" t="s">
        <v>21</v>
      </c>
      <c r="F1263" t="s">
        <v>46</v>
      </c>
      <c r="G1263" t="s">
        <v>198</v>
      </c>
      <c r="H1263" t="s">
        <v>11</v>
      </c>
      <c r="I1263" t="s">
        <v>1935</v>
      </c>
      <c r="J1263" t="s">
        <v>1936</v>
      </c>
      <c r="K1263" s="8">
        <v>25</v>
      </c>
    </row>
    <row r="1264" spans="1:11">
      <c r="A1264" t="s">
        <v>3202</v>
      </c>
      <c r="B1264" s="15">
        <v>45601</v>
      </c>
      <c r="C1264" s="4">
        <v>45597</v>
      </c>
      <c r="D1264" t="s">
        <v>44</v>
      </c>
      <c r="E1264" t="s">
        <v>21</v>
      </c>
      <c r="F1264" t="s">
        <v>46</v>
      </c>
      <c r="G1264" t="s">
        <v>168</v>
      </c>
      <c r="H1264" t="s">
        <v>5</v>
      </c>
      <c r="I1264" t="s">
        <v>1935</v>
      </c>
      <c r="J1264" t="s">
        <v>1936</v>
      </c>
      <c r="K1264" s="8">
        <v>19</v>
      </c>
    </row>
    <row r="1265" spans="1:11">
      <c r="A1265" t="s">
        <v>3203</v>
      </c>
      <c r="B1265" s="15">
        <v>45618</v>
      </c>
      <c r="C1265" s="4">
        <v>45597</v>
      </c>
      <c r="D1265" t="s">
        <v>44</v>
      </c>
      <c r="E1265" t="s">
        <v>21</v>
      </c>
      <c r="F1265" t="s">
        <v>46</v>
      </c>
      <c r="G1265" t="s">
        <v>204</v>
      </c>
      <c r="H1265" t="s">
        <v>5</v>
      </c>
      <c r="I1265" t="s">
        <v>1935</v>
      </c>
      <c r="J1265" t="s">
        <v>1936</v>
      </c>
      <c r="K1265" s="8">
        <v>10</v>
      </c>
    </row>
    <row r="1266" spans="1:11">
      <c r="A1266" t="s">
        <v>3204</v>
      </c>
      <c r="B1266" s="15">
        <v>45608</v>
      </c>
      <c r="C1266" s="4">
        <v>45597</v>
      </c>
      <c r="D1266" t="s">
        <v>44</v>
      </c>
      <c r="E1266" t="s">
        <v>21</v>
      </c>
      <c r="F1266" t="s">
        <v>46</v>
      </c>
      <c r="G1266" t="s">
        <v>204</v>
      </c>
      <c r="H1266" t="s">
        <v>5</v>
      </c>
      <c r="I1266" t="s">
        <v>1935</v>
      </c>
      <c r="J1266" t="s">
        <v>1936</v>
      </c>
      <c r="K1266" s="8">
        <v>19</v>
      </c>
    </row>
    <row r="1267" spans="1:11">
      <c r="A1267" t="s">
        <v>3205</v>
      </c>
      <c r="B1267" s="15">
        <v>45605</v>
      </c>
      <c r="C1267" s="4">
        <v>45597</v>
      </c>
      <c r="D1267" t="s">
        <v>44</v>
      </c>
      <c r="E1267" t="s">
        <v>21</v>
      </c>
      <c r="F1267" t="s">
        <v>46</v>
      </c>
      <c r="G1267" t="s">
        <v>222</v>
      </c>
      <c r="H1267" t="s">
        <v>5</v>
      </c>
      <c r="I1267" t="s">
        <v>1935</v>
      </c>
      <c r="J1267" t="s">
        <v>1936</v>
      </c>
      <c r="K1267" s="8">
        <v>32</v>
      </c>
    </row>
    <row r="1268" spans="1:11">
      <c r="A1268" t="s">
        <v>3206</v>
      </c>
      <c r="B1268" s="15">
        <v>45623</v>
      </c>
      <c r="C1268" s="4">
        <v>45597</v>
      </c>
      <c r="D1268" t="s">
        <v>44</v>
      </c>
      <c r="E1268" t="s">
        <v>21</v>
      </c>
      <c r="F1268" t="s">
        <v>46</v>
      </c>
      <c r="G1268" t="s">
        <v>228</v>
      </c>
      <c r="H1268" t="s">
        <v>11</v>
      </c>
      <c r="I1268" t="s">
        <v>1995</v>
      </c>
      <c r="J1268" t="s">
        <v>1936</v>
      </c>
      <c r="K1268" s="8">
        <v>2</v>
      </c>
    </row>
    <row r="1269" spans="1:11">
      <c r="A1269" t="s">
        <v>3207</v>
      </c>
      <c r="B1269" s="15">
        <v>45601</v>
      </c>
      <c r="C1269" s="4">
        <v>45597</v>
      </c>
      <c r="D1269" t="s">
        <v>44</v>
      </c>
      <c r="E1269" t="s">
        <v>21</v>
      </c>
      <c r="F1269" t="s">
        <v>46</v>
      </c>
      <c r="G1269" t="s">
        <v>186</v>
      </c>
      <c r="H1269" t="s">
        <v>8</v>
      </c>
      <c r="I1269" t="s">
        <v>1935</v>
      </c>
      <c r="J1269" t="s">
        <v>1936</v>
      </c>
      <c r="K1269" s="8">
        <v>9</v>
      </c>
    </row>
    <row r="1270" spans="1:11">
      <c r="A1270" t="s">
        <v>3208</v>
      </c>
      <c r="B1270" s="15">
        <v>45597</v>
      </c>
      <c r="C1270" s="4">
        <v>45597</v>
      </c>
      <c r="D1270" t="s">
        <v>44</v>
      </c>
      <c r="E1270" t="s">
        <v>21</v>
      </c>
      <c r="F1270" t="s">
        <v>46</v>
      </c>
      <c r="G1270" t="s">
        <v>234</v>
      </c>
      <c r="H1270" t="s">
        <v>5</v>
      </c>
      <c r="I1270" t="s">
        <v>1935</v>
      </c>
      <c r="J1270" t="s">
        <v>1936</v>
      </c>
      <c r="K1270" s="8">
        <v>10</v>
      </c>
    </row>
    <row r="1271" spans="1:11">
      <c r="A1271" t="s">
        <v>3209</v>
      </c>
      <c r="B1271" s="15">
        <v>45606</v>
      </c>
      <c r="C1271" s="4">
        <v>45597</v>
      </c>
      <c r="D1271" t="s">
        <v>44</v>
      </c>
      <c r="E1271" t="s">
        <v>21</v>
      </c>
      <c r="F1271" t="s">
        <v>46</v>
      </c>
      <c r="G1271" t="s">
        <v>186</v>
      </c>
      <c r="H1271" t="s">
        <v>8</v>
      </c>
      <c r="I1271" t="s">
        <v>1935</v>
      </c>
      <c r="J1271" t="s">
        <v>1936</v>
      </c>
      <c r="K1271" s="8">
        <v>10</v>
      </c>
    </row>
    <row r="1272" spans="1:11">
      <c r="A1272" t="s">
        <v>3210</v>
      </c>
      <c r="B1272" s="15">
        <v>45623</v>
      </c>
      <c r="C1272" s="4">
        <v>45597</v>
      </c>
      <c r="D1272" t="s">
        <v>47</v>
      </c>
      <c r="E1272" t="s">
        <v>21</v>
      </c>
      <c r="F1272" t="s">
        <v>49</v>
      </c>
      <c r="G1272" t="s">
        <v>182</v>
      </c>
      <c r="H1272" t="s">
        <v>8</v>
      </c>
      <c r="I1272" t="s">
        <v>1935</v>
      </c>
      <c r="J1272" t="s">
        <v>1954</v>
      </c>
      <c r="K1272" s="8">
        <v>16</v>
      </c>
    </row>
    <row r="1273" spans="1:11">
      <c r="A1273" t="s">
        <v>3211</v>
      </c>
      <c r="B1273" s="15">
        <v>45605</v>
      </c>
      <c r="C1273" s="4">
        <v>45597</v>
      </c>
      <c r="D1273" t="s">
        <v>47</v>
      </c>
      <c r="E1273" t="s">
        <v>21</v>
      </c>
      <c r="F1273" t="s">
        <v>49</v>
      </c>
      <c r="G1273" t="s">
        <v>236</v>
      </c>
      <c r="H1273" t="s">
        <v>5</v>
      </c>
      <c r="I1273" t="s">
        <v>1935</v>
      </c>
      <c r="J1273" t="s">
        <v>1936</v>
      </c>
      <c r="K1273" s="8">
        <v>18</v>
      </c>
    </row>
    <row r="1274" spans="1:11">
      <c r="A1274" t="s">
        <v>3212</v>
      </c>
      <c r="B1274" s="15">
        <v>45619</v>
      </c>
      <c r="C1274" s="4">
        <v>45597</v>
      </c>
      <c r="D1274" t="s">
        <v>47</v>
      </c>
      <c r="E1274" t="s">
        <v>21</v>
      </c>
      <c r="F1274" t="s">
        <v>49</v>
      </c>
      <c r="G1274" t="s">
        <v>200</v>
      </c>
      <c r="H1274" t="s">
        <v>5</v>
      </c>
      <c r="I1274" t="s">
        <v>1935</v>
      </c>
      <c r="J1274" t="s">
        <v>1936</v>
      </c>
      <c r="K1274" s="8">
        <v>22</v>
      </c>
    </row>
    <row r="1275" spans="1:11">
      <c r="A1275" t="s">
        <v>3213</v>
      </c>
      <c r="B1275" s="15">
        <v>45621</v>
      </c>
      <c r="C1275" s="4">
        <v>45597</v>
      </c>
      <c r="D1275" t="s">
        <v>47</v>
      </c>
      <c r="E1275" t="s">
        <v>21</v>
      </c>
      <c r="F1275" t="s">
        <v>49</v>
      </c>
      <c r="G1275" t="s">
        <v>188</v>
      </c>
      <c r="H1275" t="s">
        <v>14</v>
      </c>
      <c r="I1275" t="s">
        <v>1935</v>
      </c>
      <c r="J1275" t="s">
        <v>1936</v>
      </c>
      <c r="K1275" s="8">
        <v>28</v>
      </c>
    </row>
    <row r="1276" spans="1:11">
      <c r="A1276" t="s">
        <v>3214</v>
      </c>
      <c r="B1276" s="15">
        <v>45603</v>
      </c>
      <c r="C1276" s="4">
        <v>45597</v>
      </c>
      <c r="D1276" t="s">
        <v>47</v>
      </c>
      <c r="E1276" t="s">
        <v>21</v>
      </c>
      <c r="F1276" t="s">
        <v>49</v>
      </c>
      <c r="G1276" t="s">
        <v>218</v>
      </c>
      <c r="H1276" t="s">
        <v>11</v>
      </c>
      <c r="I1276" t="s">
        <v>1935</v>
      </c>
      <c r="J1276" t="s">
        <v>1936</v>
      </c>
      <c r="K1276" s="8">
        <v>34</v>
      </c>
    </row>
    <row r="1277" spans="1:11">
      <c r="A1277" t="s">
        <v>3215</v>
      </c>
      <c r="B1277" s="15">
        <v>45611</v>
      </c>
      <c r="C1277" s="4">
        <v>45597</v>
      </c>
      <c r="D1277" t="s">
        <v>47</v>
      </c>
      <c r="E1277" t="s">
        <v>21</v>
      </c>
      <c r="F1277" t="s">
        <v>49</v>
      </c>
      <c r="G1277" t="s">
        <v>188</v>
      </c>
      <c r="H1277" t="s">
        <v>14</v>
      </c>
      <c r="I1277" t="s">
        <v>1935</v>
      </c>
      <c r="J1277" t="s">
        <v>1936</v>
      </c>
      <c r="K1277" s="8">
        <v>19</v>
      </c>
    </row>
    <row r="1278" spans="1:11">
      <c r="A1278" t="s">
        <v>3216</v>
      </c>
      <c r="B1278" s="15">
        <v>45602</v>
      </c>
      <c r="C1278" s="4">
        <v>45597</v>
      </c>
      <c r="D1278" t="s">
        <v>47</v>
      </c>
      <c r="E1278" t="s">
        <v>21</v>
      </c>
      <c r="F1278" t="s">
        <v>49</v>
      </c>
      <c r="G1278" t="s">
        <v>236</v>
      </c>
      <c r="H1278" t="s">
        <v>14</v>
      </c>
      <c r="I1278" t="s">
        <v>1935</v>
      </c>
      <c r="J1278" t="s">
        <v>1954</v>
      </c>
      <c r="K1278" s="8">
        <v>16</v>
      </c>
    </row>
    <row r="1279" spans="1:11">
      <c r="A1279" t="s">
        <v>3217</v>
      </c>
      <c r="B1279" s="15">
        <v>45597</v>
      </c>
      <c r="C1279" s="4">
        <v>45597</v>
      </c>
      <c r="D1279" t="s">
        <v>47</v>
      </c>
      <c r="E1279" t="s">
        <v>21</v>
      </c>
      <c r="F1279" t="s">
        <v>49</v>
      </c>
      <c r="G1279" t="s">
        <v>212</v>
      </c>
      <c r="H1279" t="s">
        <v>14</v>
      </c>
      <c r="I1279" t="s">
        <v>1935</v>
      </c>
      <c r="J1279" t="s">
        <v>1938</v>
      </c>
      <c r="K1279" s="8">
        <v>21</v>
      </c>
    </row>
    <row r="1280" spans="1:11">
      <c r="A1280" t="s">
        <v>3218</v>
      </c>
      <c r="B1280" s="15">
        <v>45612</v>
      </c>
      <c r="C1280" s="4">
        <v>45597</v>
      </c>
      <c r="D1280" t="s">
        <v>47</v>
      </c>
      <c r="E1280" t="s">
        <v>21</v>
      </c>
      <c r="F1280" t="s">
        <v>49</v>
      </c>
      <c r="G1280" t="s">
        <v>188</v>
      </c>
      <c r="H1280" t="s">
        <v>11</v>
      </c>
      <c r="I1280" t="s">
        <v>1935</v>
      </c>
      <c r="J1280" t="s">
        <v>1938</v>
      </c>
      <c r="K1280" s="8">
        <v>22</v>
      </c>
    </row>
    <row r="1281" spans="1:11">
      <c r="A1281" t="s">
        <v>3219</v>
      </c>
      <c r="B1281" s="15">
        <v>45612</v>
      </c>
      <c r="C1281" s="4">
        <v>45597</v>
      </c>
      <c r="D1281" t="s">
        <v>47</v>
      </c>
      <c r="E1281" t="s">
        <v>21</v>
      </c>
      <c r="F1281" t="s">
        <v>49</v>
      </c>
      <c r="G1281" t="s">
        <v>206</v>
      </c>
      <c r="H1281" t="s">
        <v>14</v>
      </c>
      <c r="I1281" t="s">
        <v>1935</v>
      </c>
      <c r="J1281" t="s">
        <v>1936</v>
      </c>
      <c r="K1281" s="8">
        <v>13</v>
      </c>
    </row>
    <row r="1282" spans="1:11">
      <c r="A1282" t="s">
        <v>3220</v>
      </c>
      <c r="B1282" s="15">
        <v>45610</v>
      </c>
      <c r="C1282" s="4">
        <v>45597</v>
      </c>
      <c r="D1282" t="s">
        <v>47</v>
      </c>
      <c r="E1282" t="s">
        <v>21</v>
      </c>
      <c r="F1282" t="s">
        <v>49</v>
      </c>
      <c r="G1282" t="s">
        <v>176</v>
      </c>
      <c r="H1282" t="s">
        <v>8</v>
      </c>
      <c r="I1282" t="s">
        <v>1935</v>
      </c>
      <c r="J1282" t="s">
        <v>1936</v>
      </c>
      <c r="K1282" s="8">
        <v>16</v>
      </c>
    </row>
    <row r="1283" spans="1:11">
      <c r="A1283" t="s">
        <v>3221</v>
      </c>
      <c r="B1283" s="15">
        <v>45626</v>
      </c>
      <c r="C1283" s="4">
        <v>45597</v>
      </c>
      <c r="D1283" t="s">
        <v>47</v>
      </c>
      <c r="E1283" t="s">
        <v>21</v>
      </c>
      <c r="F1283" t="s">
        <v>49</v>
      </c>
      <c r="G1283" t="s">
        <v>188</v>
      </c>
      <c r="H1283" t="s">
        <v>14</v>
      </c>
      <c r="I1283" t="s">
        <v>1935</v>
      </c>
      <c r="J1283" t="s">
        <v>1936</v>
      </c>
      <c r="K1283" s="8">
        <v>15</v>
      </c>
    </row>
    <row r="1284" spans="1:11">
      <c r="A1284" t="s">
        <v>3222</v>
      </c>
      <c r="B1284" s="15">
        <v>45615</v>
      </c>
      <c r="C1284" s="4">
        <v>45597</v>
      </c>
      <c r="D1284" t="s">
        <v>47</v>
      </c>
      <c r="E1284" t="s">
        <v>21</v>
      </c>
      <c r="F1284" t="s">
        <v>49</v>
      </c>
      <c r="G1284" t="s">
        <v>230</v>
      </c>
      <c r="H1284" t="s">
        <v>11</v>
      </c>
      <c r="I1284" t="s">
        <v>1935</v>
      </c>
      <c r="J1284" t="s">
        <v>1936</v>
      </c>
      <c r="K1284" s="8">
        <v>20</v>
      </c>
    </row>
    <row r="1285" spans="1:11">
      <c r="A1285" t="s">
        <v>3223</v>
      </c>
      <c r="B1285" s="15">
        <v>45625</v>
      </c>
      <c r="C1285" s="4">
        <v>45597</v>
      </c>
      <c r="D1285" t="s">
        <v>50</v>
      </c>
      <c r="E1285" t="s">
        <v>23</v>
      </c>
      <c r="F1285" t="s">
        <v>52</v>
      </c>
      <c r="G1285" t="s">
        <v>268</v>
      </c>
      <c r="H1285" t="s">
        <v>5</v>
      </c>
      <c r="I1285" t="s">
        <v>1935</v>
      </c>
      <c r="J1285" t="s">
        <v>1936</v>
      </c>
      <c r="K1285" s="8">
        <v>8</v>
      </c>
    </row>
    <row r="1286" spans="1:11">
      <c r="A1286" t="s">
        <v>3224</v>
      </c>
      <c r="B1286" s="15">
        <v>45605</v>
      </c>
      <c r="C1286" s="4">
        <v>45597</v>
      </c>
      <c r="D1286" t="s">
        <v>50</v>
      </c>
      <c r="E1286" t="s">
        <v>23</v>
      </c>
      <c r="F1286" t="s">
        <v>52</v>
      </c>
      <c r="G1286" t="s">
        <v>268</v>
      </c>
      <c r="H1286" t="s">
        <v>8</v>
      </c>
      <c r="I1286" t="s">
        <v>1935</v>
      </c>
      <c r="J1286" t="s">
        <v>1954</v>
      </c>
      <c r="K1286" s="8">
        <v>22</v>
      </c>
    </row>
    <row r="1287" spans="1:11">
      <c r="A1287" t="s">
        <v>3225</v>
      </c>
      <c r="B1287" s="15">
        <v>45601</v>
      </c>
      <c r="C1287" s="4">
        <v>45597</v>
      </c>
      <c r="D1287" t="s">
        <v>50</v>
      </c>
      <c r="E1287" t="s">
        <v>23</v>
      </c>
      <c r="F1287" t="s">
        <v>52</v>
      </c>
      <c r="G1287" t="s">
        <v>238</v>
      </c>
      <c r="H1287" t="s">
        <v>8</v>
      </c>
      <c r="I1287" t="s">
        <v>1935</v>
      </c>
      <c r="J1287" t="s">
        <v>1936</v>
      </c>
      <c r="K1287" s="8">
        <v>11</v>
      </c>
    </row>
    <row r="1288" spans="1:11">
      <c r="A1288" t="s">
        <v>3226</v>
      </c>
      <c r="B1288" s="15">
        <v>45598</v>
      </c>
      <c r="C1288" s="4">
        <v>45597</v>
      </c>
      <c r="D1288" t="s">
        <v>50</v>
      </c>
      <c r="E1288" t="s">
        <v>23</v>
      </c>
      <c r="F1288" t="s">
        <v>52</v>
      </c>
      <c r="G1288" t="s">
        <v>244</v>
      </c>
      <c r="H1288" t="s">
        <v>8</v>
      </c>
      <c r="I1288" t="s">
        <v>1935</v>
      </c>
      <c r="J1288" t="s">
        <v>1954</v>
      </c>
      <c r="K1288" s="8">
        <v>33</v>
      </c>
    </row>
    <row r="1289" spans="1:11">
      <c r="A1289" t="s">
        <v>3227</v>
      </c>
      <c r="B1289" s="15">
        <v>45616</v>
      </c>
      <c r="C1289" s="4">
        <v>45597</v>
      </c>
      <c r="D1289" t="s">
        <v>50</v>
      </c>
      <c r="E1289" t="s">
        <v>23</v>
      </c>
      <c r="F1289" t="s">
        <v>52</v>
      </c>
      <c r="G1289" t="s">
        <v>250</v>
      </c>
      <c r="H1289" t="s">
        <v>5</v>
      </c>
      <c r="I1289" t="s">
        <v>1935</v>
      </c>
      <c r="J1289" t="s">
        <v>1936</v>
      </c>
      <c r="K1289" s="8">
        <v>17</v>
      </c>
    </row>
    <row r="1290" spans="1:11">
      <c r="A1290" t="s">
        <v>3228</v>
      </c>
      <c r="B1290" s="15">
        <v>45603</v>
      </c>
      <c r="C1290" s="4">
        <v>45597</v>
      </c>
      <c r="D1290" t="s">
        <v>50</v>
      </c>
      <c r="E1290" t="s">
        <v>23</v>
      </c>
      <c r="F1290" t="s">
        <v>52</v>
      </c>
      <c r="G1290" t="s">
        <v>298</v>
      </c>
      <c r="H1290" t="s">
        <v>5</v>
      </c>
      <c r="I1290" t="s">
        <v>1935</v>
      </c>
      <c r="J1290" t="s">
        <v>1936</v>
      </c>
      <c r="K1290" s="8">
        <v>25</v>
      </c>
    </row>
    <row r="1291" spans="1:11">
      <c r="A1291" t="s">
        <v>3229</v>
      </c>
      <c r="B1291" s="15">
        <v>45622</v>
      </c>
      <c r="C1291" s="4">
        <v>45597</v>
      </c>
      <c r="D1291" t="s">
        <v>50</v>
      </c>
      <c r="E1291" t="s">
        <v>23</v>
      </c>
      <c r="F1291" t="s">
        <v>52</v>
      </c>
      <c r="G1291" t="s">
        <v>268</v>
      </c>
      <c r="H1291" t="s">
        <v>11</v>
      </c>
      <c r="I1291" t="s">
        <v>1935</v>
      </c>
      <c r="J1291" t="s">
        <v>1936</v>
      </c>
      <c r="K1291" s="8">
        <v>14</v>
      </c>
    </row>
    <row r="1292" spans="1:11">
      <c r="A1292" t="s">
        <v>3230</v>
      </c>
      <c r="B1292" s="15">
        <v>45618</v>
      </c>
      <c r="C1292" s="4">
        <v>45597</v>
      </c>
      <c r="D1292" t="s">
        <v>50</v>
      </c>
      <c r="E1292" t="s">
        <v>23</v>
      </c>
      <c r="F1292" t="s">
        <v>52</v>
      </c>
      <c r="G1292" t="s">
        <v>280</v>
      </c>
      <c r="H1292" t="s">
        <v>11</v>
      </c>
      <c r="I1292" t="s">
        <v>1935</v>
      </c>
      <c r="J1292" t="s">
        <v>1938</v>
      </c>
      <c r="K1292" s="8">
        <v>24</v>
      </c>
    </row>
    <row r="1293" spans="1:11">
      <c r="A1293" t="s">
        <v>3231</v>
      </c>
      <c r="B1293" s="15">
        <v>45599</v>
      </c>
      <c r="C1293" s="4">
        <v>45597</v>
      </c>
      <c r="D1293" t="s">
        <v>50</v>
      </c>
      <c r="E1293" t="s">
        <v>23</v>
      </c>
      <c r="F1293" t="s">
        <v>52</v>
      </c>
      <c r="G1293" t="s">
        <v>280</v>
      </c>
      <c r="H1293" t="s">
        <v>11</v>
      </c>
      <c r="I1293" t="s">
        <v>1935</v>
      </c>
      <c r="J1293" t="s">
        <v>1936</v>
      </c>
      <c r="K1293" s="8">
        <v>14</v>
      </c>
    </row>
    <row r="1294" spans="1:11">
      <c r="A1294" t="s">
        <v>3232</v>
      </c>
      <c r="B1294" s="15">
        <v>45597</v>
      </c>
      <c r="C1294" s="4">
        <v>45597</v>
      </c>
      <c r="D1294" t="s">
        <v>50</v>
      </c>
      <c r="E1294" t="s">
        <v>23</v>
      </c>
      <c r="F1294" t="s">
        <v>52</v>
      </c>
      <c r="G1294" t="s">
        <v>292</v>
      </c>
      <c r="H1294" t="s">
        <v>11</v>
      </c>
      <c r="I1294" t="s">
        <v>1935</v>
      </c>
      <c r="J1294" t="s">
        <v>1936</v>
      </c>
      <c r="K1294" s="8">
        <v>16</v>
      </c>
    </row>
    <row r="1295" spans="1:11">
      <c r="A1295" t="s">
        <v>3233</v>
      </c>
      <c r="B1295" s="15">
        <v>45617</v>
      </c>
      <c r="C1295" s="4">
        <v>45597</v>
      </c>
      <c r="D1295" t="s">
        <v>53</v>
      </c>
      <c r="E1295" t="s">
        <v>23</v>
      </c>
      <c r="F1295" t="s">
        <v>55</v>
      </c>
      <c r="G1295" t="s">
        <v>282</v>
      </c>
      <c r="H1295" t="s">
        <v>8</v>
      </c>
      <c r="I1295" t="s">
        <v>1935</v>
      </c>
      <c r="J1295" t="s">
        <v>1938</v>
      </c>
      <c r="K1295" s="8">
        <v>22</v>
      </c>
    </row>
    <row r="1296" spans="1:11">
      <c r="A1296" t="s">
        <v>3234</v>
      </c>
      <c r="B1296" s="15">
        <v>45601</v>
      </c>
      <c r="C1296" s="4">
        <v>45597</v>
      </c>
      <c r="D1296" t="s">
        <v>53</v>
      </c>
      <c r="E1296" t="s">
        <v>23</v>
      </c>
      <c r="F1296" t="s">
        <v>55</v>
      </c>
      <c r="G1296" t="s">
        <v>264</v>
      </c>
      <c r="H1296" t="s">
        <v>5</v>
      </c>
      <c r="I1296" t="s">
        <v>1935</v>
      </c>
      <c r="J1296" t="s">
        <v>1936</v>
      </c>
      <c r="K1296" s="8">
        <v>22</v>
      </c>
    </row>
    <row r="1297" spans="1:11">
      <c r="A1297" t="s">
        <v>3235</v>
      </c>
      <c r="B1297" s="15">
        <v>45612</v>
      </c>
      <c r="C1297" s="4">
        <v>45597</v>
      </c>
      <c r="D1297" t="s">
        <v>53</v>
      </c>
      <c r="E1297" t="s">
        <v>23</v>
      </c>
      <c r="F1297" t="s">
        <v>55</v>
      </c>
      <c r="G1297" t="s">
        <v>264</v>
      </c>
      <c r="H1297" t="s">
        <v>5</v>
      </c>
      <c r="I1297" t="s">
        <v>1935</v>
      </c>
      <c r="J1297" t="s">
        <v>1938</v>
      </c>
      <c r="K1297" s="8">
        <v>20</v>
      </c>
    </row>
    <row r="1298" spans="1:11">
      <c r="A1298" t="s">
        <v>3236</v>
      </c>
      <c r="B1298" s="15">
        <v>45607</v>
      </c>
      <c r="C1298" s="4">
        <v>45597</v>
      </c>
      <c r="D1298" t="s">
        <v>53</v>
      </c>
      <c r="E1298" t="s">
        <v>23</v>
      </c>
      <c r="F1298" t="s">
        <v>55</v>
      </c>
      <c r="G1298" t="s">
        <v>300</v>
      </c>
      <c r="H1298" t="s">
        <v>5</v>
      </c>
      <c r="I1298" t="s">
        <v>1935</v>
      </c>
      <c r="J1298" t="s">
        <v>1936</v>
      </c>
      <c r="K1298" s="8">
        <v>15</v>
      </c>
    </row>
    <row r="1299" spans="1:11">
      <c r="A1299" t="s">
        <v>3237</v>
      </c>
      <c r="B1299" s="15">
        <v>45605</v>
      </c>
      <c r="C1299" s="4">
        <v>45597</v>
      </c>
      <c r="D1299" t="s">
        <v>53</v>
      </c>
      <c r="E1299" t="s">
        <v>23</v>
      </c>
      <c r="F1299" t="s">
        <v>55</v>
      </c>
      <c r="G1299" t="s">
        <v>246</v>
      </c>
      <c r="H1299" t="s">
        <v>11</v>
      </c>
      <c r="I1299" t="s">
        <v>1935</v>
      </c>
      <c r="J1299" t="s">
        <v>1936</v>
      </c>
      <c r="K1299" s="8">
        <v>24</v>
      </c>
    </row>
    <row r="1300" spans="1:11">
      <c r="A1300" t="s">
        <v>3238</v>
      </c>
      <c r="B1300" s="15">
        <v>45604</v>
      </c>
      <c r="C1300" s="4">
        <v>45597</v>
      </c>
      <c r="D1300" t="s">
        <v>53</v>
      </c>
      <c r="E1300" t="s">
        <v>23</v>
      </c>
      <c r="F1300" t="s">
        <v>55</v>
      </c>
      <c r="G1300" t="s">
        <v>294</v>
      </c>
      <c r="H1300" t="s">
        <v>8</v>
      </c>
      <c r="I1300" t="s">
        <v>1935</v>
      </c>
      <c r="J1300" t="s">
        <v>1936</v>
      </c>
      <c r="K1300" s="8">
        <v>17</v>
      </c>
    </row>
    <row r="1301" spans="1:11">
      <c r="A1301" t="s">
        <v>3239</v>
      </c>
      <c r="B1301" s="15">
        <v>45608</v>
      </c>
      <c r="C1301" s="4">
        <v>45597</v>
      </c>
      <c r="D1301" t="s">
        <v>53</v>
      </c>
      <c r="E1301" t="s">
        <v>23</v>
      </c>
      <c r="F1301" t="s">
        <v>55</v>
      </c>
      <c r="G1301" t="s">
        <v>294</v>
      </c>
      <c r="H1301" t="s">
        <v>11</v>
      </c>
      <c r="I1301" t="s">
        <v>1935</v>
      </c>
      <c r="J1301" t="s">
        <v>1954</v>
      </c>
      <c r="K1301" s="8">
        <v>21</v>
      </c>
    </row>
    <row r="1302" spans="1:11">
      <c r="A1302" t="s">
        <v>3240</v>
      </c>
      <c r="B1302" s="15">
        <v>45620</v>
      </c>
      <c r="C1302" s="4">
        <v>45597</v>
      </c>
      <c r="D1302" t="s">
        <v>53</v>
      </c>
      <c r="E1302" t="s">
        <v>23</v>
      </c>
      <c r="F1302" t="s">
        <v>55</v>
      </c>
      <c r="G1302" t="s">
        <v>240</v>
      </c>
      <c r="H1302" t="s">
        <v>14</v>
      </c>
      <c r="I1302" t="s">
        <v>1935</v>
      </c>
      <c r="J1302" t="s">
        <v>1938</v>
      </c>
      <c r="K1302" s="8">
        <v>32</v>
      </c>
    </row>
    <row r="1303" spans="1:11">
      <c r="A1303" t="s">
        <v>3241</v>
      </c>
      <c r="B1303" s="15">
        <v>45613</v>
      </c>
      <c r="C1303" s="4">
        <v>45597</v>
      </c>
      <c r="D1303" t="s">
        <v>53</v>
      </c>
      <c r="E1303" t="s">
        <v>23</v>
      </c>
      <c r="F1303" t="s">
        <v>55</v>
      </c>
      <c r="G1303" t="s">
        <v>312</v>
      </c>
      <c r="H1303" t="s">
        <v>5</v>
      </c>
      <c r="I1303" t="s">
        <v>1935</v>
      </c>
      <c r="J1303" t="s">
        <v>1938</v>
      </c>
      <c r="K1303" s="8">
        <v>29</v>
      </c>
    </row>
    <row r="1304" spans="1:11">
      <c r="A1304" t="s">
        <v>3242</v>
      </c>
      <c r="B1304" s="15">
        <v>45612</v>
      </c>
      <c r="C1304" s="4">
        <v>45597</v>
      </c>
      <c r="D1304" t="s">
        <v>53</v>
      </c>
      <c r="E1304" t="s">
        <v>23</v>
      </c>
      <c r="F1304" t="s">
        <v>55</v>
      </c>
      <c r="G1304" t="s">
        <v>270</v>
      </c>
      <c r="H1304" t="s">
        <v>8</v>
      </c>
      <c r="I1304" t="s">
        <v>1935</v>
      </c>
      <c r="J1304" t="s">
        <v>1954</v>
      </c>
      <c r="K1304" s="8">
        <v>34</v>
      </c>
    </row>
    <row r="1305" spans="1:11">
      <c r="A1305" t="s">
        <v>3243</v>
      </c>
      <c r="B1305" s="15">
        <v>45610</v>
      </c>
      <c r="C1305" s="4">
        <v>45597</v>
      </c>
      <c r="D1305" t="s">
        <v>56</v>
      </c>
      <c r="E1305" t="s">
        <v>23</v>
      </c>
      <c r="F1305" t="s">
        <v>58</v>
      </c>
      <c r="G1305" t="s">
        <v>308</v>
      </c>
      <c r="H1305" t="s">
        <v>11</v>
      </c>
      <c r="I1305" t="s">
        <v>1935</v>
      </c>
      <c r="J1305" t="s">
        <v>1936</v>
      </c>
      <c r="K1305" s="8">
        <v>16</v>
      </c>
    </row>
    <row r="1306" spans="1:11">
      <c r="A1306" t="s">
        <v>3244</v>
      </c>
      <c r="B1306" s="15">
        <v>45617</v>
      </c>
      <c r="C1306" s="4">
        <v>45597</v>
      </c>
      <c r="D1306" t="s">
        <v>56</v>
      </c>
      <c r="E1306" t="s">
        <v>23</v>
      </c>
      <c r="F1306" t="s">
        <v>58</v>
      </c>
      <c r="G1306" t="s">
        <v>302</v>
      </c>
      <c r="H1306" t="s">
        <v>5</v>
      </c>
      <c r="I1306" t="s">
        <v>1935</v>
      </c>
      <c r="J1306" t="s">
        <v>1936</v>
      </c>
      <c r="K1306" s="8">
        <v>9</v>
      </c>
    </row>
    <row r="1307" spans="1:11">
      <c r="A1307" t="s">
        <v>3245</v>
      </c>
      <c r="B1307" s="15">
        <v>45622</v>
      </c>
      <c r="C1307" s="4">
        <v>45597</v>
      </c>
      <c r="D1307" t="s">
        <v>56</v>
      </c>
      <c r="E1307" t="s">
        <v>23</v>
      </c>
      <c r="F1307" t="s">
        <v>58</v>
      </c>
      <c r="G1307" t="s">
        <v>290</v>
      </c>
      <c r="H1307" t="s">
        <v>11</v>
      </c>
      <c r="I1307" t="s">
        <v>1942</v>
      </c>
      <c r="J1307" t="s">
        <v>1938</v>
      </c>
      <c r="K1307" s="8">
        <v>7</v>
      </c>
    </row>
    <row r="1308" spans="1:11">
      <c r="A1308" t="s">
        <v>3246</v>
      </c>
      <c r="B1308" s="15">
        <v>45606</v>
      </c>
      <c r="C1308" s="4">
        <v>45597</v>
      </c>
      <c r="D1308" t="s">
        <v>56</v>
      </c>
      <c r="E1308" t="s">
        <v>23</v>
      </c>
      <c r="F1308" t="s">
        <v>58</v>
      </c>
      <c r="G1308" t="s">
        <v>254</v>
      </c>
      <c r="H1308" t="s">
        <v>5</v>
      </c>
      <c r="I1308" t="s">
        <v>1935</v>
      </c>
      <c r="J1308" t="s">
        <v>1936</v>
      </c>
      <c r="K1308" s="8">
        <v>28</v>
      </c>
    </row>
    <row r="1309" spans="1:11">
      <c r="A1309" t="s">
        <v>3247</v>
      </c>
      <c r="B1309" s="15">
        <v>45626</v>
      </c>
      <c r="C1309" s="4">
        <v>45597</v>
      </c>
      <c r="D1309" t="s">
        <v>56</v>
      </c>
      <c r="E1309" t="s">
        <v>23</v>
      </c>
      <c r="F1309" t="s">
        <v>58</v>
      </c>
      <c r="G1309" t="s">
        <v>260</v>
      </c>
      <c r="H1309" t="s">
        <v>8</v>
      </c>
      <c r="I1309" t="s">
        <v>1935</v>
      </c>
      <c r="J1309" t="s">
        <v>1938</v>
      </c>
      <c r="K1309" s="8">
        <v>16</v>
      </c>
    </row>
    <row r="1310" spans="1:11">
      <c r="A1310" t="s">
        <v>3248</v>
      </c>
      <c r="B1310" s="15">
        <v>45611</v>
      </c>
      <c r="C1310" s="4">
        <v>45597</v>
      </c>
      <c r="D1310" t="s">
        <v>56</v>
      </c>
      <c r="E1310" t="s">
        <v>23</v>
      </c>
      <c r="F1310" t="s">
        <v>58</v>
      </c>
      <c r="G1310" t="s">
        <v>266</v>
      </c>
      <c r="H1310" t="s">
        <v>8</v>
      </c>
      <c r="I1310" t="s">
        <v>1935</v>
      </c>
      <c r="J1310" t="s">
        <v>1936</v>
      </c>
      <c r="K1310" s="8">
        <v>13</v>
      </c>
    </row>
    <row r="1311" spans="1:11">
      <c r="A1311" t="s">
        <v>3249</v>
      </c>
      <c r="B1311" s="15">
        <v>45613</v>
      </c>
      <c r="C1311" s="4">
        <v>45597</v>
      </c>
      <c r="D1311" t="s">
        <v>56</v>
      </c>
      <c r="E1311" t="s">
        <v>23</v>
      </c>
      <c r="F1311" t="s">
        <v>58</v>
      </c>
      <c r="G1311" t="s">
        <v>290</v>
      </c>
      <c r="H1311" t="s">
        <v>5</v>
      </c>
      <c r="I1311" t="s">
        <v>1935</v>
      </c>
      <c r="J1311" t="s">
        <v>1936</v>
      </c>
      <c r="K1311" s="8">
        <v>15</v>
      </c>
    </row>
    <row r="1312" spans="1:11">
      <c r="A1312" t="s">
        <v>3250</v>
      </c>
      <c r="B1312" s="15">
        <v>45621</v>
      </c>
      <c r="C1312" s="4">
        <v>45597</v>
      </c>
      <c r="D1312" t="s">
        <v>56</v>
      </c>
      <c r="E1312" t="s">
        <v>23</v>
      </c>
      <c r="F1312" t="s">
        <v>58</v>
      </c>
      <c r="G1312" t="s">
        <v>308</v>
      </c>
      <c r="H1312" t="s">
        <v>11</v>
      </c>
      <c r="I1312" t="s">
        <v>1935</v>
      </c>
      <c r="J1312" t="s">
        <v>1938</v>
      </c>
      <c r="K1312" s="8">
        <v>30</v>
      </c>
    </row>
    <row r="1313" spans="1:11">
      <c r="A1313" t="s">
        <v>3251</v>
      </c>
      <c r="B1313" s="15">
        <v>45608</v>
      </c>
      <c r="C1313" s="4">
        <v>45597</v>
      </c>
      <c r="D1313" t="s">
        <v>56</v>
      </c>
      <c r="E1313" t="s">
        <v>23</v>
      </c>
      <c r="F1313" t="s">
        <v>58</v>
      </c>
      <c r="G1313" t="s">
        <v>272</v>
      </c>
      <c r="H1313" t="s">
        <v>11</v>
      </c>
      <c r="I1313" t="s">
        <v>1935</v>
      </c>
      <c r="J1313" t="s">
        <v>1938</v>
      </c>
      <c r="K1313" s="8">
        <v>23</v>
      </c>
    </row>
    <row r="1314" spans="1:11">
      <c r="A1314" t="s">
        <v>3252</v>
      </c>
      <c r="B1314" s="15">
        <v>45606</v>
      </c>
      <c r="C1314" s="4">
        <v>45597</v>
      </c>
      <c r="D1314" t="s">
        <v>59</v>
      </c>
      <c r="E1314" t="s">
        <v>25</v>
      </c>
      <c r="F1314" t="s">
        <v>61</v>
      </c>
      <c r="G1314" t="s">
        <v>350</v>
      </c>
      <c r="H1314" t="s">
        <v>5</v>
      </c>
      <c r="I1314" t="s">
        <v>1935</v>
      </c>
      <c r="J1314" t="s">
        <v>1936</v>
      </c>
      <c r="K1314" s="8">
        <v>12</v>
      </c>
    </row>
    <row r="1315" spans="1:11">
      <c r="A1315" t="s">
        <v>3253</v>
      </c>
      <c r="B1315" s="15">
        <v>45624</v>
      </c>
      <c r="C1315" s="4">
        <v>45597</v>
      </c>
      <c r="D1315" t="s">
        <v>59</v>
      </c>
      <c r="E1315" t="s">
        <v>25</v>
      </c>
      <c r="F1315" t="s">
        <v>61</v>
      </c>
      <c r="G1315" t="s">
        <v>374</v>
      </c>
      <c r="H1315" t="s">
        <v>8</v>
      </c>
      <c r="I1315" t="s">
        <v>1935</v>
      </c>
      <c r="J1315" t="s">
        <v>1936</v>
      </c>
      <c r="K1315" s="8">
        <v>10</v>
      </c>
    </row>
    <row r="1316" spans="1:11">
      <c r="A1316" t="s">
        <v>3254</v>
      </c>
      <c r="B1316" s="15">
        <v>45604</v>
      </c>
      <c r="C1316" s="4">
        <v>45597</v>
      </c>
      <c r="D1316" t="s">
        <v>59</v>
      </c>
      <c r="E1316" t="s">
        <v>25</v>
      </c>
      <c r="F1316" t="s">
        <v>61</v>
      </c>
      <c r="G1316" t="s">
        <v>380</v>
      </c>
      <c r="H1316" t="s">
        <v>11</v>
      </c>
      <c r="I1316" t="s">
        <v>1935</v>
      </c>
      <c r="J1316" t="s">
        <v>1936</v>
      </c>
      <c r="K1316" s="8">
        <v>18</v>
      </c>
    </row>
    <row r="1317" spans="1:11">
      <c r="A1317" t="s">
        <v>3255</v>
      </c>
      <c r="B1317" s="15">
        <v>45607</v>
      </c>
      <c r="C1317" s="4">
        <v>45597</v>
      </c>
      <c r="D1317" t="s">
        <v>59</v>
      </c>
      <c r="E1317" t="s">
        <v>25</v>
      </c>
      <c r="F1317" t="s">
        <v>61</v>
      </c>
      <c r="G1317" t="s">
        <v>326</v>
      </c>
      <c r="H1317" t="s">
        <v>8</v>
      </c>
      <c r="I1317" t="s">
        <v>1935</v>
      </c>
      <c r="J1317" t="s">
        <v>1936</v>
      </c>
      <c r="K1317" s="8">
        <v>10</v>
      </c>
    </row>
    <row r="1318" spans="1:11">
      <c r="A1318" t="s">
        <v>3256</v>
      </c>
      <c r="B1318" s="15">
        <v>45611</v>
      </c>
      <c r="C1318" s="4">
        <v>45597</v>
      </c>
      <c r="D1318" t="s">
        <v>59</v>
      </c>
      <c r="E1318" t="s">
        <v>25</v>
      </c>
      <c r="F1318" t="s">
        <v>61</v>
      </c>
      <c r="G1318" t="s">
        <v>314</v>
      </c>
      <c r="H1318" t="s">
        <v>5</v>
      </c>
      <c r="I1318" t="s">
        <v>1935</v>
      </c>
      <c r="J1318" t="s">
        <v>1938</v>
      </c>
      <c r="K1318" s="8">
        <v>13</v>
      </c>
    </row>
    <row r="1319" spans="1:11">
      <c r="A1319" t="s">
        <v>3257</v>
      </c>
      <c r="B1319" s="15">
        <v>45606</v>
      </c>
      <c r="C1319" s="4">
        <v>45597</v>
      </c>
      <c r="D1319" t="s">
        <v>59</v>
      </c>
      <c r="E1319" t="s">
        <v>25</v>
      </c>
      <c r="F1319" t="s">
        <v>61</v>
      </c>
      <c r="G1319" t="s">
        <v>314</v>
      </c>
      <c r="H1319" t="s">
        <v>5</v>
      </c>
      <c r="I1319" t="s">
        <v>1935</v>
      </c>
      <c r="J1319" t="s">
        <v>1954</v>
      </c>
      <c r="K1319" s="8">
        <v>22</v>
      </c>
    </row>
    <row r="1320" spans="1:11">
      <c r="A1320" t="s">
        <v>3258</v>
      </c>
      <c r="B1320" s="15">
        <v>45605</v>
      </c>
      <c r="C1320" s="4">
        <v>45597</v>
      </c>
      <c r="D1320" t="s">
        <v>59</v>
      </c>
      <c r="E1320" t="s">
        <v>25</v>
      </c>
      <c r="F1320" t="s">
        <v>61</v>
      </c>
      <c r="G1320" t="s">
        <v>380</v>
      </c>
      <c r="H1320" t="s">
        <v>11</v>
      </c>
      <c r="I1320" t="s">
        <v>1935</v>
      </c>
      <c r="J1320" t="s">
        <v>1936</v>
      </c>
      <c r="K1320" s="8">
        <v>35</v>
      </c>
    </row>
    <row r="1321" spans="1:11">
      <c r="A1321" t="s">
        <v>3259</v>
      </c>
      <c r="B1321" s="15">
        <v>45626</v>
      </c>
      <c r="C1321" s="4">
        <v>45597</v>
      </c>
      <c r="D1321" t="s">
        <v>59</v>
      </c>
      <c r="E1321" t="s">
        <v>25</v>
      </c>
      <c r="F1321" t="s">
        <v>61</v>
      </c>
      <c r="G1321" t="s">
        <v>380</v>
      </c>
      <c r="H1321" t="s">
        <v>11</v>
      </c>
      <c r="I1321" t="s">
        <v>1935</v>
      </c>
      <c r="J1321" t="s">
        <v>1954</v>
      </c>
      <c r="K1321" s="8">
        <v>8</v>
      </c>
    </row>
    <row r="1322" spans="1:11">
      <c r="A1322" t="s">
        <v>3260</v>
      </c>
      <c r="B1322" s="15">
        <v>45597</v>
      </c>
      <c r="C1322" s="4">
        <v>45597</v>
      </c>
      <c r="D1322" t="s">
        <v>59</v>
      </c>
      <c r="E1322" t="s">
        <v>25</v>
      </c>
      <c r="F1322" t="s">
        <v>61</v>
      </c>
      <c r="G1322" t="s">
        <v>350</v>
      </c>
      <c r="H1322" t="s">
        <v>5</v>
      </c>
      <c r="I1322" t="s">
        <v>1935</v>
      </c>
      <c r="J1322" t="s">
        <v>1936</v>
      </c>
      <c r="K1322" s="8">
        <v>27</v>
      </c>
    </row>
    <row r="1323" spans="1:11">
      <c r="A1323" t="s">
        <v>3261</v>
      </c>
      <c r="B1323" s="15">
        <v>45605</v>
      </c>
      <c r="C1323" s="4">
        <v>45597</v>
      </c>
      <c r="D1323" t="s">
        <v>62</v>
      </c>
      <c r="E1323" t="s">
        <v>25</v>
      </c>
      <c r="F1323" t="s">
        <v>64</v>
      </c>
      <c r="G1323" t="s">
        <v>334</v>
      </c>
      <c r="H1323" t="s">
        <v>11</v>
      </c>
      <c r="I1323" t="s">
        <v>1935</v>
      </c>
      <c r="J1323" t="s">
        <v>1936</v>
      </c>
      <c r="K1323" s="8">
        <v>30</v>
      </c>
    </row>
    <row r="1324" spans="1:11">
      <c r="A1324" t="s">
        <v>3262</v>
      </c>
      <c r="B1324" s="15">
        <v>45623</v>
      </c>
      <c r="C1324" s="4">
        <v>45597</v>
      </c>
      <c r="D1324" t="s">
        <v>62</v>
      </c>
      <c r="E1324" t="s">
        <v>25</v>
      </c>
      <c r="F1324" t="s">
        <v>64</v>
      </c>
      <c r="G1324" t="s">
        <v>346</v>
      </c>
      <c r="H1324" t="s">
        <v>11</v>
      </c>
      <c r="I1324" t="s">
        <v>1935</v>
      </c>
      <c r="J1324" t="s">
        <v>1936</v>
      </c>
      <c r="K1324" s="8">
        <v>29</v>
      </c>
    </row>
    <row r="1325" spans="1:11">
      <c r="A1325" t="s">
        <v>3263</v>
      </c>
      <c r="B1325" s="15">
        <v>45600</v>
      </c>
      <c r="C1325" s="4">
        <v>45597</v>
      </c>
      <c r="D1325" t="s">
        <v>62</v>
      </c>
      <c r="E1325" t="s">
        <v>25</v>
      </c>
      <c r="F1325" t="s">
        <v>64</v>
      </c>
      <c r="G1325" t="s">
        <v>340</v>
      </c>
      <c r="H1325" t="s">
        <v>8</v>
      </c>
      <c r="I1325" t="s">
        <v>1935</v>
      </c>
      <c r="J1325" t="s">
        <v>1936</v>
      </c>
      <c r="K1325" s="8">
        <v>23</v>
      </c>
    </row>
    <row r="1326" spans="1:11">
      <c r="A1326" t="s">
        <v>3264</v>
      </c>
      <c r="B1326" s="15">
        <v>45619</v>
      </c>
      <c r="C1326" s="4">
        <v>45597</v>
      </c>
      <c r="D1326" t="s">
        <v>62</v>
      </c>
      <c r="E1326" t="s">
        <v>25</v>
      </c>
      <c r="F1326" t="s">
        <v>64</v>
      </c>
      <c r="G1326" t="s">
        <v>328</v>
      </c>
      <c r="H1326" t="s">
        <v>8</v>
      </c>
      <c r="I1326" t="s">
        <v>1935</v>
      </c>
      <c r="J1326" t="s">
        <v>1936</v>
      </c>
      <c r="K1326" s="8">
        <v>27</v>
      </c>
    </row>
    <row r="1327" spans="1:11">
      <c r="A1327" t="s">
        <v>3265</v>
      </c>
      <c r="B1327" s="15">
        <v>45599</v>
      </c>
      <c r="C1327" s="4">
        <v>45597</v>
      </c>
      <c r="D1327" t="s">
        <v>62</v>
      </c>
      <c r="E1327" t="s">
        <v>25</v>
      </c>
      <c r="F1327" t="s">
        <v>64</v>
      </c>
      <c r="G1327" t="s">
        <v>328</v>
      </c>
      <c r="H1327" t="s">
        <v>11</v>
      </c>
      <c r="I1327" t="s">
        <v>1935</v>
      </c>
      <c r="J1327" t="s">
        <v>1938</v>
      </c>
      <c r="K1327" s="8">
        <v>29</v>
      </c>
    </row>
    <row r="1328" spans="1:11">
      <c r="A1328" t="s">
        <v>3266</v>
      </c>
      <c r="B1328" s="15">
        <v>45608</v>
      </c>
      <c r="C1328" s="4">
        <v>45597</v>
      </c>
      <c r="D1328" t="s">
        <v>62</v>
      </c>
      <c r="E1328" t="s">
        <v>25</v>
      </c>
      <c r="F1328" t="s">
        <v>64</v>
      </c>
      <c r="G1328" t="s">
        <v>370</v>
      </c>
      <c r="H1328" t="s">
        <v>5</v>
      </c>
      <c r="I1328" t="s">
        <v>1935</v>
      </c>
      <c r="J1328" t="s">
        <v>1936</v>
      </c>
      <c r="K1328" s="8">
        <v>16</v>
      </c>
    </row>
    <row r="1329" spans="1:11">
      <c r="A1329" t="s">
        <v>3267</v>
      </c>
      <c r="B1329" s="15">
        <v>45606</v>
      </c>
      <c r="C1329" s="4">
        <v>45597</v>
      </c>
      <c r="D1329" t="s">
        <v>62</v>
      </c>
      <c r="E1329" t="s">
        <v>25</v>
      </c>
      <c r="F1329" t="s">
        <v>64</v>
      </c>
      <c r="G1329" t="s">
        <v>334</v>
      </c>
      <c r="H1329" t="s">
        <v>11</v>
      </c>
      <c r="I1329" t="s">
        <v>1935</v>
      </c>
      <c r="J1329" t="s">
        <v>1936</v>
      </c>
      <c r="K1329" s="8">
        <v>17</v>
      </c>
    </row>
    <row r="1330" spans="1:11">
      <c r="A1330" t="s">
        <v>3268</v>
      </c>
      <c r="B1330" s="15">
        <v>45597</v>
      </c>
      <c r="C1330" s="4">
        <v>45597</v>
      </c>
      <c r="D1330" t="s">
        <v>62</v>
      </c>
      <c r="E1330" t="s">
        <v>25</v>
      </c>
      <c r="F1330" t="s">
        <v>64</v>
      </c>
      <c r="G1330" t="s">
        <v>346</v>
      </c>
      <c r="H1330" t="s">
        <v>14</v>
      </c>
      <c r="I1330" t="s">
        <v>1935</v>
      </c>
      <c r="J1330" t="s">
        <v>1936</v>
      </c>
      <c r="K1330" s="8">
        <v>18</v>
      </c>
    </row>
    <row r="1331" spans="1:11">
      <c r="A1331" t="s">
        <v>3269</v>
      </c>
      <c r="B1331" s="15">
        <v>45615</v>
      </c>
      <c r="C1331" s="4">
        <v>45597</v>
      </c>
      <c r="D1331" t="s">
        <v>62</v>
      </c>
      <c r="E1331" t="s">
        <v>25</v>
      </c>
      <c r="F1331" t="s">
        <v>64</v>
      </c>
      <c r="G1331" t="s">
        <v>316</v>
      </c>
      <c r="H1331" t="s">
        <v>8</v>
      </c>
      <c r="I1331" t="s">
        <v>1995</v>
      </c>
      <c r="J1331" t="s">
        <v>1936</v>
      </c>
      <c r="K1331" s="8">
        <v>0</v>
      </c>
    </row>
    <row r="1332" spans="1:11">
      <c r="A1332" t="s">
        <v>3270</v>
      </c>
      <c r="B1332" s="15">
        <v>45599</v>
      </c>
      <c r="C1332" s="4">
        <v>45597</v>
      </c>
      <c r="D1332" t="s">
        <v>62</v>
      </c>
      <c r="E1332" t="s">
        <v>25</v>
      </c>
      <c r="F1332" t="s">
        <v>64</v>
      </c>
      <c r="G1332" t="s">
        <v>328</v>
      </c>
      <c r="H1332" t="s">
        <v>5</v>
      </c>
      <c r="I1332" t="s">
        <v>1935</v>
      </c>
      <c r="J1332" t="s">
        <v>1938</v>
      </c>
      <c r="K1332" s="8">
        <v>25</v>
      </c>
    </row>
    <row r="1333" spans="1:11">
      <c r="A1333" t="s">
        <v>3271</v>
      </c>
      <c r="B1333" s="15">
        <v>45617</v>
      </c>
      <c r="C1333" s="4">
        <v>45597</v>
      </c>
      <c r="D1333" t="s">
        <v>62</v>
      </c>
      <c r="E1333" t="s">
        <v>25</v>
      </c>
      <c r="F1333" t="s">
        <v>64</v>
      </c>
      <c r="G1333" t="s">
        <v>352</v>
      </c>
      <c r="H1333" t="s">
        <v>8</v>
      </c>
      <c r="I1333" t="s">
        <v>1935</v>
      </c>
      <c r="J1333" t="s">
        <v>1936</v>
      </c>
      <c r="K1333" s="8">
        <v>9</v>
      </c>
    </row>
    <row r="1334" spans="1:11">
      <c r="A1334" t="s">
        <v>3272</v>
      </c>
      <c r="B1334" s="15">
        <v>45626</v>
      </c>
      <c r="C1334" s="4">
        <v>45597</v>
      </c>
      <c r="D1334" t="s">
        <v>62</v>
      </c>
      <c r="E1334" t="s">
        <v>25</v>
      </c>
      <c r="F1334" t="s">
        <v>64</v>
      </c>
      <c r="G1334" t="s">
        <v>358</v>
      </c>
      <c r="H1334" t="s">
        <v>14</v>
      </c>
      <c r="I1334" t="s">
        <v>1935</v>
      </c>
      <c r="J1334" t="s">
        <v>1936</v>
      </c>
      <c r="K1334" s="8">
        <v>35</v>
      </c>
    </row>
    <row r="1335" spans="1:11">
      <c r="A1335" t="s">
        <v>3273</v>
      </c>
      <c r="B1335" s="15">
        <v>45624</v>
      </c>
      <c r="C1335" s="4">
        <v>45597</v>
      </c>
      <c r="D1335" t="s">
        <v>65</v>
      </c>
      <c r="E1335" t="s">
        <v>25</v>
      </c>
      <c r="F1335" t="s">
        <v>67</v>
      </c>
      <c r="G1335" t="s">
        <v>330</v>
      </c>
      <c r="H1335" t="s">
        <v>8</v>
      </c>
      <c r="I1335" t="s">
        <v>1935</v>
      </c>
      <c r="J1335" t="s">
        <v>1936</v>
      </c>
      <c r="K1335" s="8">
        <v>12</v>
      </c>
    </row>
    <row r="1336" spans="1:11">
      <c r="A1336" t="s">
        <v>3274</v>
      </c>
      <c r="B1336" s="15">
        <v>45614</v>
      </c>
      <c r="C1336" s="4">
        <v>45597</v>
      </c>
      <c r="D1336" t="s">
        <v>65</v>
      </c>
      <c r="E1336" t="s">
        <v>25</v>
      </c>
      <c r="F1336" t="s">
        <v>67</v>
      </c>
      <c r="G1336" t="s">
        <v>348</v>
      </c>
      <c r="H1336" t="s">
        <v>11</v>
      </c>
      <c r="I1336" t="s">
        <v>1935</v>
      </c>
      <c r="J1336" t="s">
        <v>1936</v>
      </c>
      <c r="K1336" s="8">
        <v>35</v>
      </c>
    </row>
    <row r="1337" spans="1:11">
      <c r="A1337" t="s">
        <v>3275</v>
      </c>
      <c r="B1337" s="15">
        <v>45597</v>
      </c>
      <c r="C1337" s="4">
        <v>45597</v>
      </c>
      <c r="D1337" t="s">
        <v>65</v>
      </c>
      <c r="E1337" t="s">
        <v>25</v>
      </c>
      <c r="F1337" t="s">
        <v>67</v>
      </c>
      <c r="G1337" t="s">
        <v>342</v>
      </c>
      <c r="H1337" t="s">
        <v>11</v>
      </c>
      <c r="I1337" t="s">
        <v>1935</v>
      </c>
      <c r="J1337" t="s">
        <v>1954</v>
      </c>
      <c r="K1337" s="8">
        <v>19</v>
      </c>
    </row>
    <row r="1338" spans="1:11">
      <c r="A1338" t="s">
        <v>3276</v>
      </c>
      <c r="B1338" s="15">
        <v>45603</v>
      </c>
      <c r="C1338" s="4">
        <v>45597</v>
      </c>
      <c r="D1338" t="s">
        <v>65</v>
      </c>
      <c r="E1338" t="s">
        <v>25</v>
      </c>
      <c r="F1338" t="s">
        <v>67</v>
      </c>
      <c r="G1338" t="s">
        <v>354</v>
      </c>
      <c r="H1338" t="s">
        <v>14</v>
      </c>
      <c r="I1338" t="s">
        <v>1935</v>
      </c>
      <c r="J1338" t="s">
        <v>1936</v>
      </c>
      <c r="K1338" s="8">
        <v>12</v>
      </c>
    </row>
    <row r="1339" spans="1:11">
      <c r="A1339" t="s">
        <v>3277</v>
      </c>
      <c r="B1339" s="15">
        <v>45600</v>
      </c>
      <c r="C1339" s="4">
        <v>45597</v>
      </c>
      <c r="D1339" t="s">
        <v>65</v>
      </c>
      <c r="E1339" t="s">
        <v>25</v>
      </c>
      <c r="F1339" t="s">
        <v>67</v>
      </c>
      <c r="G1339" t="s">
        <v>354</v>
      </c>
      <c r="H1339" t="s">
        <v>14</v>
      </c>
      <c r="I1339" t="s">
        <v>1935</v>
      </c>
      <c r="J1339" t="s">
        <v>1936</v>
      </c>
      <c r="K1339" s="8">
        <v>14</v>
      </c>
    </row>
    <row r="1340" spans="1:11">
      <c r="A1340" t="s">
        <v>3278</v>
      </c>
      <c r="B1340" s="15">
        <v>45597</v>
      </c>
      <c r="C1340" s="4">
        <v>45597</v>
      </c>
      <c r="D1340" t="s">
        <v>65</v>
      </c>
      <c r="E1340" t="s">
        <v>25</v>
      </c>
      <c r="F1340" t="s">
        <v>67</v>
      </c>
      <c r="G1340" t="s">
        <v>354</v>
      </c>
      <c r="H1340" t="s">
        <v>11</v>
      </c>
      <c r="I1340" t="s">
        <v>1935</v>
      </c>
      <c r="J1340" t="s">
        <v>1954</v>
      </c>
      <c r="K1340" s="8">
        <v>32</v>
      </c>
    </row>
    <row r="1341" spans="1:11">
      <c r="A1341" t="s">
        <v>3279</v>
      </c>
      <c r="B1341" s="15">
        <v>45611</v>
      </c>
      <c r="C1341" s="4">
        <v>45597</v>
      </c>
      <c r="D1341" t="s">
        <v>65</v>
      </c>
      <c r="E1341" t="s">
        <v>25</v>
      </c>
      <c r="F1341" t="s">
        <v>67</v>
      </c>
      <c r="G1341" t="s">
        <v>342</v>
      </c>
      <c r="H1341" t="s">
        <v>5</v>
      </c>
      <c r="I1341" t="s">
        <v>1935</v>
      </c>
      <c r="J1341" t="s">
        <v>1954</v>
      </c>
      <c r="K1341" s="8">
        <v>27</v>
      </c>
    </row>
    <row r="1342" spans="1:11">
      <c r="A1342" t="s">
        <v>3280</v>
      </c>
      <c r="B1342" s="15">
        <v>45626</v>
      </c>
      <c r="C1342" s="4">
        <v>45597</v>
      </c>
      <c r="D1342" t="s">
        <v>65</v>
      </c>
      <c r="E1342" t="s">
        <v>25</v>
      </c>
      <c r="F1342" t="s">
        <v>67</v>
      </c>
      <c r="G1342" t="s">
        <v>354</v>
      </c>
      <c r="H1342" t="s">
        <v>8</v>
      </c>
      <c r="I1342" t="s">
        <v>1935</v>
      </c>
      <c r="J1342" t="s">
        <v>1954</v>
      </c>
      <c r="K1342" s="8">
        <v>24</v>
      </c>
    </row>
    <row r="1343" spans="1:11">
      <c r="A1343" t="s">
        <v>3281</v>
      </c>
      <c r="B1343" s="15">
        <v>45614</v>
      </c>
      <c r="C1343" s="4">
        <v>45597</v>
      </c>
      <c r="D1343" t="s">
        <v>65</v>
      </c>
      <c r="E1343" t="s">
        <v>25</v>
      </c>
      <c r="F1343" t="s">
        <v>67</v>
      </c>
      <c r="G1343" t="s">
        <v>354</v>
      </c>
      <c r="H1343" t="s">
        <v>14</v>
      </c>
      <c r="I1343" t="s">
        <v>1935</v>
      </c>
      <c r="J1343" t="s">
        <v>1936</v>
      </c>
      <c r="K1343" s="8">
        <v>30</v>
      </c>
    </row>
    <row r="1344" spans="1:11">
      <c r="A1344" t="s">
        <v>3282</v>
      </c>
      <c r="B1344" s="15">
        <v>45609</v>
      </c>
      <c r="C1344" s="4">
        <v>45597</v>
      </c>
      <c r="D1344" t="s">
        <v>65</v>
      </c>
      <c r="E1344" t="s">
        <v>25</v>
      </c>
      <c r="F1344" t="s">
        <v>67</v>
      </c>
      <c r="G1344" t="s">
        <v>372</v>
      </c>
      <c r="H1344" t="s">
        <v>14</v>
      </c>
      <c r="I1344" t="s">
        <v>1935</v>
      </c>
      <c r="J1344" t="s">
        <v>1936</v>
      </c>
      <c r="K1344" s="8">
        <v>14</v>
      </c>
    </row>
    <row r="1345" spans="1:11">
      <c r="A1345" t="s">
        <v>3283</v>
      </c>
      <c r="B1345" s="15">
        <v>45641</v>
      </c>
      <c r="C1345" s="4">
        <v>45627</v>
      </c>
      <c r="D1345" t="s">
        <v>32</v>
      </c>
      <c r="E1345" t="s">
        <v>19</v>
      </c>
      <c r="F1345" t="s">
        <v>34</v>
      </c>
      <c r="G1345" t="s">
        <v>105</v>
      </c>
      <c r="H1345" t="s">
        <v>11</v>
      </c>
      <c r="I1345" t="s">
        <v>1935</v>
      </c>
      <c r="J1345" t="s">
        <v>1936</v>
      </c>
      <c r="K1345" s="8">
        <v>19</v>
      </c>
    </row>
    <row r="1346" spans="1:11">
      <c r="A1346" t="s">
        <v>3284</v>
      </c>
      <c r="B1346" s="15">
        <v>45627</v>
      </c>
      <c r="C1346" s="4">
        <v>45627</v>
      </c>
      <c r="D1346" t="s">
        <v>32</v>
      </c>
      <c r="E1346" t="s">
        <v>19</v>
      </c>
      <c r="F1346" t="s">
        <v>34</v>
      </c>
      <c r="G1346" t="s">
        <v>142</v>
      </c>
      <c r="H1346" t="s">
        <v>5</v>
      </c>
      <c r="I1346" t="s">
        <v>1935</v>
      </c>
      <c r="J1346" t="s">
        <v>1936</v>
      </c>
      <c r="K1346" s="8">
        <v>12</v>
      </c>
    </row>
    <row r="1347" spans="1:11">
      <c r="A1347" t="s">
        <v>3285</v>
      </c>
      <c r="B1347" s="15">
        <v>45656</v>
      </c>
      <c r="C1347" s="4">
        <v>45627</v>
      </c>
      <c r="D1347" t="s">
        <v>32</v>
      </c>
      <c r="E1347" t="s">
        <v>19</v>
      </c>
      <c r="F1347" t="s">
        <v>34</v>
      </c>
      <c r="G1347" t="s">
        <v>130</v>
      </c>
      <c r="H1347" t="s">
        <v>14</v>
      </c>
      <c r="I1347" t="s">
        <v>1935</v>
      </c>
      <c r="J1347" t="s">
        <v>1938</v>
      </c>
      <c r="K1347" s="8">
        <v>18</v>
      </c>
    </row>
    <row r="1348" spans="1:11">
      <c r="A1348" t="s">
        <v>3286</v>
      </c>
      <c r="B1348" s="15">
        <v>45636</v>
      </c>
      <c r="C1348" s="4">
        <v>45627</v>
      </c>
      <c r="D1348" t="s">
        <v>32</v>
      </c>
      <c r="E1348" t="s">
        <v>19</v>
      </c>
      <c r="F1348" t="s">
        <v>34</v>
      </c>
      <c r="G1348" t="s">
        <v>105</v>
      </c>
      <c r="H1348" t="s">
        <v>5</v>
      </c>
      <c r="I1348" t="s">
        <v>1935</v>
      </c>
      <c r="J1348" t="s">
        <v>1936</v>
      </c>
      <c r="K1348" s="8">
        <v>24</v>
      </c>
    </row>
    <row r="1349" spans="1:11">
      <c r="A1349" t="s">
        <v>3287</v>
      </c>
      <c r="B1349" s="15">
        <v>45627</v>
      </c>
      <c r="C1349" s="4">
        <v>45627</v>
      </c>
      <c r="D1349" t="s">
        <v>32</v>
      </c>
      <c r="E1349" t="s">
        <v>19</v>
      </c>
      <c r="F1349" t="s">
        <v>34</v>
      </c>
      <c r="G1349" t="s">
        <v>136</v>
      </c>
      <c r="H1349" t="s">
        <v>11</v>
      </c>
      <c r="I1349" t="s">
        <v>1935</v>
      </c>
      <c r="J1349" t="s">
        <v>1936</v>
      </c>
      <c r="K1349" s="8">
        <v>33</v>
      </c>
    </row>
    <row r="1350" spans="1:11">
      <c r="A1350" t="s">
        <v>3288</v>
      </c>
      <c r="B1350" s="15">
        <v>45637</v>
      </c>
      <c r="C1350" s="4">
        <v>45627</v>
      </c>
      <c r="D1350" t="s">
        <v>32</v>
      </c>
      <c r="E1350" t="s">
        <v>19</v>
      </c>
      <c r="F1350" t="s">
        <v>34</v>
      </c>
      <c r="G1350" t="s">
        <v>105</v>
      </c>
      <c r="H1350" t="s">
        <v>5</v>
      </c>
      <c r="I1350" t="s">
        <v>1935</v>
      </c>
      <c r="J1350" t="s">
        <v>1936</v>
      </c>
      <c r="K1350" s="8">
        <v>19</v>
      </c>
    </row>
    <row r="1351" spans="1:11">
      <c r="A1351" t="s">
        <v>3289</v>
      </c>
      <c r="B1351" s="15">
        <v>45642</v>
      </c>
      <c r="C1351" s="4">
        <v>45627</v>
      </c>
      <c r="D1351" t="s">
        <v>32</v>
      </c>
      <c r="E1351" t="s">
        <v>19</v>
      </c>
      <c r="F1351" t="s">
        <v>34</v>
      </c>
      <c r="G1351" t="s">
        <v>130</v>
      </c>
      <c r="H1351" t="s">
        <v>14</v>
      </c>
      <c r="I1351" t="s">
        <v>1935</v>
      </c>
      <c r="J1351" t="s">
        <v>1936</v>
      </c>
      <c r="K1351" s="8">
        <v>10</v>
      </c>
    </row>
    <row r="1352" spans="1:11">
      <c r="A1352" t="s">
        <v>3290</v>
      </c>
      <c r="B1352" s="15">
        <v>45628</v>
      </c>
      <c r="C1352" s="4">
        <v>45627</v>
      </c>
      <c r="D1352" t="s">
        <v>32</v>
      </c>
      <c r="E1352" t="s">
        <v>19</v>
      </c>
      <c r="F1352" t="s">
        <v>34</v>
      </c>
      <c r="G1352" t="s">
        <v>130</v>
      </c>
      <c r="H1352" t="s">
        <v>14</v>
      </c>
      <c r="I1352" t="s">
        <v>1935</v>
      </c>
      <c r="J1352" t="s">
        <v>1936</v>
      </c>
      <c r="K1352" s="8">
        <v>32</v>
      </c>
    </row>
    <row r="1353" spans="1:11">
      <c r="A1353" t="s">
        <v>3291</v>
      </c>
      <c r="B1353" s="15">
        <v>45631</v>
      </c>
      <c r="C1353" s="4">
        <v>45627</v>
      </c>
      <c r="D1353" t="s">
        <v>32</v>
      </c>
      <c r="E1353" t="s">
        <v>19</v>
      </c>
      <c r="F1353" t="s">
        <v>34</v>
      </c>
      <c r="G1353" t="s">
        <v>99</v>
      </c>
      <c r="H1353" t="s">
        <v>14</v>
      </c>
      <c r="I1353" t="s">
        <v>1935</v>
      </c>
      <c r="J1353" t="s">
        <v>1936</v>
      </c>
      <c r="K1353" s="8">
        <v>30</v>
      </c>
    </row>
    <row r="1354" spans="1:11">
      <c r="A1354" t="s">
        <v>3292</v>
      </c>
      <c r="B1354" s="15">
        <v>45638</v>
      </c>
      <c r="C1354" s="4">
        <v>45627</v>
      </c>
      <c r="D1354" t="s">
        <v>35</v>
      </c>
      <c r="E1354" t="s">
        <v>19</v>
      </c>
      <c r="F1354" t="s">
        <v>37</v>
      </c>
      <c r="G1354" t="s">
        <v>107</v>
      </c>
      <c r="H1354" t="s">
        <v>8</v>
      </c>
      <c r="I1354" t="s">
        <v>1935</v>
      </c>
      <c r="J1354" t="s">
        <v>1936</v>
      </c>
      <c r="K1354" s="8">
        <v>16</v>
      </c>
    </row>
    <row r="1355" spans="1:11">
      <c r="A1355" t="s">
        <v>3293</v>
      </c>
      <c r="B1355" s="15">
        <v>45651</v>
      </c>
      <c r="C1355" s="4">
        <v>45627</v>
      </c>
      <c r="D1355" t="s">
        <v>35</v>
      </c>
      <c r="E1355" t="s">
        <v>19</v>
      </c>
      <c r="F1355" t="s">
        <v>37</v>
      </c>
      <c r="G1355" t="s">
        <v>107</v>
      </c>
      <c r="H1355" t="s">
        <v>8</v>
      </c>
      <c r="I1355" t="s">
        <v>1935</v>
      </c>
      <c r="J1355" t="s">
        <v>1938</v>
      </c>
      <c r="K1355" s="8">
        <v>22</v>
      </c>
    </row>
    <row r="1356" spans="1:11">
      <c r="A1356" t="s">
        <v>3294</v>
      </c>
      <c r="B1356" s="15">
        <v>45639</v>
      </c>
      <c r="C1356" s="4">
        <v>45627</v>
      </c>
      <c r="D1356" t="s">
        <v>35</v>
      </c>
      <c r="E1356" t="s">
        <v>19</v>
      </c>
      <c r="F1356" t="s">
        <v>37</v>
      </c>
      <c r="G1356" t="s">
        <v>88</v>
      </c>
      <c r="H1356" t="s">
        <v>8</v>
      </c>
      <c r="I1356" t="s">
        <v>1935</v>
      </c>
      <c r="J1356" t="s">
        <v>1954</v>
      </c>
      <c r="K1356" s="8">
        <v>13</v>
      </c>
    </row>
    <row r="1357" spans="1:11">
      <c r="A1357" t="s">
        <v>3295</v>
      </c>
      <c r="B1357" s="15">
        <v>45648</v>
      </c>
      <c r="C1357" s="4">
        <v>45627</v>
      </c>
      <c r="D1357" t="s">
        <v>35</v>
      </c>
      <c r="E1357" t="s">
        <v>19</v>
      </c>
      <c r="F1357" t="s">
        <v>37</v>
      </c>
      <c r="G1357" t="s">
        <v>88</v>
      </c>
      <c r="H1357" t="s">
        <v>8</v>
      </c>
      <c r="I1357" t="s">
        <v>1935</v>
      </c>
      <c r="J1357" t="s">
        <v>1936</v>
      </c>
      <c r="K1357" s="8">
        <v>29</v>
      </c>
    </row>
    <row r="1358" spans="1:11">
      <c r="A1358" t="s">
        <v>3296</v>
      </c>
      <c r="B1358" s="15">
        <v>45643</v>
      </c>
      <c r="C1358" s="4">
        <v>45627</v>
      </c>
      <c r="D1358" t="s">
        <v>35</v>
      </c>
      <c r="E1358" t="s">
        <v>19</v>
      </c>
      <c r="F1358" t="s">
        <v>37</v>
      </c>
      <c r="G1358" t="s">
        <v>107</v>
      </c>
      <c r="H1358" t="s">
        <v>8</v>
      </c>
      <c r="I1358" t="s">
        <v>1995</v>
      </c>
      <c r="J1358" t="s">
        <v>1936</v>
      </c>
      <c r="K1358" s="8">
        <v>0</v>
      </c>
    </row>
    <row r="1359" spans="1:11">
      <c r="A1359" t="s">
        <v>3297</v>
      </c>
      <c r="B1359" s="15">
        <v>45629</v>
      </c>
      <c r="C1359" s="4">
        <v>45627</v>
      </c>
      <c r="D1359" t="s">
        <v>35</v>
      </c>
      <c r="E1359" t="s">
        <v>19</v>
      </c>
      <c r="F1359" t="s">
        <v>37</v>
      </c>
      <c r="G1359" t="s">
        <v>107</v>
      </c>
      <c r="H1359" t="s">
        <v>8</v>
      </c>
      <c r="I1359" t="s">
        <v>1935</v>
      </c>
      <c r="J1359" t="s">
        <v>1936</v>
      </c>
      <c r="K1359" s="8">
        <v>20</v>
      </c>
    </row>
    <row r="1360" spans="1:11">
      <c r="A1360" t="s">
        <v>3298</v>
      </c>
      <c r="B1360" s="15">
        <v>45640</v>
      </c>
      <c r="C1360" s="4">
        <v>45627</v>
      </c>
      <c r="D1360" t="s">
        <v>35</v>
      </c>
      <c r="E1360" t="s">
        <v>19</v>
      </c>
      <c r="F1360" t="s">
        <v>37</v>
      </c>
      <c r="G1360" t="s">
        <v>107</v>
      </c>
      <c r="H1360" t="s">
        <v>8</v>
      </c>
      <c r="I1360" t="s">
        <v>1935</v>
      </c>
      <c r="J1360" t="s">
        <v>1936</v>
      </c>
      <c r="K1360" s="8">
        <v>14</v>
      </c>
    </row>
    <row r="1361" spans="1:11">
      <c r="A1361" t="s">
        <v>3299</v>
      </c>
      <c r="B1361" s="15">
        <v>45632</v>
      </c>
      <c r="C1361" s="4">
        <v>45627</v>
      </c>
      <c r="D1361" t="s">
        <v>35</v>
      </c>
      <c r="E1361" t="s">
        <v>19</v>
      </c>
      <c r="F1361" t="s">
        <v>37</v>
      </c>
      <c r="G1361" t="s">
        <v>94</v>
      </c>
      <c r="H1361" t="s">
        <v>5</v>
      </c>
      <c r="I1361" t="s">
        <v>1935</v>
      </c>
      <c r="J1361" t="s">
        <v>1936</v>
      </c>
      <c r="K1361" s="8">
        <v>20</v>
      </c>
    </row>
    <row r="1362" spans="1:11">
      <c r="A1362" t="s">
        <v>3300</v>
      </c>
      <c r="B1362" s="15">
        <v>45652</v>
      </c>
      <c r="C1362" s="4">
        <v>45627</v>
      </c>
      <c r="D1362" t="s">
        <v>35</v>
      </c>
      <c r="E1362" t="s">
        <v>19</v>
      </c>
      <c r="F1362" t="s">
        <v>37</v>
      </c>
      <c r="G1362" t="s">
        <v>88</v>
      </c>
      <c r="H1362" t="s">
        <v>14</v>
      </c>
      <c r="I1362" t="s">
        <v>1935</v>
      </c>
      <c r="J1362" t="s">
        <v>1936</v>
      </c>
      <c r="K1362" s="8">
        <v>19</v>
      </c>
    </row>
    <row r="1363" spans="1:11">
      <c r="A1363" t="s">
        <v>3301</v>
      </c>
      <c r="B1363" s="15">
        <v>45640</v>
      </c>
      <c r="C1363" s="4">
        <v>45627</v>
      </c>
      <c r="D1363" t="s">
        <v>35</v>
      </c>
      <c r="E1363" t="s">
        <v>19</v>
      </c>
      <c r="F1363" t="s">
        <v>37</v>
      </c>
      <c r="G1363" t="s">
        <v>107</v>
      </c>
      <c r="H1363" t="s">
        <v>8</v>
      </c>
      <c r="I1363" t="s">
        <v>1935</v>
      </c>
      <c r="J1363" t="s">
        <v>1938</v>
      </c>
      <c r="K1363" s="8">
        <v>30</v>
      </c>
    </row>
    <row r="1364" spans="1:11">
      <c r="A1364" t="s">
        <v>3302</v>
      </c>
      <c r="B1364" s="15">
        <v>45644</v>
      </c>
      <c r="C1364" s="4">
        <v>45627</v>
      </c>
      <c r="D1364" t="s">
        <v>35</v>
      </c>
      <c r="E1364" t="s">
        <v>19</v>
      </c>
      <c r="F1364" t="s">
        <v>37</v>
      </c>
      <c r="G1364" t="s">
        <v>78</v>
      </c>
      <c r="H1364" t="s">
        <v>8</v>
      </c>
      <c r="I1364" t="s">
        <v>1935</v>
      </c>
      <c r="J1364" t="s">
        <v>1936</v>
      </c>
      <c r="K1364" s="8">
        <v>15</v>
      </c>
    </row>
    <row r="1365" spans="1:11">
      <c r="A1365" t="s">
        <v>3303</v>
      </c>
      <c r="B1365" s="15">
        <v>45638</v>
      </c>
      <c r="C1365" s="4">
        <v>45627</v>
      </c>
      <c r="D1365" t="s">
        <v>38</v>
      </c>
      <c r="E1365" t="s">
        <v>19</v>
      </c>
      <c r="F1365" t="s">
        <v>40</v>
      </c>
      <c r="G1365" t="s">
        <v>82</v>
      </c>
      <c r="H1365" t="s">
        <v>5</v>
      </c>
      <c r="I1365" t="s">
        <v>1935</v>
      </c>
      <c r="J1365" t="s">
        <v>1936</v>
      </c>
      <c r="K1365" s="8">
        <v>9</v>
      </c>
    </row>
    <row r="1366" spans="1:11">
      <c r="A1366" t="s">
        <v>3304</v>
      </c>
      <c r="B1366" s="15">
        <v>45635</v>
      </c>
      <c r="C1366" s="4">
        <v>45627</v>
      </c>
      <c r="D1366" t="s">
        <v>38</v>
      </c>
      <c r="E1366" t="s">
        <v>19</v>
      </c>
      <c r="F1366" t="s">
        <v>40</v>
      </c>
      <c r="G1366" t="s">
        <v>115</v>
      </c>
      <c r="H1366" t="s">
        <v>8</v>
      </c>
      <c r="I1366" t="s">
        <v>1935</v>
      </c>
      <c r="J1366" t="s">
        <v>1936</v>
      </c>
      <c r="K1366" s="8">
        <v>35</v>
      </c>
    </row>
    <row r="1367" spans="1:11">
      <c r="A1367" t="s">
        <v>3305</v>
      </c>
      <c r="B1367" s="15">
        <v>45629</v>
      </c>
      <c r="C1367" s="4">
        <v>45627</v>
      </c>
      <c r="D1367" t="s">
        <v>38</v>
      </c>
      <c r="E1367" t="s">
        <v>19</v>
      </c>
      <c r="F1367" t="s">
        <v>40</v>
      </c>
      <c r="G1367" t="s">
        <v>90</v>
      </c>
      <c r="H1367" t="s">
        <v>5</v>
      </c>
      <c r="I1367" t="s">
        <v>1935</v>
      </c>
      <c r="J1367" t="s">
        <v>1938</v>
      </c>
      <c r="K1367" s="8">
        <v>30</v>
      </c>
    </row>
    <row r="1368" spans="1:11">
      <c r="A1368" t="s">
        <v>3306</v>
      </c>
      <c r="B1368" s="15">
        <v>45640</v>
      </c>
      <c r="C1368" s="4">
        <v>45627</v>
      </c>
      <c r="D1368" t="s">
        <v>38</v>
      </c>
      <c r="E1368" t="s">
        <v>19</v>
      </c>
      <c r="F1368" t="s">
        <v>40</v>
      </c>
      <c r="G1368" t="s">
        <v>164</v>
      </c>
      <c r="H1368" t="s">
        <v>5</v>
      </c>
      <c r="I1368" t="s">
        <v>1935</v>
      </c>
      <c r="J1368" t="s">
        <v>1938</v>
      </c>
      <c r="K1368" s="8">
        <v>16</v>
      </c>
    </row>
    <row r="1369" spans="1:11">
      <c r="A1369" t="s">
        <v>3307</v>
      </c>
      <c r="B1369" s="15">
        <v>45656</v>
      </c>
      <c r="C1369" s="4">
        <v>45627</v>
      </c>
      <c r="D1369" t="s">
        <v>38</v>
      </c>
      <c r="E1369" t="s">
        <v>19</v>
      </c>
      <c r="F1369" t="s">
        <v>40</v>
      </c>
      <c r="G1369" t="s">
        <v>134</v>
      </c>
      <c r="H1369" t="s">
        <v>14</v>
      </c>
      <c r="I1369" t="s">
        <v>1935</v>
      </c>
      <c r="J1369" t="s">
        <v>1938</v>
      </c>
      <c r="K1369" s="8">
        <v>22</v>
      </c>
    </row>
    <row r="1370" spans="1:11">
      <c r="A1370" t="s">
        <v>3308</v>
      </c>
      <c r="B1370" s="15">
        <v>45634</v>
      </c>
      <c r="C1370" s="4">
        <v>45627</v>
      </c>
      <c r="D1370" t="s">
        <v>38</v>
      </c>
      <c r="E1370" t="s">
        <v>19</v>
      </c>
      <c r="F1370" t="s">
        <v>40</v>
      </c>
      <c r="G1370" t="s">
        <v>109</v>
      </c>
      <c r="H1370" t="s">
        <v>11</v>
      </c>
      <c r="I1370" t="s">
        <v>1935</v>
      </c>
      <c r="J1370" t="s">
        <v>1938</v>
      </c>
      <c r="K1370" s="8">
        <v>19</v>
      </c>
    </row>
    <row r="1371" spans="1:11">
      <c r="A1371" t="s">
        <v>3309</v>
      </c>
      <c r="B1371" s="15">
        <v>45632</v>
      </c>
      <c r="C1371" s="4">
        <v>45627</v>
      </c>
      <c r="D1371" t="s">
        <v>38</v>
      </c>
      <c r="E1371" t="s">
        <v>19</v>
      </c>
      <c r="F1371" t="s">
        <v>40</v>
      </c>
      <c r="G1371" t="s">
        <v>128</v>
      </c>
      <c r="H1371" t="s">
        <v>11</v>
      </c>
      <c r="I1371" t="s">
        <v>1935</v>
      </c>
      <c r="J1371" t="s">
        <v>1938</v>
      </c>
      <c r="K1371" s="8">
        <v>30</v>
      </c>
    </row>
    <row r="1372" spans="1:11">
      <c r="A1372" t="s">
        <v>3310</v>
      </c>
      <c r="B1372" s="15">
        <v>45652</v>
      </c>
      <c r="C1372" s="4">
        <v>45627</v>
      </c>
      <c r="D1372" t="s">
        <v>38</v>
      </c>
      <c r="E1372" t="s">
        <v>19</v>
      </c>
      <c r="F1372" t="s">
        <v>40</v>
      </c>
      <c r="G1372" t="s">
        <v>164</v>
      </c>
      <c r="H1372" t="s">
        <v>5</v>
      </c>
      <c r="I1372" t="s">
        <v>1935</v>
      </c>
      <c r="J1372" t="s">
        <v>1936</v>
      </c>
      <c r="K1372" s="8">
        <v>27</v>
      </c>
    </row>
    <row r="1373" spans="1:11">
      <c r="A1373" t="s">
        <v>3311</v>
      </c>
      <c r="B1373" s="15">
        <v>45630</v>
      </c>
      <c r="C1373" s="4">
        <v>45627</v>
      </c>
      <c r="D1373" t="s">
        <v>38</v>
      </c>
      <c r="E1373" t="s">
        <v>19</v>
      </c>
      <c r="F1373" t="s">
        <v>40</v>
      </c>
      <c r="G1373" t="s">
        <v>134</v>
      </c>
      <c r="H1373" t="s">
        <v>14</v>
      </c>
      <c r="I1373" t="s">
        <v>1935</v>
      </c>
      <c r="J1373" t="s">
        <v>1936</v>
      </c>
      <c r="K1373" s="8">
        <v>17</v>
      </c>
    </row>
    <row r="1374" spans="1:11">
      <c r="A1374" t="s">
        <v>3312</v>
      </c>
      <c r="B1374" s="15">
        <v>45629</v>
      </c>
      <c r="C1374" s="4">
        <v>45627</v>
      </c>
      <c r="D1374" t="s">
        <v>41</v>
      </c>
      <c r="E1374" t="s">
        <v>21</v>
      </c>
      <c r="F1374" t="s">
        <v>43</v>
      </c>
      <c r="G1374" t="s">
        <v>226</v>
      </c>
      <c r="H1374" t="s">
        <v>5</v>
      </c>
      <c r="I1374" t="s">
        <v>1935</v>
      </c>
      <c r="J1374" t="s">
        <v>1938</v>
      </c>
      <c r="K1374" s="8">
        <v>24</v>
      </c>
    </row>
    <row r="1375" spans="1:11">
      <c r="A1375" t="s">
        <v>3313</v>
      </c>
      <c r="B1375" s="15">
        <v>45639</v>
      </c>
      <c r="C1375" s="4">
        <v>45627</v>
      </c>
      <c r="D1375" t="s">
        <v>41</v>
      </c>
      <c r="E1375" t="s">
        <v>21</v>
      </c>
      <c r="F1375" t="s">
        <v>43</v>
      </c>
      <c r="G1375" t="s">
        <v>208</v>
      </c>
      <c r="H1375" t="s">
        <v>11</v>
      </c>
      <c r="I1375" t="s">
        <v>1935</v>
      </c>
      <c r="J1375" t="s">
        <v>1936</v>
      </c>
      <c r="K1375" s="8">
        <v>33</v>
      </c>
    </row>
    <row r="1376" spans="1:11">
      <c r="A1376" t="s">
        <v>3314</v>
      </c>
      <c r="B1376" s="15">
        <v>45638</v>
      </c>
      <c r="C1376" s="4">
        <v>45627</v>
      </c>
      <c r="D1376" t="s">
        <v>41</v>
      </c>
      <c r="E1376" t="s">
        <v>21</v>
      </c>
      <c r="F1376" t="s">
        <v>43</v>
      </c>
      <c r="G1376" t="s">
        <v>220</v>
      </c>
      <c r="H1376" t="s">
        <v>11</v>
      </c>
      <c r="I1376" t="s">
        <v>1935</v>
      </c>
      <c r="J1376" t="s">
        <v>1954</v>
      </c>
      <c r="K1376" s="8">
        <v>26</v>
      </c>
    </row>
    <row r="1377" spans="1:11">
      <c r="A1377" t="s">
        <v>3315</v>
      </c>
      <c r="B1377" s="15">
        <v>45642</v>
      </c>
      <c r="C1377" s="4">
        <v>45627</v>
      </c>
      <c r="D1377" t="s">
        <v>41</v>
      </c>
      <c r="E1377" t="s">
        <v>21</v>
      </c>
      <c r="F1377" t="s">
        <v>43</v>
      </c>
      <c r="G1377" t="s">
        <v>166</v>
      </c>
      <c r="H1377" t="s">
        <v>14</v>
      </c>
      <c r="I1377" t="s">
        <v>1935</v>
      </c>
      <c r="J1377" t="s">
        <v>1936</v>
      </c>
      <c r="K1377" s="8">
        <v>21</v>
      </c>
    </row>
    <row r="1378" spans="1:11">
      <c r="A1378" t="s">
        <v>3316</v>
      </c>
      <c r="B1378" s="15">
        <v>45645</v>
      </c>
      <c r="C1378" s="4">
        <v>45627</v>
      </c>
      <c r="D1378" t="s">
        <v>41</v>
      </c>
      <c r="E1378" t="s">
        <v>21</v>
      </c>
      <c r="F1378" t="s">
        <v>43</v>
      </c>
      <c r="G1378" t="s">
        <v>202</v>
      </c>
      <c r="H1378" t="s">
        <v>5</v>
      </c>
      <c r="I1378" t="s">
        <v>1935</v>
      </c>
      <c r="J1378" t="s">
        <v>1938</v>
      </c>
      <c r="K1378" s="8">
        <v>12</v>
      </c>
    </row>
    <row r="1379" spans="1:11">
      <c r="A1379" t="s">
        <v>3317</v>
      </c>
      <c r="B1379" s="15">
        <v>45634</v>
      </c>
      <c r="C1379" s="4">
        <v>45627</v>
      </c>
      <c r="D1379" t="s">
        <v>41</v>
      </c>
      <c r="E1379" t="s">
        <v>21</v>
      </c>
      <c r="F1379" t="s">
        <v>43</v>
      </c>
      <c r="G1379" t="s">
        <v>208</v>
      </c>
      <c r="H1379" t="s">
        <v>8</v>
      </c>
      <c r="I1379" t="s">
        <v>1935</v>
      </c>
      <c r="J1379" t="s">
        <v>1936</v>
      </c>
      <c r="K1379" s="8">
        <v>20</v>
      </c>
    </row>
    <row r="1380" spans="1:11">
      <c r="A1380" t="s">
        <v>3318</v>
      </c>
      <c r="B1380" s="15">
        <v>45651</v>
      </c>
      <c r="C1380" s="4">
        <v>45627</v>
      </c>
      <c r="D1380" t="s">
        <v>41</v>
      </c>
      <c r="E1380" t="s">
        <v>21</v>
      </c>
      <c r="F1380" t="s">
        <v>43</v>
      </c>
      <c r="G1380" t="s">
        <v>196</v>
      </c>
      <c r="H1380" t="s">
        <v>5</v>
      </c>
      <c r="I1380" t="s">
        <v>1935</v>
      </c>
      <c r="J1380" t="s">
        <v>1954</v>
      </c>
      <c r="K1380" s="8">
        <v>16</v>
      </c>
    </row>
    <row r="1381" spans="1:11">
      <c r="A1381" t="s">
        <v>3319</v>
      </c>
      <c r="B1381" s="15">
        <v>45655</v>
      </c>
      <c r="C1381" s="4">
        <v>45627</v>
      </c>
      <c r="D1381" t="s">
        <v>41</v>
      </c>
      <c r="E1381" t="s">
        <v>21</v>
      </c>
      <c r="F1381" t="s">
        <v>43</v>
      </c>
      <c r="G1381" t="s">
        <v>184</v>
      </c>
      <c r="H1381" t="s">
        <v>5</v>
      </c>
      <c r="I1381" t="s">
        <v>1942</v>
      </c>
      <c r="J1381" t="s">
        <v>1938</v>
      </c>
      <c r="K1381" s="8">
        <v>0</v>
      </c>
    </row>
    <row r="1382" spans="1:11">
      <c r="A1382" t="s">
        <v>3320</v>
      </c>
      <c r="B1382" s="15">
        <v>45649</v>
      </c>
      <c r="C1382" s="4">
        <v>45627</v>
      </c>
      <c r="D1382" t="s">
        <v>41</v>
      </c>
      <c r="E1382" t="s">
        <v>21</v>
      </c>
      <c r="F1382" t="s">
        <v>43</v>
      </c>
      <c r="G1382" t="s">
        <v>214</v>
      </c>
      <c r="H1382" t="s">
        <v>8</v>
      </c>
      <c r="I1382" t="s">
        <v>1935</v>
      </c>
      <c r="J1382" t="s">
        <v>1936</v>
      </c>
      <c r="K1382" s="8">
        <v>29</v>
      </c>
    </row>
    <row r="1383" spans="1:11">
      <c r="A1383" t="s">
        <v>3321</v>
      </c>
      <c r="B1383" s="15">
        <v>45650</v>
      </c>
      <c r="C1383" s="4">
        <v>45627</v>
      </c>
      <c r="D1383" t="s">
        <v>41</v>
      </c>
      <c r="E1383" t="s">
        <v>21</v>
      </c>
      <c r="F1383" t="s">
        <v>43</v>
      </c>
      <c r="G1383" t="s">
        <v>202</v>
      </c>
      <c r="H1383" t="s">
        <v>11</v>
      </c>
      <c r="I1383" t="s">
        <v>1935</v>
      </c>
      <c r="J1383" t="s">
        <v>1936</v>
      </c>
      <c r="K1383" s="8">
        <v>8</v>
      </c>
    </row>
    <row r="1384" spans="1:11">
      <c r="A1384" t="s">
        <v>3322</v>
      </c>
      <c r="B1384" s="15">
        <v>45627</v>
      </c>
      <c r="C1384" s="4">
        <v>45627</v>
      </c>
      <c r="D1384" t="s">
        <v>41</v>
      </c>
      <c r="E1384" t="s">
        <v>21</v>
      </c>
      <c r="F1384" t="s">
        <v>43</v>
      </c>
      <c r="G1384" t="s">
        <v>190</v>
      </c>
      <c r="H1384" t="s">
        <v>14</v>
      </c>
      <c r="I1384" t="s">
        <v>1935</v>
      </c>
      <c r="J1384" t="s">
        <v>1936</v>
      </c>
      <c r="K1384" s="8">
        <v>22</v>
      </c>
    </row>
    <row r="1385" spans="1:11">
      <c r="A1385" t="s">
        <v>3323</v>
      </c>
      <c r="B1385" s="15">
        <v>45657</v>
      </c>
      <c r="C1385" s="4">
        <v>45627</v>
      </c>
      <c r="D1385" t="s">
        <v>41</v>
      </c>
      <c r="E1385" t="s">
        <v>21</v>
      </c>
      <c r="F1385" t="s">
        <v>43</v>
      </c>
      <c r="G1385" t="s">
        <v>220</v>
      </c>
      <c r="H1385" t="s">
        <v>11</v>
      </c>
      <c r="I1385" t="s">
        <v>1935</v>
      </c>
      <c r="J1385" t="s">
        <v>1936</v>
      </c>
      <c r="K1385" s="8">
        <v>30</v>
      </c>
    </row>
    <row r="1386" spans="1:11">
      <c r="A1386" t="s">
        <v>3324</v>
      </c>
      <c r="B1386" s="15">
        <v>45656</v>
      </c>
      <c r="C1386" s="4">
        <v>45627</v>
      </c>
      <c r="D1386" t="s">
        <v>44</v>
      </c>
      <c r="E1386" t="s">
        <v>21</v>
      </c>
      <c r="F1386" t="s">
        <v>46</v>
      </c>
      <c r="G1386" t="s">
        <v>180</v>
      </c>
      <c r="H1386" t="s">
        <v>14</v>
      </c>
      <c r="I1386" t="s">
        <v>1935</v>
      </c>
      <c r="J1386" t="s">
        <v>1936</v>
      </c>
      <c r="K1386" s="8">
        <v>11</v>
      </c>
    </row>
    <row r="1387" spans="1:11">
      <c r="A1387" t="s">
        <v>3325</v>
      </c>
      <c r="B1387" s="15">
        <v>45650</v>
      </c>
      <c r="C1387" s="4">
        <v>45627</v>
      </c>
      <c r="D1387" t="s">
        <v>44</v>
      </c>
      <c r="E1387" t="s">
        <v>21</v>
      </c>
      <c r="F1387" t="s">
        <v>46</v>
      </c>
      <c r="G1387" t="s">
        <v>186</v>
      </c>
      <c r="H1387" t="s">
        <v>14</v>
      </c>
      <c r="I1387" t="s">
        <v>1935</v>
      </c>
      <c r="J1387" t="s">
        <v>1936</v>
      </c>
      <c r="K1387" s="8">
        <v>16</v>
      </c>
    </row>
    <row r="1388" spans="1:11">
      <c r="A1388" t="s">
        <v>3326</v>
      </c>
      <c r="B1388" s="15">
        <v>45652</v>
      </c>
      <c r="C1388" s="4">
        <v>45627</v>
      </c>
      <c r="D1388" t="s">
        <v>44</v>
      </c>
      <c r="E1388" t="s">
        <v>21</v>
      </c>
      <c r="F1388" t="s">
        <v>46</v>
      </c>
      <c r="G1388" t="s">
        <v>186</v>
      </c>
      <c r="H1388" t="s">
        <v>11</v>
      </c>
      <c r="I1388" t="s">
        <v>1935</v>
      </c>
      <c r="J1388" t="s">
        <v>1936</v>
      </c>
      <c r="K1388" s="8">
        <v>30</v>
      </c>
    </row>
    <row r="1389" spans="1:11">
      <c r="A1389" t="s">
        <v>3327</v>
      </c>
      <c r="B1389" s="15">
        <v>45628</v>
      </c>
      <c r="C1389" s="4">
        <v>45627</v>
      </c>
      <c r="D1389" t="s">
        <v>44</v>
      </c>
      <c r="E1389" t="s">
        <v>21</v>
      </c>
      <c r="F1389" t="s">
        <v>46</v>
      </c>
      <c r="G1389" t="s">
        <v>186</v>
      </c>
      <c r="H1389" t="s">
        <v>14</v>
      </c>
      <c r="I1389" t="s">
        <v>1935</v>
      </c>
      <c r="J1389" t="s">
        <v>1936</v>
      </c>
      <c r="K1389" s="8">
        <v>28</v>
      </c>
    </row>
    <row r="1390" spans="1:11">
      <c r="A1390" t="s">
        <v>3328</v>
      </c>
      <c r="B1390" s="15">
        <v>45638</v>
      </c>
      <c r="C1390" s="4">
        <v>45627</v>
      </c>
      <c r="D1390" t="s">
        <v>44</v>
      </c>
      <c r="E1390" t="s">
        <v>21</v>
      </c>
      <c r="F1390" t="s">
        <v>46</v>
      </c>
      <c r="G1390" t="s">
        <v>198</v>
      </c>
      <c r="H1390" t="s">
        <v>5</v>
      </c>
      <c r="I1390" t="s">
        <v>1935</v>
      </c>
      <c r="J1390" t="s">
        <v>1954</v>
      </c>
      <c r="K1390" s="8">
        <v>27</v>
      </c>
    </row>
    <row r="1391" spans="1:11">
      <c r="A1391" t="s">
        <v>3329</v>
      </c>
      <c r="B1391" s="15">
        <v>45652</v>
      </c>
      <c r="C1391" s="4">
        <v>45627</v>
      </c>
      <c r="D1391" t="s">
        <v>44</v>
      </c>
      <c r="E1391" t="s">
        <v>21</v>
      </c>
      <c r="F1391" t="s">
        <v>46</v>
      </c>
      <c r="G1391" t="s">
        <v>216</v>
      </c>
      <c r="H1391" t="s">
        <v>14</v>
      </c>
      <c r="I1391" t="s">
        <v>1935</v>
      </c>
      <c r="J1391" t="s">
        <v>1936</v>
      </c>
      <c r="K1391" s="8">
        <v>16</v>
      </c>
    </row>
    <row r="1392" spans="1:11">
      <c r="A1392" t="s">
        <v>3330</v>
      </c>
      <c r="B1392" s="15">
        <v>45642</v>
      </c>
      <c r="C1392" s="4">
        <v>45627</v>
      </c>
      <c r="D1392" t="s">
        <v>44</v>
      </c>
      <c r="E1392" t="s">
        <v>21</v>
      </c>
      <c r="F1392" t="s">
        <v>46</v>
      </c>
      <c r="G1392" t="s">
        <v>174</v>
      </c>
      <c r="H1392" t="s">
        <v>5</v>
      </c>
      <c r="I1392" t="s">
        <v>1935</v>
      </c>
      <c r="J1392" t="s">
        <v>1936</v>
      </c>
      <c r="K1392" s="8">
        <v>21</v>
      </c>
    </row>
    <row r="1393" spans="1:11">
      <c r="A1393" t="s">
        <v>3331</v>
      </c>
      <c r="B1393" s="15">
        <v>45654</v>
      </c>
      <c r="C1393" s="4">
        <v>45627</v>
      </c>
      <c r="D1393" t="s">
        <v>44</v>
      </c>
      <c r="E1393" t="s">
        <v>21</v>
      </c>
      <c r="F1393" t="s">
        <v>46</v>
      </c>
      <c r="G1393" t="s">
        <v>198</v>
      </c>
      <c r="H1393" t="s">
        <v>5</v>
      </c>
      <c r="I1393" t="s">
        <v>1935</v>
      </c>
      <c r="J1393" t="s">
        <v>1936</v>
      </c>
      <c r="K1393" s="8">
        <v>33</v>
      </c>
    </row>
    <row r="1394" spans="1:11">
      <c r="A1394" t="s">
        <v>3332</v>
      </c>
      <c r="B1394" s="15">
        <v>45652</v>
      </c>
      <c r="C1394" s="4">
        <v>45627</v>
      </c>
      <c r="D1394" t="s">
        <v>44</v>
      </c>
      <c r="E1394" t="s">
        <v>21</v>
      </c>
      <c r="F1394" t="s">
        <v>46</v>
      </c>
      <c r="G1394" t="s">
        <v>180</v>
      </c>
      <c r="H1394" t="s">
        <v>14</v>
      </c>
      <c r="I1394" t="s">
        <v>1935</v>
      </c>
      <c r="J1394" t="s">
        <v>1936</v>
      </c>
      <c r="K1394" s="8">
        <v>11</v>
      </c>
    </row>
    <row r="1395" spans="1:11">
      <c r="A1395" t="s">
        <v>3333</v>
      </c>
      <c r="B1395" s="15">
        <v>45637</v>
      </c>
      <c r="C1395" s="4">
        <v>45627</v>
      </c>
      <c r="D1395" t="s">
        <v>44</v>
      </c>
      <c r="E1395" t="s">
        <v>21</v>
      </c>
      <c r="F1395" t="s">
        <v>46</v>
      </c>
      <c r="G1395" t="s">
        <v>186</v>
      </c>
      <c r="H1395" t="s">
        <v>14</v>
      </c>
      <c r="I1395" t="s">
        <v>1935</v>
      </c>
      <c r="J1395" t="s">
        <v>1936</v>
      </c>
      <c r="K1395" s="8">
        <v>22</v>
      </c>
    </row>
    <row r="1396" spans="1:11">
      <c r="A1396" t="s">
        <v>3334</v>
      </c>
      <c r="B1396" s="15">
        <v>45656</v>
      </c>
      <c r="C1396" s="4">
        <v>45627</v>
      </c>
      <c r="D1396" t="s">
        <v>47</v>
      </c>
      <c r="E1396" t="s">
        <v>21</v>
      </c>
      <c r="F1396" t="s">
        <v>49</v>
      </c>
      <c r="G1396" t="s">
        <v>170</v>
      </c>
      <c r="H1396" t="s">
        <v>5</v>
      </c>
      <c r="I1396" t="s">
        <v>1935</v>
      </c>
      <c r="J1396" t="s">
        <v>1936</v>
      </c>
      <c r="K1396" s="8">
        <v>8</v>
      </c>
    </row>
    <row r="1397" spans="1:11">
      <c r="A1397" t="s">
        <v>3335</v>
      </c>
      <c r="B1397" s="15">
        <v>45642</v>
      </c>
      <c r="C1397" s="4">
        <v>45627</v>
      </c>
      <c r="D1397" t="s">
        <v>47</v>
      </c>
      <c r="E1397" t="s">
        <v>21</v>
      </c>
      <c r="F1397" t="s">
        <v>49</v>
      </c>
      <c r="G1397" t="s">
        <v>176</v>
      </c>
      <c r="H1397" t="s">
        <v>11</v>
      </c>
      <c r="I1397" t="s">
        <v>1935</v>
      </c>
      <c r="J1397" t="s">
        <v>1936</v>
      </c>
      <c r="K1397" s="8">
        <v>28</v>
      </c>
    </row>
    <row r="1398" spans="1:11">
      <c r="A1398" t="s">
        <v>3336</v>
      </c>
      <c r="B1398" s="15">
        <v>45627</v>
      </c>
      <c r="C1398" s="4">
        <v>45627</v>
      </c>
      <c r="D1398" t="s">
        <v>47</v>
      </c>
      <c r="E1398" t="s">
        <v>21</v>
      </c>
      <c r="F1398" t="s">
        <v>49</v>
      </c>
      <c r="G1398" t="s">
        <v>170</v>
      </c>
      <c r="H1398" t="s">
        <v>8</v>
      </c>
      <c r="I1398" t="s">
        <v>1942</v>
      </c>
      <c r="J1398" t="s">
        <v>1936</v>
      </c>
      <c r="K1398" s="8">
        <v>0</v>
      </c>
    </row>
    <row r="1399" spans="1:11">
      <c r="A1399" t="s">
        <v>3337</v>
      </c>
      <c r="B1399" s="15">
        <v>45629</v>
      </c>
      <c r="C1399" s="4">
        <v>45627</v>
      </c>
      <c r="D1399" t="s">
        <v>47</v>
      </c>
      <c r="E1399" t="s">
        <v>21</v>
      </c>
      <c r="F1399" t="s">
        <v>49</v>
      </c>
      <c r="G1399" t="s">
        <v>218</v>
      </c>
      <c r="H1399" t="s">
        <v>14</v>
      </c>
      <c r="I1399" t="s">
        <v>1935</v>
      </c>
      <c r="J1399" t="s">
        <v>1954</v>
      </c>
      <c r="K1399" s="8">
        <v>18</v>
      </c>
    </row>
    <row r="1400" spans="1:11">
      <c r="A1400" t="s">
        <v>3338</v>
      </c>
      <c r="B1400" s="15">
        <v>45637</v>
      </c>
      <c r="C1400" s="4">
        <v>45627</v>
      </c>
      <c r="D1400" t="s">
        <v>47</v>
      </c>
      <c r="E1400" t="s">
        <v>21</v>
      </c>
      <c r="F1400" t="s">
        <v>49</v>
      </c>
      <c r="G1400" t="s">
        <v>218</v>
      </c>
      <c r="H1400" t="s">
        <v>14</v>
      </c>
      <c r="I1400" t="s">
        <v>1935</v>
      </c>
      <c r="J1400" t="s">
        <v>1936</v>
      </c>
      <c r="K1400" s="8">
        <v>13</v>
      </c>
    </row>
    <row r="1401" spans="1:11">
      <c r="A1401" t="s">
        <v>3339</v>
      </c>
      <c r="B1401" s="15">
        <v>45657</v>
      </c>
      <c r="C1401" s="4">
        <v>45627</v>
      </c>
      <c r="D1401" t="s">
        <v>47</v>
      </c>
      <c r="E1401" t="s">
        <v>21</v>
      </c>
      <c r="F1401" t="s">
        <v>49</v>
      </c>
      <c r="G1401" t="s">
        <v>194</v>
      </c>
      <c r="H1401" t="s">
        <v>14</v>
      </c>
      <c r="I1401" t="s">
        <v>1935</v>
      </c>
      <c r="J1401" t="s">
        <v>1936</v>
      </c>
      <c r="K1401" s="8">
        <v>18</v>
      </c>
    </row>
    <row r="1402" spans="1:11">
      <c r="A1402" t="s">
        <v>3340</v>
      </c>
      <c r="B1402" s="15">
        <v>45645</v>
      </c>
      <c r="C1402" s="4">
        <v>45627</v>
      </c>
      <c r="D1402" t="s">
        <v>47</v>
      </c>
      <c r="E1402" t="s">
        <v>21</v>
      </c>
      <c r="F1402" t="s">
        <v>49</v>
      </c>
      <c r="G1402" t="s">
        <v>236</v>
      </c>
      <c r="H1402" t="s">
        <v>5</v>
      </c>
      <c r="I1402" t="s">
        <v>1935</v>
      </c>
      <c r="J1402" t="s">
        <v>1936</v>
      </c>
      <c r="K1402" s="8">
        <v>32</v>
      </c>
    </row>
    <row r="1403" spans="1:11">
      <c r="A1403" t="s">
        <v>3341</v>
      </c>
      <c r="B1403" s="15">
        <v>45628</v>
      </c>
      <c r="C1403" s="4">
        <v>45627</v>
      </c>
      <c r="D1403" t="s">
        <v>47</v>
      </c>
      <c r="E1403" t="s">
        <v>21</v>
      </c>
      <c r="F1403" t="s">
        <v>49</v>
      </c>
      <c r="G1403" t="s">
        <v>176</v>
      </c>
      <c r="H1403" t="s">
        <v>8</v>
      </c>
      <c r="I1403" t="s">
        <v>1935</v>
      </c>
      <c r="J1403" t="s">
        <v>1936</v>
      </c>
      <c r="K1403" s="8">
        <v>19</v>
      </c>
    </row>
    <row r="1404" spans="1:11">
      <c r="A1404" t="s">
        <v>3342</v>
      </c>
      <c r="B1404" s="15">
        <v>45651</v>
      </c>
      <c r="C1404" s="4">
        <v>45627</v>
      </c>
      <c r="D1404" t="s">
        <v>47</v>
      </c>
      <c r="E1404" t="s">
        <v>21</v>
      </c>
      <c r="F1404" t="s">
        <v>49</v>
      </c>
      <c r="G1404" t="s">
        <v>236</v>
      </c>
      <c r="H1404" t="s">
        <v>11</v>
      </c>
      <c r="I1404" t="s">
        <v>1935</v>
      </c>
      <c r="J1404" t="s">
        <v>1936</v>
      </c>
      <c r="K1404" s="8">
        <v>28</v>
      </c>
    </row>
    <row r="1405" spans="1:11">
      <c r="A1405" t="s">
        <v>3343</v>
      </c>
      <c r="B1405" s="15">
        <v>45650</v>
      </c>
      <c r="C1405" s="4">
        <v>45627</v>
      </c>
      <c r="D1405" t="s">
        <v>47</v>
      </c>
      <c r="E1405" t="s">
        <v>21</v>
      </c>
      <c r="F1405" t="s">
        <v>49</v>
      </c>
      <c r="G1405" t="s">
        <v>236</v>
      </c>
      <c r="H1405" t="s">
        <v>14</v>
      </c>
      <c r="I1405" t="s">
        <v>1935</v>
      </c>
      <c r="J1405" t="s">
        <v>1938</v>
      </c>
      <c r="K1405" s="8">
        <v>8</v>
      </c>
    </row>
    <row r="1406" spans="1:11">
      <c r="A1406" t="s">
        <v>3344</v>
      </c>
      <c r="B1406" s="15">
        <v>45656</v>
      </c>
      <c r="C1406" s="4">
        <v>45627</v>
      </c>
      <c r="D1406" t="s">
        <v>47</v>
      </c>
      <c r="E1406" t="s">
        <v>21</v>
      </c>
      <c r="F1406" t="s">
        <v>49</v>
      </c>
      <c r="G1406" t="s">
        <v>212</v>
      </c>
      <c r="H1406" t="s">
        <v>14</v>
      </c>
      <c r="I1406" t="s">
        <v>1935</v>
      </c>
      <c r="J1406" t="s">
        <v>1954</v>
      </c>
      <c r="K1406" s="8">
        <v>32</v>
      </c>
    </row>
    <row r="1407" spans="1:11">
      <c r="A1407" t="s">
        <v>3345</v>
      </c>
      <c r="B1407" s="15">
        <v>45627</v>
      </c>
      <c r="C1407" s="4">
        <v>45627</v>
      </c>
      <c r="D1407" t="s">
        <v>47</v>
      </c>
      <c r="E1407" t="s">
        <v>21</v>
      </c>
      <c r="F1407" t="s">
        <v>49</v>
      </c>
      <c r="G1407" t="s">
        <v>236</v>
      </c>
      <c r="H1407" t="s">
        <v>14</v>
      </c>
      <c r="I1407" t="s">
        <v>1935</v>
      </c>
      <c r="J1407" t="s">
        <v>1936</v>
      </c>
      <c r="K1407" s="8">
        <v>34</v>
      </c>
    </row>
    <row r="1408" spans="1:11">
      <c r="A1408" t="s">
        <v>3346</v>
      </c>
      <c r="B1408" s="15">
        <v>45640</v>
      </c>
      <c r="C1408" s="4">
        <v>45627</v>
      </c>
      <c r="D1408" t="s">
        <v>50</v>
      </c>
      <c r="E1408" t="s">
        <v>23</v>
      </c>
      <c r="F1408" t="s">
        <v>52</v>
      </c>
      <c r="G1408" t="s">
        <v>268</v>
      </c>
      <c r="H1408" t="s">
        <v>11</v>
      </c>
      <c r="I1408" t="s">
        <v>1935</v>
      </c>
      <c r="J1408" t="s">
        <v>1936</v>
      </c>
      <c r="K1408" s="8">
        <v>23</v>
      </c>
    </row>
    <row r="1409" spans="1:11">
      <c r="A1409" t="s">
        <v>3347</v>
      </c>
      <c r="B1409" s="15">
        <v>45644</v>
      </c>
      <c r="C1409" s="4">
        <v>45627</v>
      </c>
      <c r="D1409" t="s">
        <v>50</v>
      </c>
      <c r="E1409" t="s">
        <v>23</v>
      </c>
      <c r="F1409" t="s">
        <v>52</v>
      </c>
      <c r="G1409" t="s">
        <v>292</v>
      </c>
      <c r="H1409" t="s">
        <v>11</v>
      </c>
      <c r="I1409" t="s">
        <v>1935</v>
      </c>
      <c r="J1409" t="s">
        <v>1936</v>
      </c>
      <c r="K1409" s="8">
        <v>29</v>
      </c>
    </row>
    <row r="1410" spans="1:11">
      <c r="A1410" t="s">
        <v>3348</v>
      </c>
      <c r="B1410" s="15">
        <v>45640</v>
      </c>
      <c r="C1410" s="4">
        <v>45627</v>
      </c>
      <c r="D1410" t="s">
        <v>50</v>
      </c>
      <c r="E1410" t="s">
        <v>23</v>
      </c>
      <c r="F1410" t="s">
        <v>52</v>
      </c>
      <c r="G1410" t="s">
        <v>268</v>
      </c>
      <c r="H1410" t="s">
        <v>11</v>
      </c>
      <c r="I1410" t="s">
        <v>1935</v>
      </c>
      <c r="J1410" t="s">
        <v>1936</v>
      </c>
      <c r="K1410" s="8">
        <v>21</v>
      </c>
    </row>
    <row r="1411" spans="1:11">
      <c r="A1411" t="s">
        <v>3349</v>
      </c>
      <c r="B1411" s="15">
        <v>45645</v>
      </c>
      <c r="C1411" s="4">
        <v>45627</v>
      </c>
      <c r="D1411" t="s">
        <v>50</v>
      </c>
      <c r="E1411" t="s">
        <v>23</v>
      </c>
      <c r="F1411" t="s">
        <v>52</v>
      </c>
      <c r="G1411" t="s">
        <v>292</v>
      </c>
      <c r="H1411" t="s">
        <v>11</v>
      </c>
      <c r="I1411" t="s">
        <v>1935</v>
      </c>
      <c r="J1411" t="s">
        <v>1936</v>
      </c>
      <c r="K1411" s="8">
        <v>25</v>
      </c>
    </row>
    <row r="1412" spans="1:11">
      <c r="A1412" t="s">
        <v>3350</v>
      </c>
      <c r="B1412" s="15">
        <v>45652</v>
      </c>
      <c r="C1412" s="4">
        <v>45627</v>
      </c>
      <c r="D1412" t="s">
        <v>50</v>
      </c>
      <c r="E1412" t="s">
        <v>23</v>
      </c>
      <c r="F1412" t="s">
        <v>52</v>
      </c>
      <c r="G1412" t="s">
        <v>292</v>
      </c>
      <c r="H1412" t="s">
        <v>8</v>
      </c>
      <c r="I1412" t="s">
        <v>1935</v>
      </c>
      <c r="J1412" t="s">
        <v>1936</v>
      </c>
      <c r="K1412" s="8">
        <v>30</v>
      </c>
    </row>
    <row r="1413" spans="1:11">
      <c r="A1413" t="s">
        <v>3351</v>
      </c>
      <c r="B1413" s="15">
        <v>45652</v>
      </c>
      <c r="C1413" s="4">
        <v>45627</v>
      </c>
      <c r="D1413" t="s">
        <v>50</v>
      </c>
      <c r="E1413" t="s">
        <v>23</v>
      </c>
      <c r="F1413" t="s">
        <v>52</v>
      </c>
      <c r="G1413" t="s">
        <v>244</v>
      </c>
      <c r="H1413" t="s">
        <v>11</v>
      </c>
      <c r="I1413" t="s">
        <v>1995</v>
      </c>
      <c r="J1413" t="s">
        <v>1936</v>
      </c>
      <c r="K1413" s="8">
        <v>7</v>
      </c>
    </row>
    <row r="1414" spans="1:11">
      <c r="A1414" t="s">
        <v>3352</v>
      </c>
      <c r="B1414" s="15">
        <v>45648</v>
      </c>
      <c r="C1414" s="4">
        <v>45627</v>
      </c>
      <c r="D1414" t="s">
        <v>50</v>
      </c>
      <c r="E1414" t="s">
        <v>23</v>
      </c>
      <c r="F1414" t="s">
        <v>52</v>
      </c>
      <c r="G1414" t="s">
        <v>292</v>
      </c>
      <c r="H1414" t="s">
        <v>14</v>
      </c>
      <c r="I1414" t="s">
        <v>1935</v>
      </c>
      <c r="J1414" t="s">
        <v>1954</v>
      </c>
      <c r="K1414" s="8">
        <v>33</v>
      </c>
    </row>
    <row r="1415" spans="1:11">
      <c r="A1415" t="s">
        <v>3353</v>
      </c>
      <c r="B1415" s="15">
        <v>45648</v>
      </c>
      <c r="C1415" s="4">
        <v>45627</v>
      </c>
      <c r="D1415" t="s">
        <v>50</v>
      </c>
      <c r="E1415" t="s">
        <v>23</v>
      </c>
      <c r="F1415" t="s">
        <v>52</v>
      </c>
      <c r="G1415" t="s">
        <v>274</v>
      </c>
      <c r="H1415" t="s">
        <v>14</v>
      </c>
      <c r="I1415" t="s">
        <v>1935</v>
      </c>
      <c r="J1415" t="s">
        <v>1936</v>
      </c>
      <c r="K1415" s="8">
        <v>33</v>
      </c>
    </row>
    <row r="1416" spans="1:11">
      <c r="A1416" t="s">
        <v>3354</v>
      </c>
      <c r="B1416" s="15">
        <v>45648</v>
      </c>
      <c r="C1416" s="4">
        <v>45627</v>
      </c>
      <c r="D1416" t="s">
        <v>50</v>
      </c>
      <c r="E1416" t="s">
        <v>23</v>
      </c>
      <c r="F1416" t="s">
        <v>52</v>
      </c>
      <c r="G1416" t="s">
        <v>274</v>
      </c>
      <c r="H1416" t="s">
        <v>14</v>
      </c>
      <c r="I1416" t="s">
        <v>1935</v>
      </c>
      <c r="J1416" t="s">
        <v>1936</v>
      </c>
      <c r="K1416" s="8">
        <v>28</v>
      </c>
    </row>
    <row r="1417" spans="1:11">
      <c r="A1417" t="s">
        <v>3355</v>
      </c>
      <c r="B1417" s="15">
        <v>45653</v>
      </c>
      <c r="C1417" s="4">
        <v>45627</v>
      </c>
      <c r="D1417" t="s">
        <v>50</v>
      </c>
      <c r="E1417" t="s">
        <v>23</v>
      </c>
      <c r="F1417" t="s">
        <v>52</v>
      </c>
      <c r="G1417" t="s">
        <v>238</v>
      </c>
      <c r="H1417" t="s">
        <v>8</v>
      </c>
      <c r="I1417" t="s">
        <v>1935</v>
      </c>
      <c r="J1417" t="s">
        <v>1954</v>
      </c>
      <c r="K1417" s="8">
        <v>24</v>
      </c>
    </row>
    <row r="1418" spans="1:11">
      <c r="A1418" t="s">
        <v>3356</v>
      </c>
      <c r="B1418" s="15">
        <v>45649</v>
      </c>
      <c r="C1418" s="4">
        <v>45627</v>
      </c>
      <c r="D1418" t="s">
        <v>53</v>
      </c>
      <c r="E1418" t="s">
        <v>23</v>
      </c>
      <c r="F1418" t="s">
        <v>55</v>
      </c>
      <c r="G1418" t="s">
        <v>270</v>
      </c>
      <c r="H1418" t="s">
        <v>11</v>
      </c>
      <c r="I1418" t="s">
        <v>1995</v>
      </c>
      <c r="J1418" t="s">
        <v>1938</v>
      </c>
      <c r="K1418" s="8">
        <v>6</v>
      </c>
    </row>
    <row r="1419" spans="1:11">
      <c r="A1419" t="s">
        <v>3357</v>
      </c>
      <c r="B1419" s="15">
        <v>45631</v>
      </c>
      <c r="C1419" s="4">
        <v>45627</v>
      </c>
      <c r="D1419" t="s">
        <v>53</v>
      </c>
      <c r="E1419" t="s">
        <v>23</v>
      </c>
      <c r="F1419" t="s">
        <v>55</v>
      </c>
      <c r="G1419" t="s">
        <v>288</v>
      </c>
      <c r="H1419" t="s">
        <v>8</v>
      </c>
      <c r="I1419" t="s">
        <v>1935</v>
      </c>
      <c r="J1419" t="s">
        <v>1938</v>
      </c>
      <c r="K1419" s="8">
        <v>21</v>
      </c>
    </row>
    <row r="1420" spans="1:11">
      <c r="A1420" t="s">
        <v>3358</v>
      </c>
      <c r="B1420" s="15">
        <v>45656</v>
      </c>
      <c r="C1420" s="4">
        <v>45627</v>
      </c>
      <c r="D1420" t="s">
        <v>53</v>
      </c>
      <c r="E1420" t="s">
        <v>23</v>
      </c>
      <c r="F1420" t="s">
        <v>55</v>
      </c>
      <c r="G1420" t="s">
        <v>306</v>
      </c>
      <c r="H1420" t="s">
        <v>8</v>
      </c>
      <c r="I1420" t="s">
        <v>1935</v>
      </c>
      <c r="J1420" t="s">
        <v>1936</v>
      </c>
      <c r="K1420" s="8">
        <v>28</v>
      </c>
    </row>
    <row r="1421" spans="1:11">
      <c r="A1421" t="s">
        <v>3359</v>
      </c>
      <c r="B1421" s="15">
        <v>45657</v>
      </c>
      <c r="C1421" s="4">
        <v>45627</v>
      </c>
      <c r="D1421" t="s">
        <v>53</v>
      </c>
      <c r="E1421" t="s">
        <v>23</v>
      </c>
      <c r="F1421" t="s">
        <v>55</v>
      </c>
      <c r="G1421" t="s">
        <v>312</v>
      </c>
      <c r="H1421" t="s">
        <v>5</v>
      </c>
      <c r="I1421" t="s">
        <v>1935</v>
      </c>
      <c r="J1421" t="s">
        <v>1936</v>
      </c>
      <c r="K1421" s="8">
        <v>30</v>
      </c>
    </row>
    <row r="1422" spans="1:11">
      <c r="A1422" t="s">
        <v>3360</v>
      </c>
      <c r="B1422" s="15">
        <v>45631</v>
      </c>
      <c r="C1422" s="4">
        <v>45627</v>
      </c>
      <c r="D1422" t="s">
        <v>53</v>
      </c>
      <c r="E1422" t="s">
        <v>23</v>
      </c>
      <c r="F1422" t="s">
        <v>55</v>
      </c>
      <c r="G1422" t="s">
        <v>252</v>
      </c>
      <c r="H1422" t="s">
        <v>5</v>
      </c>
      <c r="I1422" t="s">
        <v>1935</v>
      </c>
      <c r="J1422" t="s">
        <v>1936</v>
      </c>
      <c r="K1422" s="8">
        <v>21</v>
      </c>
    </row>
    <row r="1423" spans="1:11">
      <c r="A1423" t="s">
        <v>3361</v>
      </c>
      <c r="B1423" s="15">
        <v>45642</v>
      </c>
      <c r="C1423" s="4">
        <v>45627</v>
      </c>
      <c r="D1423" t="s">
        <v>53</v>
      </c>
      <c r="E1423" t="s">
        <v>23</v>
      </c>
      <c r="F1423" t="s">
        <v>55</v>
      </c>
      <c r="G1423" t="s">
        <v>240</v>
      </c>
      <c r="H1423" t="s">
        <v>14</v>
      </c>
      <c r="I1423" t="s">
        <v>1935</v>
      </c>
      <c r="J1423" t="s">
        <v>1936</v>
      </c>
      <c r="K1423" s="8">
        <v>20</v>
      </c>
    </row>
    <row r="1424" spans="1:11">
      <c r="A1424" t="s">
        <v>3362</v>
      </c>
      <c r="B1424" s="15">
        <v>45648</v>
      </c>
      <c r="C1424" s="4">
        <v>45627</v>
      </c>
      <c r="D1424" t="s">
        <v>53</v>
      </c>
      <c r="E1424" t="s">
        <v>23</v>
      </c>
      <c r="F1424" t="s">
        <v>55</v>
      </c>
      <c r="G1424" t="s">
        <v>252</v>
      </c>
      <c r="H1424" t="s">
        <v>5</v>
      </c>
      <c r="I1424" t="s">
        <v>1935</v>
      </c>
      <c r="J1424" t="s">
        <v>1938</v>
      </c>
      <c r="K1424" s="8">
        <v>17</v>
      </c>
    </row>
    <row r="1425" spans="1:11">
      <c r="A1425" t="s">
        <v>3363</v>
      </c>
      <c r="B1425" s="15">
        <v>45642</v>
      </c>
      <c r="C1425" s="4">
        <v>45627</v>
      </c>
      <c r="D1425" t="s">
        <v>53</v>
      </c>
      <c r="E1425" t="s">
        <v>23</v>
      </c>
      <c r="F1425" t="s">
        <v>55</v>
      </c>
      <c r="G1425" t="s">
        <v>276</v>
      </c>
      <c r="H1425" t="s">
        <v>11</v>
      </c>
      <c r="I1425" t="s">
        <v>1935</v>
      </c>
      <c r="J1425" t="s">
        <v>1936</v>
      </c>
      <c r="K1425" s="8">
        <v>8</v>
      </c>
    </row>
    <row r="1426" spans="1:11">
      <c r="A1426" t="s">
        <v>3364</v>
      </c>
      <c r="B1426" s="15">
        <v>45634</v>
      </c>
      <c r="C1426" s="4">
        <v>45627</v>
      </c>
      <c r="D1426" t="s">
        <v>56</v>
      </c>
      <c r="E1426" t="s">
        <v>23</v>
      </c>
      <c r="F1426" t="s">
        <v>58</v>
      </c>
      <c r="G1426" t="s">
        <v>242</v>
      </c>
      <c r="H1426" t="s">
        <v>11</v>
      </c>
      <c r="I1426" t="s">
        <v>1935</v>
      </c>
      <c r="J1426" t="s">
        <v>1936</v>
      </c>
      <c r="K1426" s="8">
        <v>24</v>
      </c>
    </row>
    <row r="1427" spans="1:11">
      <c r="A1427" t="s">
        <v>3365</v>
      </c>
      <c r="B1427" s="15">
        <v>45627</v>
      </c>
      <c r="C1427" s="4">
        <v>45627</v>
      </c>
      <c r="D1427" t="s">
        <v>56</v>
      </c>
      <c r="E1427" t="s">
        <v>23</v>
      </c>
      <c r="F1427" t="s">
        <v>58</v>
      </c>
      <c r="G1427" t="s">
        <v>248</v>
      </c>
      <c r="H1427" t="s">
        <v>11</v>
      </c>
      <c r="I1427" t="s">
        <v>1935</v>
      </c>
      <c r="J1427" t="s">
        <v>1936</v>
      </c>
      <c r="K1427" s="8">
        <v>14</v>
      </c>
    </row>
    <row r="1428" spans="1:11">
      <c r="A1428" t="s">
        <v>3366</v>
      </c>
      <c r="B1428" s="15">
        <v>45652</v>
      </c>
      <c r="C1428" s="4">
        <v>45627</v>
      </c>
      <c r="D1428" t="s">
        <v>56</v>
      </c>
      <c r="E1428" t="s">
        <v>23</v>
      </c>
      <c r="F1428" t="s">
        <v>58</v>
      </c>
      <c r="G1428" t="s">
        <v>278</v>
      </c>
      <c r="H1428" t="s">
        <v>14</v>
      </c>
      <c r="I1428" t="s">
        <v>1935</v>
      </c>
      <c r="J1428" t="s">
        <v>1936</v>
      </c>
      <c r="K1428" s="8">
        <v>35</v>
      </c>
    </row>
    <row r="1429" spans="1:11">
      <c r="A1429" t="s">
        <v>3367</v>
      </c>
      <c r="B1429" s="15">
        <v>45650</v>
      </c>
      <c r="C1429" s="4">
        <v>45627</v>
      </c>
      <c r="D1429" t="s">
        <v>56</v>
      </c>
      <c r="E1429" t="s">
        <v>23</v>
      </c>
      <c r="F1429" t="s">
        <v>58</v>
      </c>
      <c r="G1429" t="s">
        <v>278</v>
      </c>
      <c r="H1429" t="s">
        <v>14</v>
      </c>
      <c r="I1429" t="s">
        <v>1935</v>
      </c>
      <c r="J1429" t="s">
        <v>1936</v>
      </c>
      <c r="K1429" s="8">
        <v>14</v>
      </c>
    </row>
    <row r="1430" spans="1:11">
      <c r="A1430" t="s">
        <v>3368</v>
      </c>
      <c r="B1430" s="15">
        <v>45638</v>
      </c>
      <c r="C1430" s="4">
        <v>45627</v>
      </c>
      <c r="D1430" t="s">
        <v>56</v>
      </c>
      <c r="E1430" t="s">
        <v>23</v>
      </c>
      <c r="F1430" t="s">
        <v>58</v>
      </c>
      <c r="G1430" t="s">
        <v>260</v>
      </c>
      <c r="H1430" t="s">
        <v>14</v>
      </c>
      <c r="I1430" t="s">
        <v>1935</v>
      </c>
      <c r="J1430" t="s">
        <v>1938</v>
      </c>
      <c r="K1430" s="8">
        <v>35</v>
      </c>
    </row>
    <row r="1431" spans="1:11">
      <c r="A1431" t="s">
        <v>3369</v>
      </c>
      <c r="B1431" s="15">
        <v>45655</v>
      </c>
      <c r="C1431" s="4">
        <v>45627</v>
      </c>
      <c r="D1431" t="s">
        <v>56</v>
      </c>
      <c r="E1431" t="s">
        <v>23</v>
      </c>
      <c r="F1431" t="s">
        <v>58</v>
      </c>
      <c r="G1431" t="s">
        <v>248</v>
      </c>
      <c r="H1431" t="s">
        <v>11</v>
      </c>
      <c r="I1431" t="s">
        <v>1935</v>
      </c>
      <c r="J1431" t="s">
        <v>1936</v>
      </c>
      <c r="K1431" s="8">
        <v>14</v>
      </c>
    </row>
    <row r="1432" spans="1:11">
      <c r="A1432" t="s">
        <v>3370</v>
      </c>
      <c r="B1432" s="15">
        <v>45647</v>
      </c>
      <c r="C1432" s="4">
        <v>45627</v>
      </c>
      <c r="D1432" t="s">
        <v>56</v>
      </c>
      <c r="E1432" t="s">
        <v>23</v>
      </c>
      <c r="F1432" t="s">
        <v>58</v>
      </c>
      <c r="G1432" t="s">
        <v>242</v>
      </c>
      <c r="H1432" t="s">
        <v>5</v>
      </c>
      <c r="I1432" t="s">
        <v>1935</v>
      </c>
      <c r="J1432" t="s">
        <v>1936</v>
      </c>
      <c r="K1432" s="8">
        <v>29</v>
      </c>
    </row>
    <row r="1433" spans="1:11">
      <c r="A1433" t="s">
        <v>3371</v>
      </c>
      <c r="B1433" s="15">
        <v>45632</v>
      </c>
      <c r="C1433" s="4">
        <v>45627</v>
      </c>
      <c r="D1433" t="s">
        <v>56</v>
      </c>
      <c r="E1433" t="s">
        <v>23</v>
      </c>
      <c r="F1433" t="s">
        <v>58</v>
      </c>
      <c r="G1433" t="s">
        <v>278</v>
      </c>
      <c r="H1433" t="s">
        <v>14</v>
      </c>
      <c r="I1433" t="s">
        <v>1935</v>
      </c>
      <c r="J1433" t="s">
        <v>1936</v>
      </c>
      <c r="K1433" s="8">
        <v>15</v>
      </c>
    </row>
    <row r="1434" spans="1:11">
      <c r="A1434" t="s">
        <v>3372</v>
      </c>
      <c r="B1434" s="15">
        <v>45650</v>
      </c>
      <c r="C1434" s="4">
        <v>45627</v>
      </c>
      <c r="D1434" t="s">
        <v>56</v>
      </c>
      <c r="E1434" t="s">
        <v>23</v>
      </c>
      <c r="F1434" t="s">
        <v>58</v>
      </c>
      <c r="G1434" t="s">
        <v>248</v>
      </c>
      <c r="H1434" t="s">
        <v>11</v>
      </c>
      <c r="I1434" t="s">
        <v>1935</v>
      </c>
      <c r="J1434" t="s">
        <v>1936</v>
      </c>
      <c r="K1434" s="8">
        <v>14</v>
      </c>
    </row>
    <row r="1435" spans="1:11">
      <c r="A1435" t="s">
        <v>3373</v>
      </c>
      <c r="B1435" s="15">
        <v>45648</v>
      </c>
      <c r="C1435" s="4">
        <v>45627</v>
      </c>
      <c r="D1435" t="s">
        <v>59</v>
      </c>
      <c r="E1435" t="s">
        <v>25</v>
      </c>
      <c r="F1435" t="s">
        <v>61</v>
      </c>
      <c r="G1435" t="s">
        <v>344</v>
      </c>
      <c r="H1435" t="s">
        <v>8</v>
      </c>
      <c r="I1435" t="s">
        <v>1935</v>
      </c>
      <c r="J1435" t="s">
        <v>1936</v>
      </c>
      <c r="K1435" s="8">
        <v>26</v>
      </c>
    </row>
    <row r="1436" spans="1:11">
      <c r="A1436" t="s">
        <v>3374</v>
      </c>
      <c r="B1436" s="15">
        <v>45639</v>
      </c>
      <c r="C1436" s="4">
        <v>45627</v>
      </c>
      <c r="D1436" t="s">
        <v>59</v>
      </c>
      <c r="E1436" t="s">
        <v>25</v>
      </c>
      <c r="F1436" t="s">
        <v>61</v>
      </c>
      <c r="G1436" t="s">
        <v>332</v>
      </c>
      <c r="H1436" t="s">
        <v>8</v>
      </c>
      <c r="I1436" t="s">
        <v>1935</v>
      </c>
      <c r="J1436" t="s">
        <v>1938</v>
      </c>
      <c r="K1436" s="8">
        <v>33</v>
      </c>
    </row>
    <row r="1437" spans="1:11">
      <c r="A1437" t="s">
        <v>3375</v>
      </c>
      <c r="B1437" s="15">
        <v>45643</v>
      </c>
      <c r="C1437" s="4">
        <v>45627</v>
      </c>
      <c r="D1437" t="s">
        <v>59</v>
      </c>
      <c r="E1437" t="s">
        <v>25</v>
      </c>
      <c r="F1437" t="s">
        <v>61</v>
      </c>
      <c r="G1437" t="s">
        <v>314</v>
      </c>
      <c r="H1437" t="s">
        <v>11</v>
      </c>
      <c r="I1437" t="s">
        <v>1935</v>
      </c>
      <c r="J1437" t="s">
        <v>1936</v>
      </c>
      <c r="K1437" s="8">
        <v>12</v>
      </c>
    </row>
    <row r="1438" spans="1:11">
      <c r="A1438" t="s">
        <v>3376</v>
      </c>
      <c r="B1438" s="15">
        <v>45642</v>
      </c>
      <c r="C1438" s="4">
        <v>45627</v>
      </c>
      <c r="D1438" t="s">
        <v>59</v>
      </c>
      <c r="E1438" t="s">
        <v>25</v>
      </c>
      <c r="F1438" t="s">
        <v>61</v>
      </c>
      <c r="G1438" t="s">
        <v>320</v>
      </c>
      <c r="H1438" t="s">
        <v>5</v>
      </c>
      <c r="I1438" t="s">
        <v>1935</v>
      </c>
      <c r="J1438" t="s">
        <v>1954</v>
      </c>
      <c r="K1438" s="8">
        <v>24</v>
      </c>
    </row>
    <row r="1439" spans="1:11">
      <c r="A1439" t="s">
        <v>3377</v>
      </c>
      <c r="B1439" s="15">
        <v>45636</v>
      </c>
      <c r="C1439" s="4">
        <v>45627</v>
      </c>
      <c r="D1439" t="s">
        <v>59</v>
      </c>
      <c r="E1439" t="s">
        <v>25</v>
      </c>
      <c r="F1439" t="s">
        <v>61</v>
      </c>
      <c r="G1439" t="s">
        <v>368</v>
      </c>
      <c r="H1439" t="s">
        <v>14</v>
      </c>
      <c r="I1439" t="s">
        <v>1935</v>
      </c>
      <c r="J1439" t="s">
        <v>1936</v>
      </c>
      <c r="K1439" s="8">
        <v>25</v>
      </c>
    </row>
    <row r="1440" spans="1:11">
      <c r="A1440" t="s">
        <v>3378</v>
      </c>
      <c r="B1440" s="15">
        <v>45646</v>
      </c>
      <c r="C1440" s="4">
        <v>45627</v>
      </c>
      <c r="D1440" t="s">
        <v>59</v>
      </c>
      <c r="E1440" t="s">
        <v>25</v>
      </c>
      <c r="F1440" t="s">
        <v>61</v>
      </c>
      <c r="G1440" t="s">
        <v>314</v>
      </c>
      <c r="H1440" t="s">
        <v>11</v>
      </c>
      <c r="I1440" t="s">
        <v>1935</v>
      </c>
      <c r="J1440" t="s">
        <v>1936</v>
      </c>
      <c r="K1440" s="8">
        <v>35</v>
      </c>
    </row>
    <row r="1441" spans="1:11">
      <c r="A1441" t="s">
        <v>3379</v>
      </c>
      <c r="B1441" s="15">
        <v>45634</v>
      </c>
      <c r="C1441" s="4">
        <v>45627</v>
      </c>
      <c r="D1441" t="s">
        <v>59</v>
      </c>
      <c r="E1441" t="s">
        <v>25</v>
      </c>
      <c r="F1441" t="s">
        <v>61</v>
      </c>
      <c r="G1441" t="s">
        <v>356</v>
      </c>
      <c r="H1441" t="s">
        <v>8</v>
      </c>
      <c r="I1441" t="s">
        <v>1935</v>
      </c>
      <c r="J1441" t="s">
        <v>1936</v>
      </c>
      <c r="K1441" s="8">
        <v>13</v>
      </c>
    </row>
    <row r="1442" spans="1:11">
      <c r="A1442" t="s">
        <v>3380</v>
      </c>
      <c r="B1442" s="15">
        <v>45654</v>
      </c>
      <c r="C1442" s="4">
        <v>45627</v>
      </c>
      <c r="D1442" t="s">
        <v>59</v>
      </c>
      <c r="E1442" t="s">
        <v>25</v>
      </c>
      <c r="F1442" t="s">
        <v>61</v>
      </c>
      <c r="G1442" t="s">
        <v>362</v>
      </c>
      <c r="H1442" t="s">
        <v>14</v>
      </c>
      <c r="I1442" t="s">
        <v>1935</v>
      </c>
      <c r="J1442" t="s">
        <v>1954</v>
      </c>
      <c r="K1442" s="8">
        <v>25</v>
      </c>
    </row>
    <row r="1443" spans="1:11">
      <c r="A1443" t="s">
        <v>3381</v>
      </c>
      <c r="B1443" s="15">
        <v>45650</v>
      </c>
      <c r="C1443" s="4">
        <v>45627</v>
      </c>
      <c r="D1443" t="s">
        <v>62</v>
      </c>
      <c r="E1443" t="s">
        <v>25</v>
      </c>
      <c r="F1443" t="s">
        <v>64</v>
      </c>
      <c r="G1443" t="s">
        <v>376</v>
      </c>
      <c r="H1443" t="s">
        <v>8</v>
      </c>
      <c r="I1443" t="s">
        <v>1935</v>
      </c>
      <c r="J1443" t="s">
        <v>1938</v>
      </c>
      <c r="K1443" s="8">
        <v>29</v>
      </c>
    </row>
    <row r="1444" spans="1:11">
      <c r="A1444" t="s">
        <v>3382</v>
      </c>
      <c r="B1444" s="15">
        <v>45656</v>
      </c>
      <c r="C1444" s="4">
        <v>45627</v>
      </c>
      <c r="D1444" t="s">
        <v>62</v>
      </c>
      <c r="E1444" t="s">
        <v>25</v>
      </c>
      <c r="F1444" t="s">
        <v>64</v>
      </c>
      <c r="G1444" t="s">
        <v>328</v>
      </c>
      <c r="H1444" t="s">
        <v>11</v>
      </c>
      <c r="I1444" t="s">
        <v>1935</v>
      </c>
      <c r="J1444" t="s">
        <v>1936</v>
      </c>
      <c r="K1444" s="8">
        <v>25</v>
      </c>
    </row>
    <row r="1445" spans="1:11">
      <c r="A1445" t="s">
        <v>3383</v>
      </c>
      <c r="B1445" s="15">
        <v>45640</v>
      </c>
      <c r="C1445" s="4">
        <v>45627</v>
      </c>
      <c r="D1445" t="s">
        <v>62</v>
      </c>
      <c r="E1445" t="s">
        <v>25</v>
      </c>
      <c r="F1445" t="s">
        <v>64</v>
      </c>
      <c r="G1445" t="s">
        <v>322</v>
      </c>
      <c r="H1445" t="s">
        <v>8</v>
      </c>
      <c r="I1445" t="s">
        <v>1935</v>
      </c>
      <c r="J1445" t="s">
        <v>1936</v>
      </c>
      <c r="K1445" s="8">
        <v>24</v>
      </c>
    </row>
    <row r="1446" spans="1:11">
      <c r="A1446" t="s">
        <v>3384</v>
      </c>
      <c r="B1446" s="15">
        <v>45644</v>
      </c>
      <c r="C1446" s="4">
        <v>45627</v>
      </c>
      <c r="D1446" t="s">
        <v>62</v>
      </c>
      <c r="E1446" t="s">
        <v>25</v>
      </c>
      <c r="F1446" t="s">
        <v>64</v>
      </c>
      <c r="G1446" t="s">
        <v>322</v>
      </c>
      <c r="H1446" t="s">
        <v>5</v>
      </c>
      <c r="I1446" t="s">
        <v>1942</v>
      </c>
      <c r="J1446" t="s">
        <v>1938</v>
      </c>
      <c r="K1446" s="8">
        <v>7</v>
      </c>
    </row>
    <row r="1447" spans="1:11">
      <c r="A1447" t="s">
        <v>3385</v>
      </c>
      <c r="B1447" s="15">
        <v>45631</v>
      </c>
      <c r="C1447" s="4">
        <v>45627</v>
      </c>
      <c r="D1447" t="s">
        <v>62</v>
      </c>
      <c r="E1447" t="s">
        <v>25</v>
      </c>
      <c r="F1447" t="s">
        <v>64</v>
      </c>
      <c r="G1447" t="s">
        <v>334</v>
      </c>
      <c r="H1447" t="s">
        <v>11</v>
      </c>
      <c r="I1447" t="s">
        <v>1935</v>
      </c>
      <c r="J1447" t="s">
        <v>1954</v>
      </c>
      <c r="K1447" s="8">
        <v>35</v>
      </c>
    </row>
    <row r="1448" spans="1:11">
      <c r="A1448" t="s">
        <v>3386</v>
      </c>
      <c r="B1448" s="15">
        <v>45650</v>
      </c>
      <c r="C1448" s="4">
        <v>45627</v>
      </c>
      <c r="D1448" t="s">
        <v>62</v>
      </c>
      <c r="E1448" t="s">
        <v>25</v>
      </c>
      <c r="F1448" t="s">
        <v>64</v>
      </c>
      <c r="G1448" t="s">
        <v>352</v>
      </c>
      <c r="H1448" t="s">
        <v>11</v>
      </c>
      <c r="I1448" t="s">
        <v>1935</v>
      </c>
      <c r="J1448" t="s">
        <v>1938</v>
      </c>
      <c r="K1448" s="8">
        <v>14</v>
      </c>
    </row>
    <row r="1449" spans="1:11">
      <c r="A1449" t="s">
        <v>3387</v>
      </c>
      <c r="B1449" s="15">
        <v>45629</v>
      </c>
      <c r="C1449" s="4">
        <v>45627</v>
      </c>
      <c r="D1449" t="s">
        <v>62</v>
      </c>
      <c r="E1449" t="s">
        <v>25</v>
      </c>
      <c r="F1449" t="s">
        <v>64</v>
      </c>
      <c r="G1449" t="s">
        <v>358</v>
      </c>
      <c r="H1449" t="s">
        <v>8</v>
      </c>
      <c r="I1449" t="s">
        <v>1935</v>
      </c>
      <c r="J1449" t="s">
        <v>1954</v>
      </c>
      <c r="K1449" s="8">
        <v>18</v>
      </c>
    </row>
    <row r="1450" spans="1:11">
      <c r="A1450" t="s">
        <v>3388</v>
      </c>
      <c r="B1450" s="15">
        <v>45657</v>
      </c>
      <c r="C1450" s="4">
        <v>45627</v>
      </c>
      <c r="D1450" t="s">
        <v>62</v>
      </c>
      <c r="E1450" t="s">
        <v>25</v>
      </c>
      <c r="F1450" t="s">
        <v>64</v>
      </c>
      <c r="G1450" t="s">
        <v>358</v>
      </c>
      <c r="H1450" t="s">
        <v>8</v>
      </c>
      <c r="I1450" t="s">
        <v>1935</v>
      </c>
      <c r="J1450" t="s">
        <v>1936</v>
      </c>
      <c r="K1450" s="8">
        <v>13</v>
      </c>
    </row>
    <row r="1451" spans="1:11">
      <c r="A1451" t="s">
        <v>3389</v>
      </c>
      <c r="B1451" s="15">
        <v>45644</v>
      </c>
      <c r="C1451" s="4">
        <v>45627</v>
      </c>
      <c r="D1451" t="s">
        <v>62</v>
      </c>
      <c r="E1451" t="s">
        <v>25</v>
      </c>
      <c r="F1451" t="s">
        <v>64</v>
      </c>
      <c r="G1451" t="s">
        <v>340</v>
      </c>
      <c r="H1451" t="s">
        <v>8</v>
      </c>
      <c r="I1451" t="s">
        <v>1935</v>
      </c>
      <c r="J1451" t="s">
        <v>1936</v>
      </c>
      <c r="K1451" s="8">
        <v>22</v>
      </c>
    </row>
    <row r="1452" spans="1:11">
      <c r="A1452" t="s">
        <v>3390</v>
      </c>
      <c r="B1452" s="15">
        <v>45648</v>
      </c>
      <c r="C1452" s="4">
        <v>45627</v>
      </c>
      <c r="D1452" t="s">
        <v>62</v>
      </c>
      <c r="E1452" t="s">
        <v>25</v>
      </c>
      <c r="F1452" t="s">
        <v>64</v>
      </c>
      <c r="G1452" t="s">
        <v>358</v>
      </c>
      <c r="H1452" t="s">
        <v>8</v>
      </c>
      <c r="I1452" t="s">
        <v>1935</v>
      </c>
      <c r="J1452" t="s">
        <v>1936</v>
      </c>
      <c r="K1452" s="8">
        <v>24</v>
      </c>
    </row>
    <row r="1453" spans="1:11">
      <c r="A1453" t="s">
        <v>3391</v>
      </c>
      <c r="B1453" s="15">
        <v>45639</v>
      </c>
      <c r="C1453" s="4">
        <v>45627</v>
      </c>
      <c r="D1453" t="s">
        <v>65</v>
      </c>
      <c r="E1453" t="s">
        <v>25</v>
      </c>
      <c r="F1453" t="s">
        <v>67</v>
      </c>
      <c r="G1453" t="s">
        <v>348</v>
      </c>
      <c r="H1453" t="s">
        <v>11</v>
      </c>
      <c r="I1453" t="s">
        <v>1935</v>
      </c>
      <c r="J1453" t="s">
        <v>1954</v>
      </c>
      <c r="K1453" s="8">
        <v>27</v>
      </c>
    </row>
    <row r="1454" spans="1:11">
      <c r="A1454" t="s">
        <v>3392</v>
      </c>
      <c r="B1454" s="15">
        <v>45636</v>
      </c>
      <c r="C1454" s="4">
        <v>45627</v>
      </c>
      <c r="D1454" t="s">
        <v>65</v>
      </c>
      <c r="E1454" t="s">
        <v>25</v>
      </c>
      <c r="F1454" t="s">
        <v>67</v>
      </c>
      <c r="G1454" t="s">
        <v>348</v>
      </c>
      <c r="H1454" t="s">
        <v>11</v>
      </c>
      <c r="I1454" t="s">
        <v>1935</v>
      </c>
      <c r="J1454" t="s">
        <v>1936</v>
      </c>
      <c r="K1454" s="8">
        <v>21</v>
      </c>
    </row>
    <row r="1455" spans="1:11">
      <c r="A1455" t="s">
        <v>3393</v>
      </c>
      <c r="B1455" s="15">
        <v>45642</v>
      </c>
      <c r="C1455" s="4">
        <v>45627</v>
      </c>
      <c r="D1455" t="s">
        <v>65</v>
      </c>
      <c r="E1455" t="s">
        <v>25</v>
      </c>
      <c r="F1455" t="s">
        <v>67</v>
      </c>
      <c r="G1455" t="s">
        <v>354</v>
      </c>
      <c r="H1455" t="s">
        <v>11</v>
      </c>
      <c r="I1455" t="s">
        <v>1935</v>
      </c>
      <c r="J1455" t="s">
        <v>1936</v>
      </c>
      <c r="K1455" s="8">
        <v>10</v>
      </c>
    </row>
    <row r="1456" spans="1:11">
      <c r="A1456" t="s">
        <v>3394</v>
      </c>
      <c r="B1456" s="15">
        <v>45643</v>
      </c>
      <c r="C1456" s="4">
        <v>45627</v>
      </c>
      <c r="D1456" t="s">
        <v>65</v>
      </c>
      <c r="E1456" t="s">
        <v>25</v>
      </c>
      <c r="F1456" t="s">
        <v>67</v>
      </c>
      <c r="G1456" t="s">
        <v>354</v>
      </c>
      <c r="H1456" t="s">
        <v>5</v>
      </c>
      <c r="I1456" t="s">
        <v>1935</v>
      </c>
      <c r="J1456" t="s">
        <v>1936</v>
      </c>
      <c r="K1456" s="8">
        <v>9</v>
      </c>
    </row>
    <row r="1457" spans="1:11">
      <c r="A1457" t="s">
        <v>3395</v>
      </c>
      <c r="B1457" s="15">
        <v>45634</v>
      </c>
      <c r="C1457" s="4">
        <v>45627</v>
      </c>
      <c r="D1457" t="s">
        <v>65</v>
      </c>
      <c r="E1457" t="s">
        <v>25</v>
      </c>
      <c r="F1457" t="s">
        <v>67</v>
      </c>
      <c r="G1457" t="s">
        <v>342</v>
      </c>
      <c r="H1457" t="s">
        <v>11</v>
      </c>
      <c r="I1457" t="s">
        <v>1935</v>
      </c>
      <c r="J1457" t="s">
        <v>1936</v>
      </c>
      <c r="K1457" s="8">
        <v>28</v>
      </c>
    </row>
    <row r="1458" spans="1:11">
      <c r="A1458" t="s">
        <v>3396</v>
      </c>
      <c r="B1458" s="15">
        <v>45635</v>
      </c>
      <c r="C1458" s="4">
        <v>45627</v>
      </c>
      <c r="D1458" t="s">
        <v>65</v>
      </c>
      <c r="E1458" t="s">
        <v>25</v>
      </c>
      <c r="F1458" t="s">
        <v>67</v>
      </c>
      <c r="G1458" t="s">
        <v>348</v>
      </c>
      <c r="H1458" t="s">
        <v>8</v>
      </c>
      <c r="I1458" t="s">
        <v>1935</v>
      </c>
      <c r="J1458" t="s">
        <v>1936</v>
      </c>
      <c r="K1458" s="8">
        <v>32</v>
      </c>
    </row>
    <row r="1459" spans="1:11">
      <c r="A1459" t="s">
        <v>3397</v>
      </c>
      <c r="B1459" s="15">
        <v>45654</v>
      </c>
      <c r="C1459" s="4">
        <v>45627</v>
      </c>
      <c r="D1459" t="s">
        <v>65</v>
      </c>
      <c r="E1459" t="s">
        <v>25</v>
      </c>
      <c r="F1459" t="s">
        <v>67</v>
      </c>
      <c r="G1459" t="s">
        <v>372</v>
      </c>
      <c r="H1459" t="s">
        <v>8</v>
      </c>
      <c r="I1459" t="s">
        <v>1935</v>
      </c>
      <c r="J1459" t="s">
        <v>1936</v>
      </c>
      <c r="K1459" s="8">
        <v>31</v>
      </c>
    </row>
    <row r="1460" spans="1:11">
      <c r="A1460" t="s">
        <v>3398</v>
      </c>
      <c r="B1460" s="15">
        <v>45634</v>
      </c>
      <c r="C1460" s="4">
        <v>45627</v>
      </c>
      <c r="D1460" t="s">
        <v>65</v>
      </c>
      <c r="E1460" t="s">
        <v>25</v>
      </c>
      <c r="F1460" t="s">
        <v>67</v>
      </c>
      <c r="G1460" t="s">
        <v>336</v>
      </c>
      <c r="H1460" t="s">
        <v>11</v>
      </c>
      <c r="I1460" t="s">
        <v>1935</v>
      </c>
      <c r="J1460" t="s">
        <v>1936</v>
      </c>
      <c r="K1460" s="8">
        <v>19</v>
      </c>
    </row>
    <row r="1461" spans="1:11">
      <c r="A1461" t="s">
        <v>3399</v>
      </c>
      <c r="B1461" s="15">
        <v>45666</v>
      </c>
      <c r="C1461" s="4">
        <v>45658</v>
      </c>
      <c r="D1461" t="s">
        <v>32</v>
      </c>
      <c r="E1461" t="s">
        <v>19</v>
      </c>
      <c r="F1461" t="s">
        <v>34</v>
      </c>
      <c r="G1461" t="s">
        <v>118</v>
      </c>
      <c r="H1461" t="s">
        <v>11</v>
      </c>
      <c r="I1461" t="s">
        <v>1935</v>
      </c>
      <c r="J1461" t="s">
        <v>1936</v>
      </c>
      <c r="K1461" s="8">
        <v>19</v>
      </c>
    </row>
    <row r="1462" spans="1:11">
      <c r="A1462" t="s">
        <v>3400</v>
      </c>
      <c r="B1462" s="15">
        <v>45687</v>
      </c>
      <c r="C1462" s="4">
        <v>45658</v>
      </c>
      <c r="D1462" t="s">
        <v>32</v>
      </c>
      <c r="E1462" t="s">
        <v>19</v>
      </c>
      <c r="F1462" t="s">
        <v>34</v>
      </c>
      <c r="G1462" t="s">
        <v>75</v>
      </c>
      <c r="H1462" t="s">
        <v>5</v>
      </c>
      <c r="I1462" t="s">
        <v>1935</v>
      </c>
      <c r="J1462" t="s">
        <v>1938</v>
      </c>
      <c r="K1462" s="8">
        <v>25</v>
      </c>
    </row>
    <row r="1463" spans="1:11">
      <c r="A1463" t="s">
        <v>3401</v>
      </c>
      <c r="B1463" s="15">
        <v>45671</v>
      </c>
      <c r="C1463" s="4">
        <v>45658</v>
      </c>
      <c r="D1463" t="s">
        <v>32</v>
      </c>
      <c r="E1463" t="s">
        <v>19</v>
      </c>
      <c r="F1463" t="s">
        <v>34</v>
      </c>
      <c r="G1463" t="s">
        <v>136</v>
      </c>
      <c r="H1463" t="s">
        <v>8</v>
      </c>
      <c r="I1463" t="s">
        <v>1935</v>
      </c>
      <c r="J1463" t="s">
        <v>1936</v>
      </c>
      <c r="K1463" s="8">
        <v>10</v>
      </c>
    </row>
    <row r="1464" spans="1:11">
      <c r="A1464" t="s">
        <v>3402</v>
      </c>
      <c r="B1464" s="15">
        <v>45676</v>
      </c>
      <c r="C1464" s="4">
        <v>45658</v>
      </c>
      <c r="D1464" t="s">
        <v>32</v>
      </c>
      <c r="E1464" t="s">
        <v>19</v>
      </c>
      <c r="F1464" t="s">
        <v>34</v>
      </c>
      <c r="G1464" t="s">
        <v>85</v>
      </c>
      <c r="H1464" t="s">
        <v>14</v>
      </c>
      <c r="I1464" t="s">
        <v>1935</v>
      </c>
      <c r="J1464" t="s">
        <v>1936</v>
      </c>
      <c r="K1464" s="8">
        <v>8</v>
      </c>
    </row>
    <row r="1465" spans="1:11">
      <c r="A1465" t="s">
        <v>3403</v>
      </c>
      <c r="B1465" s="15">
        <v>45675</v>
      </c>
      <c r="C1465" s="4">
        <v>45658</v>
      </c>
      <c r="D1465" t="s">
        <v>32</v>
      </c>
      <c r="E1465" t="s">
        <v>19</v>
      </c>
      <c r="F1465" t="s">
        <v>34</v>
      </c>
      <c r="G1465" t="s">
        <v>118</v>
      </c>
      <c r="H1465" t="s">
        <v>14</v>
      </c>
      <c r="I1465" t="s">
        <v>1935</v>
      </c>
      <c r="J1465" t="s">
        <v>1936</v>
      </c>
      <c r="K1465" s="8">
        <v>28</v>
      </c>
    </row>
    <row r="1466" spans="1:11">
      <c r="A1466" t="s">
        <v>3404</v>
      </c>
      <c r="B1466" s="15">
        <v>45682</v>
      </c>
      <c r="C1466" s="4">
        <v>45658</v>
      </c>
      <c r="D1466" t="s">
        <v>32</v>
      </c>
      <c r="E1466" t="s">
        <v>19</v>
      </c>
      <c r="F1466" t="s">
        <v>34</v>
      </c>
      <c r="G1466" t="s">
        <v>136</v>
      </c>
      <c r="H1466" t="s">
        <v>8</v>
      </c>
      <c r="I1466" t="s">
        <v>1935</v>
      </c>
      <c r="J1466" t="s">
        <v>1954</v>
      </c>
      <c r="K1466" s="8">
        <v>21</v>
      </c>
    </row>
    <row r="1467" spans="1:11">
      <c r="A1467" t="s">
        <v>3405</v>
      </c>
      <c r="B1467" s="15">
        <v>45671</v>
      </c>
      <c r="C1467" s="4">
        <v>45658</v>
      </c>
      <c r="D1467" t="s">
        <v>32</v>
      </c>
      <c r="E1467" t="s">
        <v>19</v>
      </c>
      <c r="F1467" t="s">
        <v>34</v>
      </c>
      <c r="G1467" t="s">
        <v>92</v>
      </c>
      <c r="H1467" t="s">
        <v>8</v>
      </c>
      <c r="I1467" t="s">
        <v>1935</v>
      </c>
      <c r="J1467" t="s">
        <v>1936</v>
      </c>
      <c r="K1467" s="8">
        <v>32</v>
      </c>
    </row>
    <row r="1468" spans="1:11">
      <c r="A1468" t="s">
        <v>3406</v>
      </c>
      <c r="B1468" s="15">
        <v>45672</v>
      </c>
      <c r="C1468" s="4">
        <v>45658</v>
      </c>
      <c r="D1468" t="s">
        <v>32</v>
      </c>
      <c r="E1468" t="s">
        <v>19</v>
      </c>
      <c r="F1468" t="s">
        <v>34</v>
      </c>
      <c r="G1468" t="s">
        <v>142</v>
      </c>
      <c r="H1468" t="s">
        <v>5</v>
      </c>
      <c r="I1468" t="s">
        <v>1935</v>
      </c>
      <c r="J1468" t="s">
        <v>1954</v>
      </c>
      <c r="K1468" s="8">
        <v>10</v>
      </c>
    </row>
    <row r="1469" spans="1:11">
      <c r="A1469" t="s">
        <v>3407</v>
      </c>
      <c r="B1469" s="15">
        <v>45669</v>
      </c>
      <c r="C1469" s="4">
        <v>45658</v>
      </c>
      <c r="D1469" t="s">
        <v>32</v>
      </c>
      <c r="E1469" t="s">
        <v>19</v>
      </c>
      <c r="F1469" t="s">
        <v>34</v>
      </c>
      <c r="G1469" t="s">
        <v>85</v>
      </c>
      <c r="H1469" t="s">
        <v>14</v>
      </c>
      <c r="I1469" t="s">
        <v>1935</v>
      </c>
      <c r="J1469" t="s">
        <v>1936</v>
      </c>
      <c r="K1469" s="8">
        <v>29</v>
      </c>
    </row>
    <row r="1470" spans="1:11">
      <c r="A1470" t="s">
        <v>3408</v>
      </c>
      <c r="B1470" s="15">
        <v>45660</v>
      </c>
      <c r="C1470" s="4">
        <v>45658</v>
      </c>
      <c r="D1470" t="s">
        <v>32</v>
      </c>
      <c r="E1470" t="s">
        <v>19</v>
      </c>
      <c r="F1470" t="s">
        <v>34</v>
      </c>
      <c r="G1470" t="s">
        <v>99</v>
      </c>
      <c r="H1470" t="s">
        <v>14</v>
      </c>
      <c r="I1470" t="s">
        <v>1942</v>
      </c>
      <c r="J1470" t="s">
        <v>1936</v>
      </c>
      <c r="K1470" s="8">
        <v>8</v>
      </c>
    </row>
    <row r="1471" spans="1:11">
      <c r="A1471" t="s">
        <v>3409</v>
      </c>
      <c r="B1471" s="15">
        <v>45672</v>
      </c>
      <c r="C1471" s="4">
        <v>45658</v>
      </c>
      <c r="D1471" t="s">
        <v>32</v>
      </c>
      <c r="E1471" t="s">
        <v>19</v>
      </c>
      <c r="F1471" t="s">
        <v>34</v>
      </c>
      <c r="G1471" t="s">
        <v>124</v>
      </c>
      <c r="H1471" t="s">
        <v>11</v>
      </c>
      <c r="I1471" t="s">
        <v>1935</v>
      </c>
      <c r="J1471" t="s">
        <v>1936</v>
      </c>
      <c r="K1471" s="8">
        <v>16</v>
      </c>
    </row>
    <row r="1472" spans="1:11">
      <c r="A1472" t="s">
        <v>3410</v>
      </c>
      <c r="B1472" s="15">
        <v>45682</v>
      </c>
      <c r="C1472" s="4">
        <v>45658</v>
      </c>
      <c r="D1472" t="s">
        <v>32</v>
      </c>
      <c r="E1472" t="s">
        <v>19</v>
      </c>
      <c r="F1472" t="s">
        <v>34</v>
      </c>
      <c r="G1472" t="s">
        <v>92</v>
      </c>
      <c r="H1472" t="s">
        <v>8</v>
      </c>
      <c r="I1472" t="s">
        <v>1935</v>
      </c>
      <c r="J1472" t="s">
        <v>1954</v>
      </c>
      <c r="K1472" s="8">
        <v>15</v>
      </c>
    </row>
    <row r="1473" spans="1:11">
      <c r="A1473" t="s">
        <v>3411</v>
      </c>
      <c r="B1473" s="15">
        <v>45661</v>
      </c>
      <c r="C1473" s="4">
        <v>45658</v>
      </c>
      <c r="D1473" t="s">
        <v>35</v>
      </c>
      <c r="E1473" t="s">
        <v>19</v>
      </c>
      <c r="F1473" t="s">
        <v>37</v>
      </c>
      <c r="G1473" t="s">
        <v>101</v>
      </c>
      <c r="H1473" t="s">
        <v>11</v>
      </c>
      <c r="I1473" t="s">
        <v>1935</v>
      </c>
      <c r="J1473" t="s">
        <v>1936</v>
      </c>
      <c r="K1473" s="8">
        <v>30</v>
      </c>
    </row>
    <row r="1474" spans="1:11">
      <c r="A1474" t="s">
        <v>3412</v>
      </c>
      <c r="B1474" s="15">
        <v>45677</v>
      </c>
      <c r="C1474" s="4">
        <v>45658</v>
      </c>
      <c r="D1474" t="s">
        <v>35</v>
      </c>
      <c r="E1474" t="s">
        <v>19</v>
      </c>
      <c r="F1474" t="s">
        <v>37</v>
      </c>
      <c r="G1474" t="s">
        <v>88</v>
      </c>
      <c r="H1474" t="s">
        <v>8</v>
      </c>
      <c r="I1474" t="s">
        <v>1935</v>
      </c>
      <c r="J1474" t="s">
        <v>1936</v>
      </c>
      <c r="K1474" s="8">
        <v>13</v>
      </c>
    </row>
    <row r="1475" spans="1:11">
      <c r="A1475" t="s">
        <v>3413</v>
      </c>
      <c r="B1475" s="15">
        <v>45672</v>
      </c>
      <c r="C1475" s="4">
        <v>45658</v>
      </c>
      <c r="D1475" t="s">
        <v>35</v>
      </c>
      <c r="E1475" t="s">
        <v>19</v>
      </c>
      <c r="F1475" t="s">
        <v>37</v>
      </c>
      <c r="G1475" t="s">
        <v>78</v>
      </c>
      <c r="H1475" t="s">
        <v>8</v>
      </c>
      <c r="I1475" t="s">
        <v>1935</v>
      </c>
      <c r="J1475" t="s">
        <v>1936</v>
      </c>
      <c r="K1475" s="8">
        <v>8</v>
      </c>
    </row>
    <row r="1476" spans="1:11">
      <c r="A1476" t="s">
        <v>3414</v>
      </c>
      <c r="B1476" s="15">
        <v>45658</v>
      </c>
      <c r="C1476" s="4">
        <v>45658</v>
      </c>
      <c r="D1476" t="s">
        <v>35</v>
      </c>
      <c r="E1476" t="s">
        <v>19</v>
      </c>
      <c r="F1476" t="s">
        <v>37</v>
      </c>
      <c r="G1476" t="s">
        <v>78</v>
      </c>
      <c r="H1476" t="s">
        <v>8</v>
      </c>
      <c r="I1476" t="s">
        <v>1935</v>
      </c>
      <c r="J1476" t="s">
        <v>1936</v>
      </c>
      <c r="K1476" s="8">
        <v>12</v>
      </c>
    </row>
    <row r="1477" spans="1:11">
      <c r="A1477" t="s">
        <v>3415</v>
      </c>
      <c r="B1477" s="15">
        <v>45677</v>
      </c>
      <c r="C1477" s="4">
        <v>45658</v>
      </c>
      <c r="D1477" t="s">
        <v>35</v>
      </c>
      <c r="E1477" t="s">
        <v>19</v>
      </c>
      <c r="F1477" t="s">
        <v>37</v>
      </c>
      <c r="G1477" t="s">
        <v>78</v>
      </c>
      <c r="H1477" t="s">
        <v>8</v>
      </c>
      <c r="I1477" t="s">
        <v>1935</v>
      </c>
      <c r="J1477" t="s">
        <v>1936</v>
      </c>
      <c r="K1477" s="8">
        <v>27</v>
      </c>
    </row>
    <row r="1478" spans="1:11">
      <c r="A1478" t="s">
        <v>3416</v>
      </c>
      <c r="B1478" s="15">
        <v>45683</v>
      </c>
      <c r="C1478" s="4">
        <v>45658</v>
      </c>
      <c r="D1478" t="s">
        <v>35</v>
      </c>
      <c r="E1478" t="s">
        <v>19</v>
      </c>
      <c r="F1478" t="s">
        <v>37</v>
      </c>
      <c r="G1478" t="s">
        <v>78</v>
      </c>
      <c r="H1478" t="s">
        <v>8</v>
      </c>
      <c r="I1478" t="s">
        <v>1935</v>
      </c>
      <c r="J1478" t="s">
        <v>1938</v>
      </c>
      <c r="K1478" s="8">
        <v>14</v>
      </c>
    </row>
    <row r="1479" spans="1:11">
      <c r="A1479" t="s">
        <v>3417</v>
      </c>
      <c r="B1479" s="15">
        <v>45667</v>
      </c>
      <c r="C1479" s="4">
        <v>45658</v>
      </c>
      <c r="D1479" t="s">
        <v>35</v>
      </c>
      <c r="E1479" t="s">
        <v>19</v>
      </c>
      <c r="F1479" t="s">
        <v>37</v>
      </c>
      <c r="G1479" t="s">
        <v>78</v>
      </c>
      <c r="H1479" t="s">
        <v>8</v>
      </c>
      <c r="I1479" t="s">
        <v>1935</v>
      </c>
      <c r="J1479" t="s">
        <v>1936</v>
      </c>
      <c r="K1479" s="8">
        <v>10</v>
      </c>
    </row>
    <row r="1480" spans="1:11">
      <c r="A1480" t="s">
        <v>3418</v>
      </c>
      <c r="B1480" s="15">
        <v>45672</v>
      </c>
      <c r="C1480" s="4">
        <v>45658</v>
      </c>
      <c r="D1480" t="s">
        <v>35</v>
      </c>
      <c r="E1480" t="s">
        <v>19</v>
      </c>
      <c r="F1480" t="s">
        <v>37</v>
      </c>
      <c r="G1480" t="s">
        <v>101</v>
      </c>
      <c r="H1480" t="s">
        <v>11</v>
      </c>
      <c r="I1480" t="s">
        <v>1935</v>
      </c>
      <c r="J1480" t="s">
        <v>1936</v>
      </c>
      <c r="K1480" s="8">
        <v>13</v>
      </c>
    </row>
    <row r="1481" spans="1:11">
      <c r="A1481" t="s">
        <v>3419</v>
      </c>
      <c r="B1481" s="15">
        <v>45679</v>
      </c>
      <c r="C1481" s="4">
        <v>45658</v>
      </c>
      <c r="D1481" t="s">
        <v>35</v>
      </c>
      <c r="E1481" t="s">
        <v>19</v>
      </c>
      <c r="F1481" t="s">
        <v>37</v>
      </c>
      <c r="G1481" t="s">
        <v>78</v>
      </c>
      <c r="H1481" t="s">
        <v>8</v>
      </c>
      <c r="I1481" t="s">
        <v>1935</v>
      </c>
      <c r="J1481" t="s">
        <v>1936</v>
      </c>
      <c r="K1481" s="8">
        <v>15</v>
      </c>
    </row>
    <row r="1482" spans="1:11">
      <c r="A1482" t="s">
        <v>3420</v>
      </c>
      <c r="B1482" s="15">
        <v>45671</v>
      </c>
      <c r="C1482" s="4">
        <v>45658</v>
      </c>
      <c r="D1482" t="s">
        <v>35</v>
      </c>
      <c r="E1482" t="s">
        <v>19</v>
      </c>
      <c r="F1482" t="s">
        <v>37</v>
      </c>
      <c r="G1482" t="s">
        <v>78</v>
      </c>
      <c r="H1482" t="s">
        <v>8</v>
      </c>
      <c r="I1482" t="s">
        <v>1935</v>
      </c>
      <c r="J1482" t="s">
        <v>1954</v>
      </c>
      <c r="K1482" s="8">
        <v>15</v>
      </c>
    </row>
    <row r="1483" spans="1:11">
      <c r="A1483" t="s">
        <v>3421</v>
      </c>
      <c r="B1483" s="15">
        <v>45674</v>
      </c>
      <c r="C1483" s="4">
        <v>45658</v>
      </c>
      <c r="D1483" t="s">
        <v>35</v>
      </c>
      <c r="E1483" t="s">
        <v>19</v>
      </c>
      <c r="F1483" t="s">
        <v>37</v>
      </c>
      <c r="G1483" t="s">
        <v>107</v>
      </c>
      <c r="H1483" t="s">
        <v>8</v>
      </c>
      <c r="I1483" t="s">
        <v>1935</v>
      </c>
      <c r="J1483" t="s">
        <v>1938</v>
      </c>
      <c r="K1483" s="8">
        <v>21</v>
      </c>
    </row>
    <row r="1484" spans="1:11">
      <c r="A1484" t="s">
        <v>3422</v>
      </c>
      <c r="B1484" s="15">
        <v>45685</v>
      </c>
      <c r="C1484" s="4">
        <v>45658</v>
      </c>
      <c r="D1484" t="s">
        <v>38</v>
      </c>
      <c r="E1484" t="s">
        <v>19</v>
      </c>
      <c r="F1484" t="s">
        <v>40</v>
      </c>
      <c r="G1484" t="s">
        <v>96</v>
      </c>
      <c r="H1484" t="s">
        <v>11</v>
      </c>
      <c r="I1484" t="s">
        <v>1935</v>
      </c>
      <c r="J1484" t="s">
        <v>1936</v>
      </c>
      <c r="K1484" s="8">
        <v>34</v>
      </c>
    </row>
    <row r="1485" spans="1:11">
      <c r="A1485" t="s">
        <v>3423</v>
      </c>
      <c r="B1485" s="15">
        <v>45676</v>
      </c>
      <c r="C1485" s="4">
        <v>45658</v>
      </c>
      <c r="D1485" t="s">
        <v>38</v>
      </c>
      <c r="E1485" t="s">
        <v>19</v>
      </c>
      <c r="F1485" t="s">
        <v>40</v>
      </c>
      <c r="G1485" t="s">
        <v>103</v>
      </c>
      <c r="H1485" t="s">
        <v>5</v>
      </c>
      <c r="I1485" t="s">
        <v>1935</v>
      </c>
      <c r="J1485" t="s">
        <v>1936</v>
      </c>
      <c r="K1485" s="8">
        <v>9</v>
      </c>
    </row>
    <row r="1486" spans="1:11">
      <c r="A1486" t="s">
        <v>3424</v>
      </c>
      <c r="B1486" s="15">
        <v>45679</v>
      </c>
      <c r="C1486" s="4">
        <v>45658</v>
      </c>
      <c r="D1486" t="s">
        <v>38</v>
      </c>
      <c r="E1486" t="s">
        <v>19</v>
      </c>
      <c r="F1486" t="s">
        <v>40</v>
      </c>
      <c r="G1486" t="s">
        <v>90</v>
      </c>
      <c r="H1486" t="s">
        <v>5</v>
      </c>
      <c r="I1486" t="s">
        <v>1935</v>
      </c>
      <c r="J1486" t="s">
        <v>1936</v>
      </c>
      <c r="K1486" s="8">
        <v>26</v>
      </c>
    </row>
    <row r="1487" spans="1:11">
      <c r="A1487" t="s">
        <v>3425</v>
      </c>
      <c r="B1487" s="15">
        <v>45685</v>
      </c>
      <c r="C1487" s="4">
        <v>45658</v>
      </c>
      <c r="D1487" t="s">
        <v>38</v>
      </c>
      <c r="E1487" t="s">
        <v>19</v>
      </c>
      <c r="F1487" t="s">
        <v>40</v>
      </c>
      <c r="G1487" t="s">
        <v>82</v>
      </c>
      <c r="H1487" t="s">
        <v>8</v>
      </c>
      <c r="I1487" t="s">
        <v>1935</v>
      </c>
      <c r="J1487" t="s">
        <v>1936</v>
      </c>
      <c r="K1487" s="8">
        <v>17</v>
      </c>
    </row>
    <row r="1488" spans="1:11">
      <c r="A1488" t="s">
        <v>3426</v>
      </c>
      <c r="B1488" s="15">
        <v>45658</v>
      </c>
      <c r="C1488" s="4">
        <v>45658</v>
      </c>
      <c r="D1488" t="s">
        <v>38</v>
      </c>
      <c r="E1488" t="s">
        <v>19</v>
      </c>
      <c r="F1488" t="s">
        <v>40</v>
      </c>
      <c r="G1488" t="s">
        <v>122</v>
      </c>
      <c r="H1488" t="s">
        <v>11</v>
      </c>
      <c r="I1488" t="s">
        <v>1935</v>
      </c>
      <c r="J1488" t="s">
        <v>1936</v>
      </c>
      <c r="K1488" s="8">
        <v>27</v>
      </c>
    </row>
    <row r="1489" spans="1:11">
      <c r="A1489" t="s">
        <v>3427</v>
      </c>
      <c r="B1489" s="15">
        <v>45674</v>
      </c>
      <c r="C1489" s="4">
        <v>45658</v>
      </c>
      <c r="D1489" t="s">
        <v>38</v>
      </c>
      <c r="E1489" t="s">
        <v>19</v>
      </c>
      <c r="F1489" t="s">
        <v>40</v>
      </c>
      <c r="G1489" t="s">
        <v>128</v>
      </c>
      <c r="H1489" t="s">
        <v>11</v>
      </c>
      <c r="I1489" t="s">
        <v>1935</v>
      </c>
      <c r="J1489" t="s">
        <v>1938</v>
      </c>
      <c r="K1489" s="8">
        <v>23</v>
      </c>
    </row>
    <row r="1490" spans="1:11">
      <c r="A1490" t="s">
        <v>3428</v>
      </c>
      <c r="B1490" s="15">
        <v>45682</v>
      </c>
      <c r="C1490" s="4">
        <v>45658</v>
      </c>
      <c r="D1490" t="s">
        <v>38</v>
      </c>
      <c r="E1490" t="s">
        <v>19</v>
      </c>
      <c r="F1490" t="s">
        <v>40</v>
      </c>
      <c r="G1490" t="s">
        <v>134</v>
      </c>
      <c r="H1490" t="s">
        <v>14</v>
      </c>
      <c r="I1490" t="s">
        <v>1935</v>
      </c>
      <c r="J1490" t="s">
        <v>1954</v>
      </c>
      <c r="K1490" s="8">
        <v>23</v>
      </c>
    </row>
    <row r="1491" spans="1:11">
      <c r="A1491" t="s">
        <v>3429</v>
      </c>
      <c r="B1491" s="15">
        <v>45682</v>
      </c>
      <c r="C1491" s="4">
        <v>45658</v>
      </c>
      <c r="D1491" t="s">
        <v>38</v>
      </c>
      <c r="E1491" t="s">
        <v>19</v>
      </c>
      <c r="F1491" t="s">
        <v>40</v>
      </c>
      <c r="G1491" t="s">
        <v>158</v>
      </c>
      <c r="H1491" t="s">
        <v>8</v>
      </c>
      <c r="I1491" t="s">
        <v>1935</v>
      </c>
      <c r="J1491" t="s">
        <v>1936</v>
      </c>
      <c r="K1491" s="8">
        <v>10</v>
      </c>
    </row>
    <row r="1492" spans="1:11">
      <c r="A1492" t="s">
        <v>3430</v>
      </c>
      <c r="B1492" s="15">
        <v>45688</v>
      </c>
      <c r="C1492" s="4">
        <v>45658</v>
      </c>
      <c r="D1492" t="s">
        <v>38</v>
      </c>
      <c r="E1492" t="s">
        <v>19</v>
      </c>
      <c r="F1492" t="s">
        <v>40</v>
      </c>
      <c r="G1492" t="s">
        <v>158</v>
      </c>
      <c r="H1492" t="s">
        <v>14</v>
      </c>
      <c r="I1492" t="s">
        <v>1935</v>
      </c>
      <c r="J1492" t="s">
        <v>1936</v>
      </c>
      <c r="K1492" s="8">
        <v>24</v>
      </c>
    </row>
    <row r="1493" spans="1:11">
      <c r="A1493" t="s">
        <v>3431</v>
      </c>
      <c r="B1493" s="15">
        <v>45686</v>
      </c>
      <c r="C1493" s="4">
        <v>45658</v>
      </c>
      <c r="D1493" t="s">
        <v>38</v>
      </c>
      <c r="E1493" t="s">
        <v>19</v>
      </c>
      <c r="F1493" t="s">
        <v>40</v>
      </c>
      <c r="G1493" t="s">
        <v>96</v>
      </c>
      <c r="H1493" t="s">
        <v>8</v>
      </c>
      <c r="I1493" t="s">
        <v>1935</v>
      </c>
      <c r="J1493" t="s">
        <v>1936</v>
      </c>
      <c r="K1493" s="8">
        <v>18</v>
      </c>
    </row>
    <row r="1494" spans="1:11">
      <c r="A1494" t="s">
        <v>3432</v>
      </c>
      <c r="B1494" s="15">
        <v>45667</v>
      </c>
      <c r="C1494" s="4">
        <v>45658</v>
      </c>
      <c r="D1494" t="s">
        <v>38</v>
      </c>
      <c r="E1494" t="s">
        <v>19</v>
      </c>
      <c r="F1494" t="s">
        <v>40</v>
      </c>
      <c r="G1494" t="s">
        <v>146</v>
      </c>
      <c r="H1494" t="s">
        <v>11</v>
      </c>
      <c r="I1494" t="s">
        <v>1935</v>
      </c>
      <c r="J1494" t="s">
        <v>1936</v>
      </c>
      <c r="K1494" s="8">
        <v>15</v>
      </c>
    </row>
    <row r="1495" spans="1:11">
      <c r="A1495" t="s">
        <v>3433</v>
      </c>
      <c r="B1495" s="15">
        <v>45686</v>
      </c>
      <c r="C1495" s="4">
        <v>45658</v>
      </c>
      <c r="D1495" t="s">
        <v>38</v>
      </c>
      <c r="E1495" t="s">
        <v>19</v>
      </c>
      <c r="F1495" t="s">
        <v>40</v>
      </c>
      <c r="G1495" t="s">
        <v>90</v>
      </c>
      <c r="H1495" t="s">
        <v>5</v>
      </c>
      <c r="I1495" t="s">
        <v>1942</v>
      </c>
      <c r="J1495" t="s">
        <v>1936</v>
      </c>
      <c r="K1495" s="8">
        <v>4</v>
      </c>
    </row>
    <row r="1496" spans="1:11">
      <c r="A1496" t="s">
        <v>3434</v>
      </c>
      <c r="B1496" s="15">
        <v>45664</v>
      </c>
      <c r="C1496" s="4">
        <v>45658</v>
      </c>
      <c r="D1496" t="s">
        <v>38</v>
      </c>
      <c r="E1496" t="s">
        <v>19</v>
      </c>
      <c r="F1496" t="s">
        <v>40</v>
      </c>
      <c r="G1496" t="s">
        <v>134</v>
      </c>
      <c r="H1496" t="s">
        <v>14</v>
      </c>
      <c r="I1496" t="s">
        <v>1935</v>
      </c>
      <c r="J1496" t="s">
        <v>1936</v>
      </c>
      <c r="K1496" s="8">
        <v>16</v>
      </c>
    </row>
    <row r="1497" spans="1:11">
      <c r="A1497" t="s">
        <v>3435</v>
      </c>
      <c r="B1497" s="15">
        <v>45677</v>
      </c>
      <c r="C1497" s="4">
        <v>45658</v>
      </c>
      <c r="D1497" t="s">
        <v>41</v>
      </c>
      <c r="E1497" t="s">
        <v>21</v>
      </c>
      <c r="F1497" t="s">
        <v>43</v>
      </c>
      <c r="G1497" t="s">
        <v>190</v>
      </c>
      <c r="H1497" t="s">
        <v>14</v>
      </c>
      <c r="I1497" t="s">
        <v>1935</v>
      </c>
      <c r="J1497" t="s">
        <v>1936</v>
      </c>
      <c r="K1497" s="8">
        <v>8</v>
      </c>
    </row>
    <row r="1498" spans="1:11">
      <c r="A1498" t="s">
        <v>3436</v>
      </c>
      <c r="B1498" s="15">
        <v>45667</v>
      </c>
      <c r="C1498" s="4">
        <v>45658</v>
      </c>
      <c r="D1498" t="s">
        <v>41</v>
      </c>
      <c r="E1498" t="s">
        <v>21</v>
      </c>
      <c r="F1498" t="s">
        <v>43</v>
      </c>
      <c r="G1498" t="s">
        <v>220</v>
      </c>
      <c r="H1498" t="s">
        <v>11</v>
      </c>
      <c r="I1498" t="s">
        <v>1935</v>
      </c>
      <c r="J1498" t="s">
        <v>1936</v>
      </c>
      <c r="K1498" s="8">
        <v>24</v>
      </c>
    </row>
    <row r="1499" spans="1:11">
      <c r="A1499" t="s">
        <v>3437</v>
      </c>
      <c r="B1499" s="15">
        <v>45684</v>
      </c>
      <c r="C1499" s="4">
        <v>45658</v>
      </c>
      <c r="D1499" t="s">
        <v>41</v>
      </c>
      <c r="E1499" t="s">
        <v>21</v>
      </c>
      <c r="F1499" t="s">
        <v>43</v>
      </c>
      <c r="G1499" t="s">
        <v>214</v>
      </c>
      <c r="H1499" t="s">
        <v>8</v>
      </c>
      <c r="I1499" t="s">
        <v>1935</v>
      </c>
      <c r="J1499" t="s">
        <v>1936</v>
      </c>
      <c r="K1499" s="8">
        <v>31</v>
      </c>
    </row>
    <row r="1500" spans="1:11">
      <c r="A1500" t="s">
        <v>3438</v>
      </c>
      <c r="B1500" s="15">
        <v>45665</v>
      </c>
      <c r="C1500" s="4">
        <v>45658</v>
      </c>
      <c r="D1500" t="s">
        <v>41</v>
      </c>
      <c r="E1500" t="s">
        <v>21</v>
      </c>
      <c r="F1500" t="s">
        <v>43</v>
      </c>
      <c r="G1500" t="s">
        <v>190</v>
      </c>
      <c r="H1500" t="s">
        <v>5</v>
      </c>
      <c r="I1500" t="s">
        <v>1935</v>
      </c>
      <c r="J1500" t="s">
        <v>1936</v>
      </c>
      <c r="K1500" s="8">
        <v>11</v>
      </c>
    </row>
    <row r="1501" spans="1:11">
      <c r="A1501" t="s">
        <v>3439</v>
      </c>
      <c r="B1501" s="15">
        <v>45678</v>
      </c>
      <c r="C1501" s="4">
        <v>45658</v>
      </c>
      <c r="D1501" t="s">
        <v>41</v>
      </c>
      <c r="E1501" t="s">
        <v>21</v>
      </c>
      <c r="F1501" t="s">
        <v>43</v>
      </c>
      <c r="G1501" t="s">
        <v>166</v>
      </c>
      <c r="H1501" t="s">
        <v>14</v>
      </c>
      <c r="I1501" t="s">
        <v>1935</v>
      </c>
      <c r="J1501" t="s">
        <v>1938</v>
      </c>
      <c r="K1501" s="8">
        <v>28</v>
      </c>
    </row>
    <row r="1502" spans="1:11">
      <c r="A1502" t="s">
        <v>3440</v>
      </c>
      <c r="B1502" s="15">
        <v>45674</v>
      </c>
      <c r="C1502" s="4">
        <v>45658</v>
      </c>
      <c r="D1502" t="s">
        <v>41</v>
      </c>
      <c r="E1502" t="s">
        <v>21</v>
      </c>
      <c r="F1502" t="s">
        <v>43</v>
      </c>
      <c r="G1502" t="s">
        <v>202</v>
      </c>
      <c r="H1502" t="s">
        <v>11</v>
      </c>
      <c r="I1502" t="s">
        <v>1935</v>
      </c>
      <c r="J1502" t="s">
        <v>1938</v>
      </c>
      <c r="K1502" s="8">
        <v>12</v>
      </c>
    </row>
    <row r="1503" spans="1:11">
      <c r="A1503" t="s">
        <v>3441</v>
      </c>
      <c r="B1503" s="15">
        <v>45688</v>
      </c>
      <c r="C1503" s="4">
        <v>45658</v>
      </c>
      <c r="D1503" t="s">
        <v>41</v>
      </c>
      <c r="E1503" t="s">
        <v>21</v>
      </c>
      <c r="F1503" t="s">
        <v>43</v>
      </c>
      <c r="G1503" t="s">
        <v>208</v>
      </c>
      <c r="H1503" t="s">
        <v>5</v>
      </c>
      <c r="I1503" t="s">
        <v>1935</v>
      </c>
      <c r="J1503" t="s">
        <v>1954</v>
      </c>
      <c r="K1503" s="8">
        <v>16</v>
      </c>
    </row>
    <row r="1504" spans="1:11">
      <c r="A1504" t="s">
        <v>3442</v>
      </c>
      <c r="B1504" s="15">
        <v>45674</v>
      </c>
      <c r="C1504" s="4">
        <v>45658</v>
      </c>
      <c r="D1504" t="s">
        <v>41</v>
      </c>
      <c r="E1504" t="s">
        <v>21</v>
      </c>
      <c r="F1504" t="s">
        <v>43</v>
      </c>
      <c r="G1504" t="s">
        <v>208</v>
      </c>
      <c r="H1504" t="s">
        <v>11</v>
      </c>
      <c r="I1504" t="s">
        <v>1935</v>
      </c>
      <c r="J1504" t="s">
        <v>1936</v>
      </c>
      <c r="K1504" s="8">
        <v>14</v>
      </c>
    </row>
    <row r="1505" spans="1:11">
      <c r="A1505" t="s">
        <v>3443</v>
      </c>
      <c r="B1505" s="15">
        <v>45677</v>
      </c>
      <c r="C1505" s="4">
        <v>45658</v>
      </c>
      <c r="D1505" t="s">
        <v>41</v>
      </c>
      <c r="E1505" t="s">
        <v>21</v>
      </c>
      <c r="F1505" t="s">
        <v>43</v>
      </c>
      <c r="G1505" t="s">
        <v>208</v>
      </c>
      <c r="H1505" t="s">
        <v>11</v>
      </c>
      <c r="I1505" t="s">
        <v>1935</v>
      </c>
      <c r="J1505" t="s">
        <v>1936</v>
      </c>
      <c r="K1505" s="8">
        <v>19</v>
      </c>
    </row>
    <row r="1506" spans="1:11">
      <c r="A1506" t="s">
        <v>3444</v>
      </c>
      <c r="B1506" s="15">
        <v>45665</v>
      </c>
      <c r="C1506" s="4">
        <v>45658</v>
      </c>
      <c r="D1506" t="s">
        <v>41</v>
      </c>
      <c r="E1506" t="s">
        <v>21</v>
      </c>
      <c r="F1506" t="s">
        <v>43</v>
      </c>
      <c r="G1506" t="s">
        <v>226</v>
      </c>
      <c r="H1506" t="s">
        <v>5</v>
      </c>
      <c r="I1506" t="s">
        <v>1995</v>
      </c>
      <c r="J1506" t="s">
        <v>1936</v>
      </c>
      <c r="K1506" s="8">
        <v>3</v>
      </c>
    </row>
    <row r="1507" spans="1:11">
      <c r="A1507" t="s">
        <v>3445</v>
      </c>
      <c r="B1507" s="15">
        <v>45681</v>
      </c>
      <c r="C1507" s="4">
        <v>45658</v>
      </c>
      <c r="D1507" t="s">
        <v>41</v>
      </c>
      <c r="E1507" t="s">
        <v>21</v>
      </c>
      <c r="F1507" t="s">
        <v>43</v>
      </c>
      <c r="G1507" t="s">
        <v>220</v>
      </c>
      <c r="H1507" t="s">
        <v>11</v>
      </c>
      <c r="I1507" t="s">
        <v>1995</v>
      </c>
      <c r="J1507" t="s">
        <v>1936</v>
      </c>
      <c r="K1507" s="8">
        <v>4</v>
      </c>
    </row>
    <row r="1508" spans="1:11">
      <c r="A1508" t="s">
        <v>3446</v>
      </c>
      <c r="B1508" s="15">
        <v>45672</v>
      </c>
      <c r="C1508" s="4">
        <v>45658</v>
      </c>
      <c r="D1508" t="s">
        <v>41</v>
      </c>
      <c r="E1508" t="s">
        <v>21</v>
      </c>
      <c r="F1508" t="s">
        <v>43</v>
      </c>
      <c r="G1508" t="s">
        <v>208</v>
      </c>
      <c r="H1508" t="s">
        <v>11</v>
      </c>
      <c r="I1508" t="s">
        <v>1935</v>
      </c>
      <c r="J1508" t="s">
        <v>1936</v>
      </c>
      <c r="K1508" s="8">
        <v>32</v>
      </c>
    </row>
    <row r="1509" spans="1:11">
      <c r="A1509" t="s">
        <v>3447</v>
      </c>
      <c r="B1509" s="15">
        <v>45667</v>
      </c>
      <c r="C1509" s="4">
        <v>45658</v>
      </c>
      <c r="D1509" t="s">
        <v>41</v>
      </c>
      <c r="E1509" t="s">
        <v>21</v>
      </c>
      <c r="F1509" t="s">
        <v>43</v>
      </c>
      <c r="G1509" t="s">
        <v>208</v>
      </c>
      <c r="H1509" t="s">
        <v>11</v>
      </c>
      <c r="I1509" t="s">
        <v>1935</v>
      </c>
      <c r="J1509" t="s">
        <v>1936</v>
      </c>
      <c r="K1509" s="8">
        <v>35</v>
      </c>
    </row>
    <row r="1510" spans="1:11">
      <c r="A1510" t="s">
        <v>3448</v>
      </c>
      <c r="B1510" s="15">
        <v>45670</v>
      </c>
      <c r="C1510" s="4">
        <v>45658</v>
      </c>
      <c r="D1510" t="s">
        <v>44</v>
      </c>
      <c r="E1510" t="s">
        <v>21</v>
      </c>
      <c r="F1510" t="s">
        <v>46</v>
      </c>
      <c r="G1510" t="s">
        <v>210</v>
      </c>
      <c r="H1510" t="s">
        <v>8</v>
      </c>
      <c r="I1510" t="s">
        <v>1935</v>
      </c>
      <c r="J1510" t="s">
        <v>1938</v>
      </c>
      <c r="K1510" s="8">
        <v>22</v>
      </c>
    </row>
    <row r="1511" spans="1:11">
      <c r="A1511" t="s">
        <v>3449</v>
      </c>
      <c r="B1511" s="15">
        <v>45675</v>
      </c>
      <c r="C1511" s="4">
        <v>45658</v>
      </c>
      <c r="D1511" t="s">
        <v>44</v>
      </c>
      <c r="E1511" t="s">
        <v>21</v>
      </c>
      <c r="F1511" t="s">
        <v>46</v>
      </c>
      <c r="G1511" t="s">
        <v>234</v>
      </c>
      <c r="H1511" t="s">
        <v>5</v>
      </c>
      <c r="I1511" t="s">
        <v>1935</v>
      </c>
      <c r="J1511" t="s">
        <v>1936</v>
      </c>
      <c r="K1511" s="8">
        <v>14</v>
      </c>
    </row>
    <row r="1512" spans="1:11">
      <c r="A1512" t="s">
        <v>3450</v>
      </c>
      <c r="B1512" s="15">
        <v>45664</v>
      </c>
      <c r="C1512" s="4">
        <v>45658</v>
      </c>
      <c r="D1512" t="s">
        <v>44</v>
      </c>
      <c r="E1512" t="s">
        <v>21</v>
      </c>
      <c r="F1512" t="s">
        <v>46</v>
      </c>
      <c r="G1512" t="s">
        <v>186</v>
      </c>
      <c r="H1512" t="s">
        <v>5</v>
      </c>
      <c r="I1512" t="s">
        <v>1935</v>
      </c>
      <c r="J1512" t="s">
        <v>1936</v>
      </c>
      <c r="K1512" s="8">
        <v>20</v>
      </c>
    </row>
    <row r="1513" spans="1:11">
      <c r="A1513" t="s">
        <v>3451</v>
      </c>
      <c r="B1513" s="15">
        <v>45677</v>
      </c>
      <c r="C1513" s="4">
        <v>45658</v>
      </c>
      <c r="D1513" t="s">
        <v>44</v>
      </c>
      <c r="E1513" t="s">
        <v>21</v>
      </c>
      <c r="F1513" t="s">
        <v>46</v>
      </c>
      <c r="G1513" t="s">
        <v>210</v>
      </c>
      <c r="H1513" t="s">
        <v>11</v>
      </c>
      <c r="I1513" t="s">
        <v>1935</v>
      </c>
      <c r="J1513" t="s">
        <v>1936</v>
      </c>
      <c r="K1513" s="8">
        <v>20</v>
      </c>
    </row>
    <row r="1514" spans="1:11">
      <c r="A1514" t="s">
        <v>3452</v>
      </c>
      <c r="B1514" s="15">
        <v>45665</v>
      </c>
      <c r="C1514" s="4">
        <v>45658</v>
      </c>
      <c r="D1514" t="s">
        <v>44</v>
      </c>
      <c r="E1514" t="s">
        <v>21</v>
      </c>
      <c r="F1514" t="s">
        <v>46</v>
      </c>
      <c r="G1514" t="s">
        <v>234</v>
      </c>
      <c r="H1514" t="s">
        <v>5</v>
      </c>
      <c r="I1514" t="s">
        <v>1935</v>
      </c>
      <c r="J1514" t="s">
        <v>1936</v>
      </c>
      <c r="K1514" s="8">
        <v>8</v>
      </c>
    </row>
    <row r="1515" spans="1:11">
      <c r="A1515" t="s">
        <v>3453</v>
      </c>
      <c r="B1515" s="15">
        <v>45659</v>
      </c>
      <c r="C1515" s="4">
        <v>45658</v>
      </c>
      <c r="D1515" t="s">
        <v>44</v>
      </c>
      <c r="E1515" t="s">
        <v>21</v>
      </c>
      <c r="F1515" t="s">
        <v>46</v>
      </c>
      <c r="G1515" t="s">
        <v>210</v>
      </c>
      <c r="H1515" t="s">
        <v>5</v>
      </c>
      <c r="I1515" t="s">
        <v>1935</v>
      </c>
      <c r="J1515" t="s">
        <v>1936</v>
      </c>
      <c r="K1515" s="8">
        <v>27</v>
      </c>
    </row>
    <row r="1516" spans="1:11">
      <c r="A1516" t="s">
        <v>3454</v>
      </c>
      <c r="B1516" s="15">
        <v>45677</v>
      </c>
      <c r="C1516" s="4">
        <v>45658</v>
      </c>
      <c r="D1516" t="s">
        <v>44</v>
      </c>
      <c r="E1516" t="s">
        <v>21</v>
      </c>
      <c r="F1516" t="s">
        <v>46</v>
      </c>
      <c r="G1516" t="s">
        <v>216</v>
      </c>
      <c r="H1516" t="s">
        <v>8</v>
      </c>
      <c r="I1516" t="s">
        <v>1935</v>
      </c>
      <c r="J1516" t="s">
        <v>1936</v>
      </c>
      <c r="K1516" s="8">
        <v>30</v>
      </c>
    </row>
    <row r="1517" spans="1:11">
      <c r="A1517" t="s">
        <v>3455</v>
      </c>
      <c r="B1517" s="15">
        <v>45667</v>
      </c>
      <c r="C1517" s="4">
        <v>45658</v>
      </c>
      <c r="D1517" t="s">
        <v>44</v>
      </c>
      <c r="E1517" t="s">
        <v>21</v>
      </c>
      <c r="F1517" t="s">
        <v>46</v>
      </c>
      <c r="G1517" t="s">
        <v>186</v>
      </c>
      <c r="H1517" t="s">
        <v>5</v>
      </c>
      <c r="I1517" t="s">
        <v>1935</v>
      </c>
      <c r="J1517" t="s">
        <v>1936</v>
      </c>
      <c r="K1517" s="8">
        <v>25</v>
      </c>
    </row>
    <row r="1518" spans="1:11">
      <c r="A1518" t="s">
        <v>3456</v>
      </c>
      <c r="B1518" s="15">
        <v>45688</v>
      </c>
      <c r="C1518" s="4">
        <v>45658</v>
      </c>
      <c r="D1518" t="s">
        <v>44</v>
      </c>
      <c r="E1518" t="s">
        <v>21</v>
      </c>
      <c r="F1518" t="s">
        <v>46</v>
      </c>
      <c r="G1518" t="s">
        <v>174</v>
      </c>
      <c r="H1518" t="s">
        <v>5</v>
      </c>
      <c r="I1518" t="s">
        <v>1935</v>
      </c>
      <c r="J1518" t="s">
        <v>1938</v>
      </c>
      <c r="K1518" s="8">
        <v>13</v>
      </c>
    </row>
    <row r="1519" spans="1:11">
      <c r="A1519" t="s">
        <v>3457</v>
      </c>
      <c r="B1519" s="15">
        <v>45677</v>
      </c>
      <c r="C1519" s="4">
        <v>45658</v>
      </c>
      <c r="D1519" t="s">
        <v>44</v>
      </c>
      <c r="E1519" t="s">
        <v>21</v>
      </c>
      <c r="F1519" t="s">
        <v>46</v>
      </c>
      <c r="G1519" t="s">
        <v>180</v>
      </c>
      <c r="H1519" t="s">
        <v>14</v>
      </c>
      <c r="I1519" t="s">
        <v>1935</v>
      </c>
      <c r="J1519" t="s">
        <v>1936</v>
      </c>
      <c r="K1519" s="8">
        <v>29</v>
      </c>
    </row>
    <row r="1520" spans="1:11">
      <c r="A1520" t="s">
        <v>3458</v>
      </c>
      <c r="B1520" s="15">
        <v>45662</v>
      </c>
      <c r="C1520" s="4">
        <v>45658</v>
      </c>
      <c r="D1520" t="s">
        <v>44</v>
      </c>
      <c r="E1520" t="s">
        <v>21</v>
      </c>
      <c r="F1520" t="s">
        <v>46</v>
      </c>
      <c r="G1520" t="s">
        <v>186</v>
      </c>
      <c r="H1520" t="s">
        <v>14</v>
      </c>
      <c r="I1520" t="s">
        <v>1935</v>
      </c>
      <c r="J1520" t="s">
        <v>1938</v>
      </c>
      <c r="K1520" s="8">
        <v>31</v>
      </c>
    </row>
    <row r="1521" spans="1:11">
      <c r="A1521" t="s">
        <v>3459</v>
      </c>
      <c r="B1521" s="15">
        <v>45669</v>
      </c>
      <c r="C1521" s="4">
        <v>45658</v>
      </c>
      <c r="D1521" t="s">
        <v>44</v>
      </c>
      <c r="E1521" t="s">
        <v>21</v>
      </c>
      <c r="F1521" t="s">
        <v>46</v>
      </c>
      <c r="G1521" t="s">
        <v>216</v>
      </c>
      <c r="H1521" t="s">
        <v>14</v>
      </c>
      <c r="I1521" t="s">
        <v>1935</v>
      </c>
      <c r="J1521" t="s">
        <v>1936</v>
      </c>
      <c r="K1521" s="8">
        <v>24</v>
      </c>
    </row>
    <row r="1522" spans="1:11">
      <c r="A1522" t="s">
        <v>3460</v>
      </c>
      <c r="B1522" s="15">
        <v>45677</v>
      </c>
      <c r="C1522" s="4">
        <v>45658</v>
      </c>
      <c r="D1522" t="s">
        <v>47</v>
      </c>
      <c r="E1522" t="s">
        <v>21</v>
      </c>
      <c r="F1522" t="s">
        <v>49</v>
      </c>
      <c r="G1522" t="s">
        <v>218</v>
      </c>
      <c r="H1522" t="s">
        <v>5</v>
      </c>
      <c r="I1522" t="s">
        <v>1935</v>
      </c>
      <c r="J1522" t="s">
        <v>1954</v>
      </c>
      <c r="K1522" s="8">
        <v>26</v>
      </c>
    </row>
    <row r="1523" spans="1:11">
      <c r="A1523" t="s">
        <v>3461</v>
      </c>
      <c r="B1523" s="15">
        <v>45669</v>
      </c>
      <c r="C1523" s="4">
        <v>45658</v>
      </c>
      <c r="D1523" t="s">
        <v>47</v>
      </c>
      <c r="E1523" t="s">
        <v>21</v>
      </c>
      <c r="F1523" t="s">
        <v>49</v>
      </c>
      <c r="G1523" t="s">
        <v>218</v>
      </c>
      <c r="H1523" t="s">
        <v>14</v>
      </c>
      <c r="I1523" t="s">
        <v>1935</v>
      </c>
      <c r="J1523" t="s">
        <v>1936</v>
      </c>
      <c r="K1523" s="8">
        <v>33</v>
      </c>
    </row>
    <row r="1524" spans="1:11">
      <c r="A1524" t="s">
        <v>3462</v>
      </c>
      <c r="B1524" s="15">
        <v>45664</v>
      </c>
      <c r="C1524" s="4">
        <v>45658</v>
      </c>
      <c r="D1524" t="s">
        <v>47</v>
      </c>
      <c r="E1524" t="s">
        <v>21</v>
      </c>
      <c r="F1524" t="s">
        <v>49</v>
      </c>
      <c r="G1524" t="s">
        <v>182</v>
      </c>
      <c r="H1524" t="s">
        <v>8</v>
      </c>
      <c r="I1524" t="s">
        <v>1935</v>
      </c>
      <c r="J1524" t="s">
        <v>1938</v>
      </c>
      <c r="K1524" s="8">
        <v>17</v>
      </c>
    </row>
    <row r="1525" spans="1:11">
      <c r="A1525" t="s">
        <v>3463</v>
      </c>
      <c r="B1525" s="15">
        <v>45673</v>
      </c>
      <c r="C1525" s="4">
        <v>45658</v>
      </c>
      <c r="D1525" t="s">
        <v>47</v>
      </c>
      <c r="E1525" t="s">
        <v>21</v>
      </c>
      <c r="F1525" t="s">
        <v>49</v>
      </c>
      <c r="G1525" t="s">
        <v>176</v>
      </c>
      <c r="H1525" t="s">
        <v>8</v>
      </c>
      <c r="I1525" t="s">
        <v>1935</v>
      </c>
      <c r="J1525" t="s">
        <v>1936</v>
      </c>
      <c r="K1525" s="8">
        <v>23</v>
      </c>
    </row>
    <row r="1526" spans="1:11">
      <c r="A1526" t="s">
        <v>3464</v>
      </c>
      <c r="B1526" s="15">
        <v>45673</v>
      </c>
      <c r="C1526" s="4">
        <v>45658</v>
      </c>
      <c r="D1526" t="s">
        <v>47</v>
      </c>
      <c r="E1526" t="s">
        <v>21</v>
      </c>
      <c r="F1526" t="s">
        <v>49</v>
      </c>
      <c r="G1526" t="s">
        <v>218</v>
      </c>
      <c r="H1526" t="s">
        <v>14</v>
      </c>
      <c r="I1526" t="s">
        <v>1935</v>
      </c>
      <c r="J1526" t="s">
        <v>1954</v>
      </c>
      <c r="K1526" s="8">
        <v>14</v>
      </c>
    </row>
    <row r="1527" spans="1:11">
      <c r="A1527" t="s">
        <v>3465</v>
      </c>
      <c r="B1527" s="15">
        <v>45664</v>
      </c>
      <c r="C1527" s="4">
        <v>45658</v>
      </c>
      <c r="D1527" t="s">
        <v>47</v>
      </c>
      <c r="E1527" t="s">
        <v>21</v>
      </c>
      <c r="F1527" t="s">
        <v>49</v>
      </c>
      <c r="G1527" t="s">
        <v>218</v>
      </c>
      <c r="H1527" t="s">
        <v>14</v>
      </c>
      <c r="I1527" t="s">
        <v>1935</v>
      </c>
      <c r="J1527" t="s">
        <v>1936</v>
      </c>
      <c r="K1527" s="8">
        <v>12</v>
      </c>
    </row>
    <row r="1528" spans="1:11">
      <c r="A1528" t="s">
        <v>3466</v>
      </c>
      <c r="B1528" s="15">
        <v>45679</v>
      </c>
      <c r="C1528" s="4">
        <v>45658</v>
      </c>
      <c r="D1528" t="s">
        <v>47</v>
      </c>
      <c r="E1528" t="s">
        <v>21</v>
      </c>
      <c r="F1528" t="s">
        <v>49</v>
      </c>
      <c r="G1528" t="s">
        <v>218</v>
      </c>
      <c r="H1528" t="s">
        <v>14</v>
      </c>
      <c r="I1528" t="s">
        <v>1935</v>
      </c>
      <c r="J1528" t="s">
        <v>1936</v>
      </c>
      <c r="K1528" s="8">
        <v>11</v>
      </c>
    </row>
    <row r="1529" spans="1:11">
      <c r="A1529" t="s">
        <v>3467</v>
      </c>
      <c r="B1529" s="15">
        <v>45684</v>
      </c>
      <c r="C1529" s="4">
        <v>45658</v>
      </c>
      <c r="D1529" t="s">
        <v>47</v>
      </c>
      <c r="E1529" t="s">
        <v>21</v>
      </c>
      <c r="F1529" t="s">
        <v>49</v>
      </c>
      <c r="G1529" t="s">
        <v>218</v>
      </c>
      <c r="H1529" t="s">
        <v>14</v>
      </c>
      <c r="I1529" t="s">
        <v>1935</v>
      </c>
      <c r="J1529" t="s">
        <v>1936</v>
      </c>
      <c r="K1529" s="8">
        <v>13</v>
      </c>
    </row>
    <row r="1530" spans="1:11">
      <c r="A1530" t="s">
        <v>3468</v>
      </c>
      <c r="B1530" s="15">
        <v>45658</v>
      </c>
      <c r="C1530" s="4">
        <v>45658</v>
      </c>
      <c r="D1530" t="s">
        <v>47</v>
      </c>
      <c r="E1530" t="s">
        <v>21</v>
      </c>
      <c r="F1530" t="s">
        <v>49</v>
      </c>
      <c r="G1530" t="s">
        <v>230</v>
      </c>
      <c r="H1530" t="s">
        <v>14</v>
      </c>
      <c r="I1530" t="s">
        <v>1935</v>
      </c>
      <c r="J1530" t="s">
        <v>1936</v>
      </c>
      <c r="K1530" s="8">
        <v>31</v>
      </c>
    </row>
    <row r="1531" spans="1:11">
      <c r="A1531" t="s">
        <v>3469</v>
      </c>
      <c r="B1531" s="15">
        <v>45684</v>
      </c>
      <c r="C1531" s="4">
        <v>45658</v>
      </c>
      <c r="D1531" t="s">
        <v>47</v>
      </c>
      <c r="E1531" t="s">
        <v>21</v>
      </c>
      <c r="F1531" t="s">
        <v>49</v>
      </c>
      <c r="G1531" t="s">
        <v>218</v>
      </c>
      <c r="H1531" t="s">
        <v>14</v>
      </c>
      <c r="I1531" t="s">
        <v>1995</v>
      </c>
      <c r="J1531" t="s">
        <v>1936</v>
      </c>
      <c r="K1531" s="8">
        <v>5</v>
      </c>
    </row>
    <row r="1532" spans="1:11">
      <c r="A1532" t="s">
        <v>3470</v>
      </c>
      <c r="B1532" s="15">
        <v>45658</v>
      </c>
      <c r="C1532" s="4">
        <v>45658</v>
      </c>
      <c r="D1532" t="s">
        <v>50</v>
      </c>
      <c r="E1532" t="s">
        <v>23</v>
      </c>
      <c r="F1532" t="s">
        <v>52</v>
      </c>
      <c r="G1532" t="s">
        <v>274</v>
      </c>
      <c r="H1532" t="s">
        <v>5</v>
      </c>
      <c r="I1532" t="s">
        <v>1935</v>
      </c>
      <c r="J1532" t="s">
        <v>1936</v>
      </c>
      <c r="K1532" s="8">
        <v>27</v>
      </c>
    </row>
    <row r="1533" spans="1:11">
      <c r="A1533" t="s">
        <v>3471</v>
      </c>
      <c r="B1533" s="15">
        <v>45687</v>
      </c>
      <c r="C1533" s="4">
        <v>45658</v>
      </c>
      <c r="D1533" t="s">
        <v>50</v>
      </c>
      <c r="E1533" t="s">
        <v>23</v>
      </c>
      <c r="F1533" t="s">
        <v>52</v>
      </c>
      <c r="G1533" t="s">
        <v>268</v>
      </c>
      <c r="H1533" t="s">
        <v>8</v>
      </c>
      <c r="I1533" t="s">
        <v>1935</v>
      </c>
      <c r="J1533" t="s">
        <v>1936</v>
      </c>
      <c r="K1533" s="8">
        <v>18</v>
      </c>
    </row>
    <row r="1534" spans="1:11">
      <c r="A1534" t="s">
        <v>3472</v>
      </c>
      <c r="B1534" s="15">
        <v>45676</v>
      </c>
      <c r="C1534" s="4">
        <v>45658</v>
      </c>
      <c r="D1534" t="s">
        <v>50</v>
      </c>
      <c r="E1534" t="s">
        <v>23</v>
      </c>
      <c r="F1534" t="s">
        <v>52</v>
      </c>
      <c r="G1534" t="s">
        <v>310</v>
      </c>
      <c r="H1534" t="s">
        <v>11</v>
      </c>
      <c r="I1534" t="s">
        <v>1935</v>
      </c>
      <c r="J1534" t="s">
        <v>1936</v>
      </c>
      <c r="K1534" s="8">
        <v>14</v>
      </c>
    </row>
    <row r="1535" spans="1:11">
      <c r="A1535" t="s">
        <v>3473</v>
      </c>
      <c r="B1535" s="15">
        <v>45669</v>
      </c>
      <c r="C1535" s="4">
        <v>45658</v>
      </c>
      <c r="D1535" t="s">
        <v>50</v>
      </c>
      <c r="E1535" t="s">
        <v>23</v>
      </c>
      <c r="F1535" t="s">
        <v>52</v>
      </c>
      <c r="G1535" t="s">
        <v>298</v>
      </c>
      <c r="H1535" t="s">
        <v>5</v>
      </c>
      <c r="I1535" t="s">
        <v>1935</v>
      </c>
      <c r="J1535" t="s">
        <v>1938</v>
      </c>
      <c r="K1535" s="8">
        <v>14</v>
      </c>
    </row>
    <row r="1536" spans="1:11">
      <c r="A1536" t="s">
        <v>3474</v>
      </c>
      <c r="B1536" s="15">
        <v>45686</v>
      </c>
      <c r="C1536" s="4">
        <v>45658</v>
      </c>
      <c r="D1536" t="s">
        <v>50</v>
      </c>
      <c r="E1536" t="s">
        <v>23</v>
      </c>
      <c r="F1536" t="s">
        <v>52</v>
      </c>
      <c r="G1536" t="s">
        <v>292</v>
      </c>
      <c r="H1536" t="s">
        <v>11</v>
      </c>
      <c r="I1536" t="s">
        <v>1935</v>
      </c>
      <c r="J1536" t="s">
        <v>1936</v>
      </c>
      <c r="K1536" s="8">
        <v>19</v>
      </c>
    </row>
    <row r="1537" spans="1:11">
      <c r="A1537" t="s">
        <v>3475</v>
      </c>
      <c r="B1537" s="15">
        <v>45684</v>
      </c>
      <c r="C1537" s="4">
        <v>45658</v>
      </c>
      <c r="D1537" t="s">
        <v>50</v>
      </c>
      <c r="E1537" t="s">
        <v>23</v>
      </c>
      <c r="F1537" t="s">
        <v>52</v>
      </c>
      <c r="G1537" t="s">
        <v>268</v>
      </c>
      <c r="H1537" t="s">
        <v>8</v>
      </c>
      <c r="I1537" t="s">
        <v>1935</v>
      </c>
      <c r="J1537" t="s">
        <v>1938</v>
      </c>
      <c r="K1537" s="8">
        <v>19</v>
      </c>
    </row>
    <row r="1538" spans="1:11">
      <c r="A1538" t="s">
        <v>3476</v>
      </c>
      <c r="B1538" s="15">
        <v>45677</v>
      </c>
      <c r="C1538" s="4">
        <v>45658</v>
      </c>
      <c r="D1538" t="s">
        <v>50</v>
      </c>
      <c r="E1538" t="s">
        <v>23</v>
      </c>
      <c r="F1538" t="s">
        <v>52</v>
      </c>
      <c r="G1538" t="s">
        <v>256</v>
      </c>
      <c r="H1538" t="s">
        <v>5</v>
      </c>
      <c r="I1538" t="s">
        <v>1935</v>
      </c>
      <c r="J1538" t="s">
        <v>1938</v>
      </c>
      <c r="K1538" s="8">
        <v>14</v>
      </c>
    </row>
    <row r="1539" spans="1:11">
      <c r="A1539" t="s">
        <v>3477</v>
      </c>
      <c r="B1539" s="15">
        <v>45658</v>
      </c>
      <c r="C1539" s="4">
        <v>45658</v>
      </c>
      <c r="D1539" t="s">
        <v>50</v>
      </c>
      <c r="E1539" t="s">
        <v>23</v>
      </c>
      <c r="F1539" t="s">
        <v>52</v>
      </c>
      <c r="G1539" t="s">
        <v>286</v>
      </c>
      <c r="H1539" t="s">
        <v>5</v>
      </c>
      <c r="I1539" t="s">
        <v>1935</v>
      </c>
      <c r="J1539" t="s">
        <v>1938</v>
      </c>
      <c r="K1539" s="8">
        <v>9</v>
      </c>
    </row>
    <row r="1540" spans="1:11">
      <c r="A1540" t="s">
        <v>3478</v>
      </c>
      <c r="B1540" s="15">
        <v>45668</v>
      </c>
      <c r="C1540" s="4">
        <v>45658</v>
      </c>
      <c r="D1540" t="s">
        <v>50</v>
      </c>
      <c r="E1540" t="s">
        <v>23</v>
      </c>
      <c r="F1540" t="s">
        <v>52</v>
      </c>
      <c r="G1540" t="s">
        <v>310</v>
      </c>
      <c r="H1540" t="s">
        <v>11</v>
      </c>
      <c r="I1540" t="s">
        <v>1935</v>
      </c>
      <c r="J1540" t="s">
        <v>1954</v>
      </c>
      <c r="K1540" s="8">
        <v>12</v>
      </c>
    </row>
    <row r="1541" spans="1:11">
      <c r="A1541" t="s">
        <v>3479</v>
      </c>
      <c r="B1541" s="15">
        <v>45660</v>
      </c>
      <c r="C1541" s="4">
        <v>45658</v>
      </c>
      <c r="D1541" t="s">
        <v>50</v>
      </c>
      <c r="E1541" t="s">
        <v>23</v>
      </c>
      <c r="F1541" t="s">
        <v>52</v>
      </c>
      <c r="G1541" t="s">
        <v>274</v>
      </c>
      <c r="H1541" t="s">
        <v>11</v>
      </c>
      <c r="I1541" t="s">
        <v>1935</v>
      </c>
      <c r="J1541" t="s">
        <v>1936</v>
      </c>
      <c r="K1541" s="8">
        <v>21</v>
      </c>
    </row>
    <row r="1542" spans="1:11">
      <c r="A1542" t="s">
        <v>3480</v>
      </c>
      <c r="B1542" s="15">
        <v>45675</v>
      </c>
      <c r="C1542" s="4">
        <v>45658</v>
      </c>
      <c r="D1542" t="s">
        <v>53</v>
      </c>
      <c r="E1542" t="s">
        <v>23</v>
      </c>
      <c r="F1542" t="s">
        <v>55</v>
      </c>
      <c r="G1542" t="s">
        <v>312</v>
      </c>
      <c r="H1542" t="s">
        <v>5</v>
      </c>
      <c r="I1542" t="s">
        <v>1935</v>
      </c>
      <c r="J1542" t="s">
        <v>1936</v>
      </c>
      <c r="K1542" s="8">
        <v>26</v>
      </c>
    </row>
    <row r="1543" spans="1:11">
      <c r="A1543" t="s">
        <v>3481</v>
      </c>
      <c r="B1543" s="15">
        <v>45659</v>
      </c>
      <c r="C1543" s="4">
        <v>45658</v>
      </c>
      <c r="D1543" t="s">
        <v>53</v>
      </c>
      <c r="E1543" t="s">
        <v>23</v>
      </c>
      <c r="F1543" t="s">
        <v>55</v>
      </c>
      <c r="G1543" t="s">
        <v>282</v>
      </c>
      <c r="H1543" t="s">
        <v>8</v>
      </c>
      <c r="I1543" t="s">
        <v>1935</v>
      </c>
      <c r="J1543" t="s">
        <v>1938</v>
      </c>
      <c r="K1543" s="8">
        <v>27</v>
      </c>
    </row>
    <row r="1544" spans="1:11">
      <c r="A1544" t="s">
        <v>3482</v>
      </c>
      <c r="B1544" s="15">
        <v>45688</v>
      </c>
      <c r="C1544" s="4">
        <v>45658</v>
      </c>
      <c r="D1544" t="s">
        <v>53</v>
      </c>
      <c r="E1544" t="s">
        <v>23</v>
      </c>
      <c r="F1544" t="s">
        <v>55</v>
      </c>
      <c r="G1544" t="s">
        <v>276</v>
      </c>
      <c r="H1544" t="s">
        <v>8</v>
      </c>
      <c r="I1544" t="s">
        <v>1935</v>
      </c>
      <c r="J1544" t="s">
        <v>1936</v>
      </c>
      <c r="K1544" s="8">
        <v>27</v>
      </c>
    </row>
    <row r="1545" spans="1:11">
      <c r="A1545" t="s">
        <v>3483</v>
      </c>
      <c r="B1545" s="15">
        <v>45683</v>
      </c>
      <c r="C1545" s="4">
        <v>45658</v>
      </c>
      <c r="D1545" t="s">
        <v>53</v>
      </c>
      <c r="E1545" t="s">
        <v>23</v>
      </c>
      <c r="F1545" t="s">
        <v>55</v>
      </c>
      <c r="G1545" t="s">
        <v>252</v>
      </c>
      <c r="H1545" t="s">
        <v>5</v>
      </c>
      <c r="I1545" t="s">
        <v>1935</v>
      </c>
      <c r="J1545" t="s">
        <v>1936</v>
      </c>
      <c r="K1545" s="8">
        <v>8</v>
      </c>
    </row>
    <row r="1546" spans="1:11">
      <c r="A1546" t="s">
        <v>3484</v>
      </c>
      <c r="B1546" s="15">
        <v>45682</v>
      </c>
      <c r="C1546" s="4">
        <v>45658</v>
      </c>
      <c r="D1546" t="s">
        <v>53</v>
      </c>
      <c r="E1546" t="s">
        <v>23</v>
      </c>
      <c r="F1546" t="s">
        <v>55</v>
      </c>
      <c r="G1546" t="s">
        <v>264</v>
      </c>
      <c r="H1546" t="s">
        <v>14</v>
      </c>
      <c r="I1546" t="s">
        <v>1935</v>
      </c>
      <c r="J1546" t="s">
        <v>1936</v>
      </c>
      <c r="K1546" s="8">
        <v>9</v>
      </c>
    </row>
    <row r="1547" spans="1:11">
      <c r="A1547" t="s">
        <v>3485</v>
      </c>
      <c r="B1547" s="15">
        <v>45686</v>
      </c>
      <c r="C1547" s="4">
        <v>45658</v>
      </c>
      <c r="D1547" t="s">
        <v>53</v>
      </c>
      <c r="E1547" t="s">
        <v>23</v>
      </c>
      <c r="F1547" t="s">
        <v>55</v>
      </c>
      <c r="G1547" t="s">
        <v>312</v>
      </c>
      <c r="H1547" t="s">
        <v>5</v>
      </c>
      <c r="I1547" t="s">
        <v>1935</v>
      </c>
      <c r="J1547" t="s">
        <v>1936</v>
      </c>
      <c r="K1547" s="8">
        <v>30</v>
      </c>
    </row>
    <row r="1548" spans="1:11">
      <c r="A1548" t="s">
        <v>3486</v>
      </c>
      <c r="B1548" s="15">
        <v>45682</v>
      </c>
      <c r="C1548" s="4">
        <v>45658</v>
      </c>
      <c r="D1548" t="s">
        <v>53</v>
      </c>
      <c r="E1548" t="s">
        <v>23</v>
      </c>
      <c r="F1548" t="s">
        <v>55</v>
      </c>
      <c r="G1548" t="s">
        <v>276</v>
      </c>
      <c r="H1548" t="s">
        <v>14</v>
      </c>
      <c r="I1548" t="s">
        <v>1935</v>
      </c>
      <c r="J1548" t="s">
        <v>1954</v>
      </c>
      <c r="K1548" s="8">
        <v>16</v>
      </c>
    </row>
    <row r="1549" spans="1:11">
      <c r="A1549" t="s">
        <v>3487</v>
      </c>
      <c r="B1549" s="15">
        <v>45667</v>
      </c>
      <c r="C1549" s="4">
        <v>45658</v>
      </c>
      <c r="D1549" t="s">
        <v>53</v>
      </c>
      <c r="E1549" t="s">
        <v>23</v>
      </c>
      <c r="F1549" t="s">
        <v>55</v>
      </c>
      <c r="G1549" t="s">
        <v>306</v>
      </c>
      <c r="H1549" t="s">
        <v>8</v>
      </c>
      <c r="I1549" t="s">
        <v>1935</v>
      </c>
      <c r="J1549" t="s">
        <v>1954</v>
      </c>
      <c r="K1549" s="8">
        <v>11</v>
      </c>
    </row>
    <row r="1550" spans="1:11">
      <c r="A1550" t="s">
        <v>3488</v>
      </c>
      <c r="B1550" s="15">
        <v>45676</v>
      </c>
      <c r="C1550" s="4">
        <v>45658</v>
      </c>
      <c r="D1550" t="s">
        <v>53</v>
      </c>
      <c r="E1550" t="s">
        <v>23</v>
      </c>
      <c r="F1550" t="s">
        <v>55</v>
      </c>
      <c r="G1550" t="s">
        <v>306</v>
      </c>
      <c r="H1550" t="s">
        <v>8</v>
      </c>
      <c r="I1550" t="s">
        <v>1935</v>
      </c>
      <c r="J1550" t="s">
        <v>1936</v>
      </c>
      <c r="K1550" s="8">
        <v>13</v>
      </c>
    </row>
    <row r="1551" spans="1:11">
      <c r="A1551" t="s">
        <v>3489</v>
      </c>
      <c r="B1551" s="15">
        <v>45668</v>
      </c>
      <c r="C1551" s="4">
        <v>45658</v>
      </c>
      <c r="D1551" t="s">
        <v>53</v>
      </c>
      <c r="E1551" t="s">
        <v>23</v>
      </c>
      <c r="F1551" t="s">
        <v>55</v>
      </c>
      <c r="G1551" t="s">
        <v>270</v>
      </c>
      <c r="H1551" t="s">
        <v>8</v>
      </c>
      <c r="I1551" t="s">
        <v>1935</v>
      </c>
      <c r="J1551" t="s">
        <v>1954</v>
      </c>
      <c r="K1551" s="8">
        <v>32</v>
      </c>
    </row>
    <row r="1552" spans="1:11">
      <c r="A1552" t="s">
        <v>3490</v>
      </c>
      <c r="B1552" s="15">
        <v>45685</v>
      </c>
      <c r="C1552" s="4">
        <v>45658</v>
      </c>
      <c r="D1552" t="s">
        <v>53</v>
      </c>
      <c r="E1552" t="s">
        <v>23</v>
      </c>
      <c r="F1552" t="s">
        <v>55</v>
      </c>
      <c r="G1552" t="s">
        <v>270</v>
      </c>
      <c r="H1552" t="s">
        <v>8</v>
      </c>
      <c r="I1552" t="s">
        <v>1935</v>
      </c>
      <c r="J1552" t="s">
        <v>1954</v>
      </c>
      <c r="K1552" s="8">
        <v>17</v>
      </c>
    </row>
    <row r="1553" spans="1:11">
      <c r="A1553" t="s">
        <v>3491</v>
      </c>
      <c r="B1553" s="15">
        <v>45673</v>
      </c>
      <c r="C1553" s="4">
        <v>45658</v>
      </c>
      <c r="D1553" t="s">
        <v>56</v>
      </c>
      <c r="E1553" t="s">
        <v>23</v>
      </c>
      <c r="F1553" t="s">
        <v>58</v>
      </c>
      <c r="G1553" t="s">
        <v>260</v>
      </c>
      <c r="H1553" t="s">
        <v>11</v>
      </c>
      <c r="I1553" t="s">
        <v>1935</v>
      </c>
      <c r="J1553" t="s">
        <v>1954</v>
      </c>
      <c r="K1553" s="8">
        <v>23</v>
      </c>
    </row>
    <row r="1554" spans="1:11">
      <c r="A1554" t="s">
        <v>3492</v>
      </c>
      <c r="B1554" s="15">
        <v>45664</v>
      </c>
      <c r="C1554" s="4">
        <v>45658</v>
      </c>
      <c r="D1554" t="s">
        <v>56</v>
      </c>
      <c r="E1554" t="s">
        <v>23</v>
      </c>
      <c r="F1554" t="s">
        <v>58</v>
      </c>
      <c r="G1554" t="s">
        <v>308</v>
      </c>
      <c r="H1554" t="s">
        <v>11</v>
      </c>
      <c r="I1554" t="s">
        <v>1935</v>
      </c>
      <c r="J1554" t="s">
        <v>1954</v>
      </c>
      <c r="K1554" s="8">
        <v>20</v>
      </c>
    </row>
    <row r="1555" spans="1:11">
      <c r="A1555" t="s">
        <v>3493</v>
      </c>
      <c r="B1555" s="15">
        <v>45687</v>
      </c>
      <c r="C1555" s="4">
        <v>45658</v>
      </c>
      <c r="D1555" t="s">
        <v>56</v>
      </c>
      <c r="E1555" t="s">
        <v>23</v>
      </c>
      <c r="F1555" t="s">
        <v>58</v>
      </c>
      <c r="G1555" t="s">
        <v>248</v>
      </c>
      <c r="H1555" t="s">
        <v>11</v>
      </c>
      <c r="I1555" t="s">
        <v>1935</v>
      </c>
      <c r="J1555" t="s">
        <v>1938</v>
      </c>
      <c r="K1555" s="8">
        <v>32</v>
      </c>
    </row>
    <row r="1556" spans="1:11">
      <c r="A1556" t="s">
        <v>3494</v>
      </c>
      <c r="B1556" s="15">
        <v>45672</v>
      </c>
      <c r="C1556" s="4">
        <v>45658</v>
      </c>
      <c r="D1556" t="s">
        <v>56</v>
      </c>
      <c r="E1556" t="s">
        <v>23</v>
      </c>
      <c r="F1556" t="s">
        <v>58</v>
      </c>
      <c r="G1556" t="s">
        <v>302</v>
      </c>
      <c r="H1556" t="s">
        <v>5</v>
      </c>
      <c r="I1556" t="s">
        <v>1935</v>
      </c>
      <c r="J1556" t="s">
        <v>1938</v>
      </c>
      <c r="K1556" s="8">
        <v>18</v>
      </c>
    </row>
    <row r="1557" spans="1:11">
      <c r="A1557" t="s">
        <v>3495</v>
      </c>
      <c r="B1557" s="15">
        <v>45668</v>
      </c>
      <c r="C1557" s="4">
        <v>45658</v>
      </c>
      <c r="D1557" t="s">
        <v>56</v>
      </c>
      <c r="E1557" t="s">
        <v>23</v>
      </c>
      <c r="F1557" t="s">
        <v>58</v>
      </c>
      <c r="G1557" t="s">
        <v>248</v>
      </c>
      <c r="H1557" t="s">
        <v>11</v>
      </c>
      <c r="I1557" t="s">
        <v>1935</v>
      </c>
      <c r="J1557" t="s">
        <v>1936</v>
      </c>
      <c r="K1557" s="8">
        <v>13</v>
      </c>
    </row>
    <row r="1558" spans="1:11">
      <c r="A1558" t="s">
        <v>3496</v>
      </c>
      <c r="B1558" s="15">
        <v>45674</v>
      </c>
      <c r="C1558" s="4">
        <v>45658</v>
      </c>
      <c r="D1558" t="s">
        <v>56</v>
      </c>
      <c r="E1558" t="s">
        <v>23</v>
      </c>
      <c r="F1558" t="s">
        <v>58</v>
      </c>
      <c r="G1558" t="s">
        <v>308</v>
      </c>
      <c r="H1558" t="s">
        <v>11</v>
      </c>
      <c r="I1558" t="s">
        <v>1935</v>
      </c>
      <c r="J1558" t="s">
        <v>1936</v>
      </c>
      <c r="K1558" s="8">
        <v>33</v>
      </c>
    </row>
    <row r="1559" spans="1:11">
      <c r="A1559" t="s">
        <v>3497</v>
      </c>
      <c r="B1559" s="15">
        <v>45676</v>
      </c>
      <c r="C1559" s="4">
        <v>45658</v>
      </c>
      <c r="D1559" t="s">
        <v>56</v>
      </c>
      <c r="E1559" t="s">
        <v>23</v>
      </c>
      <c r="F1559" t="s">
        <v>58</v>
      </c>
      <c r="G1559" t="s">
        <v>290</v>
      </c>
      <c r="H1559" t="s">
        <v>8</v>
      </c>
      <c r="I1559" t="s">
        <v>1935</v>
      </c>
      <c r="J1559" t="s">
        <v>1936</v>
      </c>
      <c r="K1559" s="8">
        <v>8</v>
      </c>
    </row>
    <row r="1560" spans="1:11">
      <c r="A1560" t="s">
        <v>3498</v>
      </c>
      <c r="B1560" s="15">
        <v>45681</v>
      </c>
      <c r="C1560" s="4">
        <v>45658</v>
      </c>
      <c r="D1560" t="s">
        <v>56</v>
      </c>
      <c r="E1560" t="s">
        <v>23</v>
      </c>
      <c r="F1560" t="s">
        <v>58</v>
      </c>
      <c r="G1560" t="s">
        <v>260</v>
      </c>
      <c r="H1560" t="s">
        <v>5</v>
      </c>
      <c r="I1560" t="s">
        <v>1935</v>
      </c>
      <c r="J1560" t="s">
        <v>1936</v>
      </c>
      <c r="K1560" s="8">
        <v>34</v>
      </c>
    </row>
    <row r="1561" spans="1:11">
      <c r="A1561" t="s">
        <v>3499</v>
      </c>
      <c r="B1561" s="15">
        <v>45658</v>
      </c>
      <c r="C1561" s="4">
        <v>45658</v>
      </c>
      <c r="D1561" t="s">
        <v>56</v>
      </c>
      <c r="E1561" t="s">
        <v>23</v>
      </c>
      <c r="F1561" t="s">
        <v>58</v>
      </c>
      <c r="G1561" t="s">
        <v>278</v>
      </c>
      <c r="H1561" t="s">
        <v>14</v>
      </c>
      <c r="I1561" t="s">
        <v>1935</v>
      </c>
      <c r="J1561" t="s">
        <v>1936</v>
      </c>
      <c r="K1561" s="8">
        <v>26</v>
      </c>
    </row>
    <row r="1562" spans="1:11">
      <c r="A1562" t="s">
        <v>3500</v>
      </c>
      <c r="B1562" s="15">
        <v>45664</v>
      </c>
      <c r="C1562" s="4">
        <v>45658</v>
      </c>
      <c r="D1562" t="s">
        <v>56</v>
      </c>
      <c r="E1562" t="s">
        <v>23</v>
      </c>
      <c r="F1562" t="s">
        <v>58</v>
      </c>
      <c r="G1562" t="s">
        <v>266</v>
      </c>
      <c r="H1562" t="s">
        <v>11</v>
      </c>
      <c r="I1562" t="s">
        <v>1935</v>
      </c>
      <c r="J1562" t="s">
        <v>1936</v>
      </c>
      <c r="K1562" s="8">
        <v>12</v>
      </c>
    </row>
    <row r="1563" spans="1:11">
      <c r="A1563" t="s">
        <v>3501</v>
      </c>
      <c r="B1563" s="15">
        <v>45672</v>
      </c>
      <c r="C1563" s="4">
        <v>45658</v>
      </c>
      <c r="D1563" t="s">
        <v>56</v>
      </c>
      <c r="E1563" t="s">
        <v>23</v>
      </c>
      <c r="F1563" t="s">
        <v>58</v>
      </c>
      <c r="G1563" t="s">
        <v>302</v>
      </c>
      <c r="H1563" t="s">
        <v>5</v>
      </c>
      <c r="I1563" t="s">
        <v>1942</v>
      </c>
      <c r="J1563" t="s">
        <v>1936</v>
      </c>
      <c r="K1563" s="8">
        <v>7</v>
      </c>
    </row>
    <row r="1564" spans="1:11">
      <c r="A1564" t="s">
        <v>3502</v>
      </c>
      <c r="B1564" s="15">
        <v>45668</v>
      </c>
      <c r="C1564" s="4">
        <v>45658</v>
      </c>
      <c r="D1564" t="s">
        <v>59</v>
      </c>
      <c r="E1564" t="s">
        <v>25</v>
      </c>
      <c r="F1564" t="s">
        <v>61</v>
      </c>
      <c r="G1564" t="s">
        <v>314</v>
      </c>
      <c r="H1564" t="s">
        <v>5</v>
      </c>
      <c r="I1564" t="s">
        <v>1935</v>
      </c>
      <c r="J1564" t="s">
        <v>1936</v>
      </c>
      <c r="K1564" s="8">
        <v>31</v>
      </c>
    </row>
    <row r="1565" spans="1:11">
      <c r="A1565" t="s">
        <v>3503</v>
      </c>
      <c r="B1565" s="15">
        <v>45659</v>
      </c>
      <c r="C1565" s="4">
        <v>45658</v>
      </c>
      <c r="D1565" t="s">
        <v>59</v>
      </c>
      <c r="E1565" t="s">
        <v>25</v>
      </c>
      <c r="F1565" t="s">
        <v>61</v>
      </c>
      <c r="G1565" t="s">
        <v>380</v>
      </c>
      <c r="H1565" t="s">
        <v>11</v>
      </c>
      <c r="I1565" t="s">
        <v>1935</v>
      </c>
      <c r="J1565" t="s">
        <v>1938</v>
      </c>
      <c r="K1565" s="8">
        <v>31</v>
      </c>
    </row>
    <row r="1566" spans="1:11">
      <c r="A1566" t="s">
        <v>3504</v>
      </c>
      <c r="B1566" s="15">
        <v>45668</v>
      </c>
      <c r="C1566" s="4">
        <v>45658</v>
      </c>
      <c r="D1566" t="s">
        <v>59</v>
      </c>
      <c r="E1566" t="s">
        <v>25</v>
      </c>
      <c r="F1566" t="s">
        <v>61</v>
      </c>
      <c r="G1566" t="s">
        <v>320</v>
      </c>
      <c r="H1566" t="s">
        <v>11</v>
      </c>
      <c r="I1566" t="s">
        <v>1935</v>
      </c>
      <c r="J1566" t="s">
        <v>1936</v>
      </c>
      <c r="K1566" s="8">
        <v>22</v>
      </c>
    </row>
    <row r="1567" spans="1:11">
      <c r="A1567" t="s">
        <v>3505</v>
      </c>
      <c r="B1567" s="15">
        <v>45668</v>
      </c>
      <c r="C1567" s="4">
        <v>45658</v>
      </c>
      <c r="D1567" t="s">
        <v>59</v>
      </c>
      <c r="E1567" t="s">
        <v>25</v>
      </c>
      <c r="F1567" t="s">
        <v>61</v>
      </c>
      <c r="G1567" t="s">
        <v>380</v>
      </c>
      <c r="H1567" t="s">
        <v>11</v>
      </c>
      <c r="I1567" t="s">
        <v>1935</v>
      </c>
      <c r="J1567" t="s">
        <v>1936</v>
      </c>
      <c r="K1567" s="8">
        <v>10</v>
      </c>
    </row>
    <row r="1568" spans="1:11">
      <c r="A1568" t="s">
        <v>3506</v>
      </c>
      <c r="B1568" s="15">
        <v>45671</v>
      </c>
      <c r="C1568" s="4">
        <v>45658</v>
      </c>
      <c r="D1568" t="s">
        <v>59</v>
      </c>
      <c r="E1568" t="s">
        <v>25</v>
      </c>
      <c r="F1568" t="s">
        <v>61</v>
      </c>
      <c r="G1568" t="s">
        <v>380</v>
      </c>
      <c r="H1568" t="s">
        <v>11</v>
      </c>
      <c r="I1568" t="s">
        <v>1935</v>
      </c>
      <c r="J1568" t="s">
        <v>1936</v>
      </c>
      <c r="K1568" s="8">
        <v>26</v>
      </c>
    </row>
    <row r="1569" spans="1:11">
      <c r="A1569" t="s">
        <v>3507</v>
      </c>
      <c r="B1569" s="15">
        <v>45659</v>
      </c>
      <c r="C1569" s="4">
        <v>45658</v>
      </c>
      <c r="D1569" t="s">
        <v>59</v>
      </c>
      <c r="E1569" t="s">
        <v>25</v>
      </c>
      <c r="F1569" t="s">
        <v>61</v>
      </c>
      <c r="G1569" t="s">
        <v>356</v>
      </c>
      <c r="H1569" t="s">
        <v>8</v>
      </c>
      <c r="I1569" t="s">
        <v>1935</v>
      </c>
      <c r="J1569" t="s">
        <v>1936</v>
      </c>
      <c r="K1569" s="8">
        <v>19</v>
      </c>
    </row>
    <row r="1570" spans="1:11">
      <c r="A1570" t="s">
        <v>3508</v>
      </c>
      <c r="B1570" s="15">
        <v>45661</v>
      </c>
      <c r="C1570" s="4">
        <v>45658</v>
      </c>
      <c r="D1570" t="s">
        <v>59</v>
      </c>
      <c r="E1570" t="s">
        <v>25</v>
      </c>
      <c r="F1570" t="s">
        <v>61</v>
      </c>
      <c r="G1570" t="s">
        <v>380</v>
      </c>
      <c r="H1570" t="s">
        <v>11</v>
      </c>
      <c r="I1570" t="s">
        <v>1935</v>
      </c>
      <c r="J1570" t="s">
        <v>1936</v>
      </c>
      <c r="K1570" s="8">
        <v>20</v>
      </c>
    </row>
    <row r="1571" spans="1:11">
      <c r="A1571" t="s">
        <v>3509</v>
      </c>
      <c r="B1571" s="15">
        <v>45680</v>
      </c>
      <c r="C1571" s="4">
        <v>45658</v>
      </c>
      <c r="D1571" t="s">
        <v>59</v>
      </c>
      <c r="E1571" t="s">
        <v>25</v>
      </c>
      <c r="F1571" t="s">
        <v>61</v>
      </c>
      <c r="G1571" t="s">
        <v>374</v>
      </c>
      <c r="H1571" t="s">
        <v>8</v>
      </c>
      <c r="I1571" t="s">
        <v>1935</v>
      </c>
      <c r="J1571" t="s">
        <v>1938</v>
      </c>
      <c r="K1571" s="8">
        <v>34</v>
      </c>
    </row>
    <row r="1572" spans="1:11">
      <c r="A1572" t="s">
        <v>3510</v>
      </c>
      <c r="B1572" s="15">
        <v>45665</v>
      </c>
      <c r="C1572" s="4">
        <v>45658</v>
      </c>
      <c r="D1572" t="s">
        <v>59</v>
      </c>
      <c r="E1572" t="s">
        <v>25</v>
      </c>
      <c r="F1572" t="s">
        <v>61</v>
      </c>
      <c r="G1572" t="s">
        <v>344</v>
      </c>
      <c r="H1572" t="s">
        <v>8</v>
      </c>
      <c r="I1572" t="s">
        <v>1935</v>
      </c>
      <c r="J1572" t="s">
        <v>1936</v>
      </c>
      <c r="K1572" s="8">
        <v>35</v>
      </c>
    </row>
    <row r="1573" spans="1:11">
      <c r="A1573" t="s">
        <v>3511</v>
      </c>
      <c r="B1573" s="15">
        <v>45662</v>
      </c>
      <c r="C1573" s="4">
        <v>45658</v>
      </c>
      <c r="D1573" t="s">
        <v>59</v>
      </c>
      <c r="E1573" t="s">
        <v>25</v>
      </c>
      <c r="F1573" t="s">
        <v>61</v>
      </c>
      <c r="G1573" t="s">
        <v>344</v>
      </c>
      <c r="H1573" t="s">
        <v>8</v>
      </c>
      <c r="I1573" t="s">
        <v>1935</v>
      </c>
      <c r="J1573" t="s">
        <v>1938</v>
      </c>
      <c r="K1573" s="8">
        <v>33</v>
      </c>
    </row>
    <row r="1574" spans="1:11">
      <c r="A1574" t="s">
        <v>3512</v>
      </c>
      <c r="B1574" s="15">
        <v>45662</v>
      </c>
      <c r="C1574" s="4">
        <v>45658</v>
      </c>
      <c r="D1574" t="s">
        <v>59</v>
      </c>
      <c r="E1574" t="s">
        <v>25</v>
      </c>
      <c r="F1574" t="s">
        <v>61</v>
      </c>
      <c r="G1574" t="s">
        <v>374</v>
      </c>
      <c r="H1574" t="s">
        <v>8</v>
      </c>
      <c r="I1574" t="s">
        <v>1935</v>
      </c>
      <c r="J1574" t="s">
        <v>1936</v>
      </c>
      <c r="K1574" s="8">
        <v>10</v>
      </c>
    </row>
    <row r="1575" spans="1:11">
      <c r="A1575" t="s">
        <v>3513</v>
      </c>
      <c r="B1575" s="15">
        <v>45671</v>
      </c>
      <c r="C1575" s="4">
        <v>45658</v>
      </c>
      <c r="D1575" t="s">
        <v>62</v>
      </c>
      <c r="E1575" t="s">
        <v>25</v>
      </c>
      <c r="F1575" t="s">
        <v>64</v>
      </c>
      <c r="G1575" t="s">
        <v>340</v>
      </c>
      <c r="H1575" t="s">
        <v>8</v>
      </c>
      <c r="I1575" t="s">
        <v>1935</v>
      </c>
      <c r="J1575" t="s">
        <v>1936</v>
      </c>
      <c r="K1575" s="8">
        <v>9</v>
      </c>
    </row>
    <row r="1576" spans="1:11">
      <c r="A1576" t="s">
        <v>3514</v>
      </c>
      <c r="B1576" s="15">
        <v>45668</v>
      </c>
      <c r="C1576" s="4">
        <v>45658</v>
      </c>
      <c r="D1576" t="s">
        <v>62</v>
      </c>
      <c r="E1576" t="s">
        <v>25</v>
      </c>
      <c r="F1576" t="s">
        <v>64</v>
      </c>
      <c r="G1576" t="s">
        <v>364</v>
      </c>
      <c r="H1576" t="s">
        <v>11</v>
      </c>
      <c r="I1576" t="s">
        <v>1935</v>
      </c>
      <c r="J1576" t="s">
        <v>1936</v>
      </c>
      <c r="K1576" s="8">
        <v>32</v>
      </c>
    </row>
    <row r="1577" spans="1:11">
      <c r="A1577" t="s">
        <v>3515</v>
      </c>
      <c r="B1577" s="15">
        <v>45658</v>
      </c>
      <c r="C1577" s="4">
        <v>45658</v>
      </c>
      <c r="D1577" t="s">
        <v>62</v>
      </c>
      <c r="E1577" t="s">
        <v>25</v>
      </c>
      <c r="F1577" t="s">
        <v>64</v>
      </c>
      <c r="G1577" t="s">
        <v>358</v>
      </c>
      <c r="H1577" t="s">
        <v>8</v>
      </c>
      <c r="I1577" t="s">
        <v>1935</v>
      </c>
      <c r="J1577" t="s">
        <v>1936</v>
      </c>
      <c r="K1577" s="8">
        <v>19</v>
      </c>
    </row>
    <row r="1578" spans="1:11">
      <c r="A1578" t="s">
        <v>3516</v>
      </c>
      <c r="B1578" s="15">
        <v>45659</v>
      </c>
      <c r="C1578" s="4">
        <v>45658</v>
      </c>
      <c r="D1578" t="s">
        <v>62</v>
      </c>
      <c r="E1578" t="s">
        <v>25</v>
      </c>
      <c r="F1578" t="s">
        <v>64</v>
      </c>
      <c r="G1578" t="s">
        <v>370</v>
      </c>
      <c r="H1578" t="s">
        <v>8</v>
      </c>
      <c r="I1578" t="s">
        <v>1935</v>
      </c>
      <c r="J1578" t="s">
        <v>1938</v>
      </c>
      <c r="K1578" s="8">
        <v>27</v>
      </c>
    </row>
    <row r="1579" spans="1:11">
      <c r="A1579" t="s">
        <v>3517</v>
      </c>
      <c r="B1579" s="15">
        <v>45686</v>
      </c>
      <c r="C1579" s="4">
        <v>45658</v>
      </c>
      <c r="D1579" t="s">
        <v>62</v>
      </c>
      <c r="E1579" t="s">
        <v>25</v>
      </c>
      <c r="F1579" t="s">
        <v>64</v>
      </c>
      <c r="G1579" t="s">
        <v>364</v>
      </c>
      <c r="H1579" t="s">
        <v>11</v>
      </c>
      <c r="I1579" t="s">
        <v>1935</v>
      </c>
      <c r="J1579" t="s">
        <v>1936</v>
      </c>
      <c r="K1579" s="8">
        <v>13</v>
      </c>
    </row>
    <row r="1580" spans="1:11">
      <c r="A1580" t="s">
        <v>3518</v>
      </c>
      <c r="B1580" s="15">
        <v>45687</v>
      </c>
      <c r="C1580" s="4">
        <v>45658</v>
      </c>
      <c r="D1580" t="s">
        <v>62</v>
      </c>
      <c r="E1580" t="s">
        <v>25</v>
      </c>
      <c r="F1580" t="s">
        <v>64</v>
      </c>
      <c r="G1580" t="s">
        <v>370</v>
      </c>
      <c r="H1580" t="s">
        <v>11</v>
      </c>
      <c r="I1580" t="s">
        <v>1935</v>
      </c>
      <c r="J1580" t="s">
        <v>1936</v>
      </c>
      <c r="K1580" s="8">
        <v>18</v>
      </c>
    </row>
    <row r="1581" spans="1:11">
      <c r="A1581" t="s">
        <v>3519</v>
      </c>
      <c r="B1581" s="15">
        <v>45683</v>
      </c>
      <c r="C1581" s="4">
        <v>45658</v>
      </c>
      <c r="D1581" t="s">
        <v>62</v>
      </c>
      <c r="E1581" t="s">
        <v>25</v>
      </c>
      <c r="F1581" t="s">
        <v>64</v>
      </c>
      <c r="G1581" t="s">
        <v>322</v>
      </c>
      <c r="H1581" t="s">
        <v>11</v>
      </c>
      <c r="I1581" t="s">
        <v>1935</v>
      </c>
      <c r="J1581" t="s">
        <v>1936</v>
      </c>
      <c r="K1581" s="8">
        <v>23</v>
      </c>
    </row>
    <row r="1582" spans="1:11">
      <c r="A1582" t="s">
        <v>3520</v>
      </c>
      <c r="B1582" s="15">
        <v>45659</v>
      </c>
      <c r="C1582" s="4">
        <v>45658</v>
      </c>
      <c r="D1582" t="s">
        <v>62</v>
      </c>
      <c r="E1582" t="s">
        <v>25</v>
      </c>
      <c r="F1582" t="s">
        <v>64</v>
      </c>
      <c r="G1582" t="s">
        <v>358</v>
      </c>
      <c r="H1582" t="s">
        <v>8</v>
      </c>
      <c r="I1582" t="s">
        <v>1935</v>
      </c>
      <c r="J1582" t="s">
        <v>1936</v>
      </c>
      <c r="K1582" s="8">
        <v>12</v>
      </c>
    </row>
    <row r="1583" spans="1:11">
      <c r="A1583" t="s">
        <v>3521</v>
      </c>
      <c r="B1583" s="15">
        <v>45676</v>
      </c>
      <c r="C1583" s="4">
        <v>45658</v>
      </c>
      <c r="D1583" t="s">
        <v>62</v>
      </c>
      <c r="E1583" t="s">
        <v>25</v>
      </c>
      <c r="F1583" t="s">
        <v>64</v>
      </c>
      <c r="G1583" t="s">
        <v>346</v>
      </c>
      <c r="H1583" t="s">
        <v>8</v>
      </c>
      <c r="I1583" t="s">
        <v>1935</v>
      </c>
      <c r="J1583" t="s">
        <v>1936</v>
      </c>
      <c r="K1583" s="8">
        <v>19</v>
      </c>
    </row>
    <row r="1584" spans="1:11">
      <c r="A1584" t="s">
        <v>3522</v>
      </c>
      <c r="B1584" s="15">
        <v>45670</v>
      </c>
      <c r="C1584" s="4">
        <v>45658</v>
      </c>
      <c r="D1584" t="s">
        <v>62</v>
      </c>
      <c r="E1584" t="s">
        <v>25</v>
      </c>
      <c r="F1584" t="s">
        <v>64</v>
      </c>
      <c r="G1584" t="s">
        <v>358</v>
      </c>
      <c r="H1584" t="s">
        <v>8</v>
      </c>
      <c r="I1584" t="s">
        <v>1935</v>
      </c>
      <c r="J1584" t="s">
        <v>1936</v>
      </c>
      <c r="K1584" s="8">
        <v>14</v>
      </c>
    </row>
    <row r="1585" spans="1:11">
      <c r="A1585" t="s">
        <v>3523</v>
      </c>
      <c r="B1585" s="15">
        <v>45664</v>
      </c>
      <c r="C1585" s="4">
        <v>45658</v>
      </c>
      <c r="D1585" t="s">
        <v>65</v>
      </c>
      <c r="E1585" t="s">
        <v>25</v>
      </c>
      <c r="F1585" t="s">
        <v>67</v>
      </c>
      <c r="G1585" t="s">
        <v>372</v>
      </c>
      <c r="H1585" t="s">
        <v>5</v>
      </c>
      <c r="I1585" t="s">
        <v>1935</v>
      </c>
      <c r="J1585" t="s">
        <v>1938</v>
      </c>
      <c r="K1585" s="8">
        <v>18</v>
      </c>
    </row>
    <row r="1586" spans="1:11">
      <c r="A1586" t="s">
        <v>3524</v>
      </c>
      <c r="B1586" s="15">
        <v>45677</v>
      </c>
      <c r="C1586" s="4">
        <v>45658</v>
      </c>
      <c r="D1586" t="s">
        <v>65</v>
      </c>
      <c r="E1586" t="s">
        <v>25</v>
      </c>
      <c r="F1586" t="s">
        <v>67</v>
      </c>
      <c r="G1586" t="s">
        <v>372</v>
      </c>
      <c r="H1586" t="s">
        <v>5</v>
      </c>
      <c r="I1586" t="s">
        <v>1935</v>
      </c>
      <c r="J1586" t="s">
        <v>1936</v>
      </c>
      <c r="K1586" s="8">
        <v>22</v>
      </c>
    </row>
    <row r="1587" spans="1:11">
      <c r="A1587" t="s">
        <v>3525</v>
      </c>
      <c r="B1587" s="15">
        <v>45677</v>
      </c>
      <c r="C1587" s="4">
        <v>45658</v>
      </c>
      <c r="D1587" t="s">
        <v>65</v>
      </c>
      <c r="E1587" t="s">
        <v>25</v>
      </c>
      <c r="F1587" t="s">
        <v>67</v>
      </c>
      <c r="G1587" t="s">
        <v>342</v>
      </c>
      <c r="H1587" t="s">
        <v>11</v>
      </c>
      <c r="I1587" t="s">
        <v>1935</v>
      </c>
      <c r="J1587" t="s">
        <v>1938</v>
      </c>
      <c r="K1587" s="8">
        <v>29</v>
      </c>
    </row>
    <row r="1588" spans="1:11">
      <c r="A1588" t="s">
        <v>3526</v>
      </c>
      <c r="B1588" s="15">
        <v>45683</v>
      </c>
      <c r="C1588" s="4">
        <v>45658</v>
      </c>
      <c r="D1588" t="s">
        <v>65</v>
      </c>
      <c r="E1588" t="s">
        <v>25</v>
      </c>
      <c r="F1588" t="s">
        <v>67</v>
      </c>
      <c r="G1588" t="s">
        <v>348</v>
      </c>
      <c r="H1588" t="s">
        <v>11</v>
      </c>
      <c r="I1588" t="s">
        <v>1995</v>
      </c>
      <c r="J1588" t="s">
        <v>1936</v>
      </c>
      <c r="K1588" s="8">
        <v>5</v>
      </c>
    </row>
    <row r="1589" spans="1:11">
      <c r="A1589" t="s">
        <v>3527</v>
      </c>
      <c r="B1589" s="15">
        <v>45679</v>
      </c>
      <c r="C1589" s="4">
        <v>45658</v>
      </c>
      <c r="D1589" t="s">
        <v>65</v>
      </c>
      <c r="E1589" t="s">
        <v>25</v>
      </c>
      <c r="F1589" t="s">
        <v>67</v>
      </c>
      <c r="G1589" t="s">
        <v>354</v>
      </c>
      <c r="H1589" t="s">
        <v>5</v>
      </c>
      <c r="I1589" t="s">
        <v>1935</v>
      </c>
      <c r="J1589" t="s">
        <v>1936</v>
      </c>
      <c r="K1589" s="8">
        <v>22</v>
      </c>
    </row>
    <row r="1590" spans="1:11">
      <c r="A1590" t="s">
        <v>3528</v>
      </c>
      <c r="B1590" s="15">
        <v>45685</v>
      </c>
      <c r="C1590" s="4">
        <v>45658</v>
      </c>
      <c r="D1590" t="s">
        <v>65</v>
      </c>
      <c r="E1590" t="s">
        <v>25</v>
      </c>
      <c r="F1590" t="s">
        <v>67</v>
      </c>
      <c r="G1590" t="s">
        <v>318</v>
      </c>
      <c r="H1590" t="s">
        <v>14</v>
      </c>
      <c r="I1590" t="s">
        <v>1935</v>
      </c>
      <c r="J1590" t="s">
        <v>1936</v>
      </c>
      <c r="K1590" s="8">
        <v>10</v>
      </c>
    </row>
    <row r="1591" spans="1:11">
      <c r="A1591" t="s">
        <v>3529</v>
      </c>
      <c r="B1591" s="15">
        <v>45677</v>
      </c>
      <c r="C1591" s="4">
        <v>45658</v>
      </c>
      <c r="D1591" t="s">
        <v>65</v>
      </c>
      <c r="E1591" t="s">
        <v>25</v>
      </c>
      <c r="F1591" t="s">
        <v>67</v>
      </c>
      <c r="G1591" t="s">
        <v>342</v>
      </c>
      <c r="H1591" t="s">
        <v>5</v>
      </c>
      <c r="I1591" t="s">
        <v>1935</v>
      </c>
      <c r="J1591" t="s">
        <v>1938</v>
      </c>
      <c r="K1591" s="8">
        <v>35</v>
      </c>
    </row>
    <row r="1592" spans="1:11">
      <c r="A1592" t="s">
        <v>3530</v>
      </c>
      <c r="B1592" s="15">
        <v>45674</v>
      </c>
      <c r="C1592" s="4">
        <v>45658</v>
      </c>
      <c r="D1592" t="s">
        <v>65</v>
      </c>
      <c r="E1592" t="s">
        <v>25</v>
      </c>
      <c r="F1592" t="s">
        <v>67</v>
      </c>
      <c r="G1592" t="s">
        <v>354</v>
      </c>
      <c r="H1592" t="s">
        <v>11</v>
      </c>
      <c r="I1592" t="s">
        <v>1935</v>
      </c>
      <c r="J1592" t="s">
        <v>1938</v>
      </c>
      <c r="K1592" s="8">
        <v>14</v>
      </c>
    </row>
    <row r="1593" spans="1:11">
      <c r="A1593" t="s">
        <v>3531</v>
      </c>
      <c r="B1593" s="15">
        <v>45658</v>
      </c>
      <c r="C1593" s="4">
        <v>45658</v>
      </c>
      <c r="D1593" t="s">
        <v>65</v>
      </c>
      <c r="E1593" t="s">
        <v>25</v>
      </c>
      <c r="F1593" t="s">
        <v>67</v>
      </c>
      <c r="G1593" t="s">
        <v>318</v>
      </c>
      <c r="H1593" t="s">
        <v>14</v>
      </c>
      <c r="I1593" t="s">
        <v>1935</v>
      </c>
      <c r="J1593" t="s">
        <v>1936</v>
      </c>
      <c r="K1593" s="8">
        <v>8</v>
      </c>
    </row>
    <row r="1594" spans="1:11">
      <c r="A1594" t="s">
        <v>3532</v>
      </c>
      <c r="B1594" s="15">
        <v>45665</v>
      </c>
      <c r="C1594" s="4">
        <v>45658</v>
      </c>
      <c r="D1594" t="s">
        <v>65</v>
      </c>
      <c r="E1594" t="s">
        <v>25</v>
      </c>
      <c r="F1594" t="s">
        <v>67</v>
      </c>
      <c r="G1594" t="s">
        <v>372</v>
      </c>
      <c r="H1594" t="s">
        <v>5</v>
      </c>
      <c r="I1594" t="s">
        <v>1935</v>
      </c>
      <c r="J1594" t="s">
        <v>1936</v>
      </c>
      <c r="K1594" s="8">
        <v>28</v>
      </c>
    </row>
    <row r="1595" spans="1:11">
      <c r="A1595" t="s">
        <v>3533</v>
      </c>
      <c r="B1595" s="15">
        <v>45685</v>
      </c>
      <c r="C1595" s="4">
        <v>45658</v>
      </c>
      <c r="D1595" t="s">
        <v>65</v>
      </c>
      <c r="E1595" t="s">
        <v>25</v>
      </c>
      <c r="F1595" t="s">
        <v>67</v>
      </c>
      <c r="G1595" t="s">
        <v>348</v>
      </c>
      <c r="H1595" t="s">
        <v>11</v>
      </c>
      <c r="I1595" t="s">
        <v>1935</v>
      </c>
      <c r="J1595" t="s">
        <v>1938</v>
      </c>
      <c r="K1595" s="8">
        <v>11</v>
      </c>
    </row>
    <row r="1596" spans="1:11">
      <c r="A1596" t="s">
        <v>3534</v>
      </c>
      <c r="B1596" s="15">
        <v>45695</v>
      </c>
      <c r="C1596" s="4">
        <v>45689</v>
      </c>
      <c r="D1596" t="s">
        <v>32</v>
      </c>
      <c r="E1596" t="s">
        <v>19</v>
      </c>
      <c r="F1596" t="s">
        <v>34</v>
      </c>
      <c r="G1596" t="s">
        <v>124</v>
      </c>
      <c r="H1596" t="s">
        <v>8</v>
      </c>
      <c r="I1596" t="s">
        <v>1935</v>
      </c>
      <c r="J1596" t="s">
        <v>1954</v>
      </c>
      <c r="K1596" s="8">
        <v>27</v>
      </c>
    </row>
    <row r="1597" spans="1:11">
      <c r="A1597" t="s">
        <v>3535</v>
      </c>
      <c r="B1597" s="15">
        <v>45698</v>
      </c>
      <c r="C1597" s="4">
        <v>45689</v>
      </c>
      <c r="D1597" t="s">
        <v>32</v>
      </c>
      <c r="E1597" t="s">
        <v>19</v>
      </c>
      <c r="F1597" t="s">
        <v>34</v>
      </c>
      <c r="G1597" t="s">
        <v>124</v>
      </c>
      <c r="H1597" t="s">
        <v>5</v>
      </c>
      <c r="I1597" t="s">
        <v>1935</v>
      </c>
      <c r="J1597" t="s">
        <v>1936</v>
      </c>
      <c r="K1597" s="8">
        <v>12</v>
      </c>
    </row>
    <row r="1598" spans="1:11">
      <c r="A1598" t="s">
        <v>3536</v>
      </c>
      <c r="B1598" s="15">
        <v>45710</v>
      </c>
      <c r="C1598" s="4">
        <v>45689</v>
      </c>
      <c r="D1598" t="s">
        <v>32</v>
      </c>
      <c r="E1598" t="s">
        <v>19</v>
      </c>
      <c r="F1598" t="s">
        <v>34</v>
      </c>
      <c r="G1598" t="s">
        <v>99</v>
      </c>
      <c r="H1598" t="s">
        <v>14</v>
      </c>
      <c r="I1598" t="s">
        <v>1935</v>
      </c>
      <c r="J1598" t="s">
        <v>1938</v>
      </c>
      <c r="K1598" s="8">
        <v>22</v>
      </c>
    </row>
    <row r="1599" spans="1:11">
      <c r="A1599" t="s">
        <v>3537</v>
      </c>
      <c r="B1599" s="15">
        <v>45705</v>
      </c>
      <c r="C1599" s="4">
        <v>45689</v>
      </c>
      <c r="D1599" t="s">
        <v>32</v>
      </c>
      <c r="E1599" t="s">
        <v>19</v>
      </c>
      <c r="F1599" t="s">
        <v>34</v>
      </c>
      <c r="G1599" t="s">
        <v>85</v>
      </c>
      <c r="H1599" t="s">
        <v>14</v>
      </c>
      <c r="I1599" t="s">
        <v>1935</v>
      </c>
      <c r="J1599" t="s">
        <v>1936</v>
      </c>
      <c r="K1599" s="8">
        <v>24</v>
      </c>
    </row>
    <row r="1600" spans="1:11">
      <c r="A1600" t="s">
        <v>3538</v>
      </c>
      <c r="B1600" s="15">
        <v>45711</v>
      </c>
      <c r="C1600" s="4">
        <v>45689</v>
      </c>
      <c r="D1600" t="s">
        <v>32</v>
      </c>
      <c r="E1600" t="s">
        <v>19</v>
      </c>
      <c r="F1600" t="s">
        <v>34</v>
      </c>
      <c r="G1600" t="s">
        <v>136</v>
      </c>
      <c r="H1600" t="s">
        <v>11</v>
      </c>
      <c r="I1600" t="s">
        <v>1935</v>
      </c>
      <c r="J1600" t="s">
        <v>1938</v>
      </c>
      <c r="K1600" s="8">
        <v>12</v>
      </c>
    </row>
    <row r="1601" spans="1:11">
      <c r="A1601" t="s">
        <v>3539</v>
      </c>
      <c r="B1601" s="15">
        <v>45710</v>
      </c>
      <c r="C1601" s="4">
        <v>45689</v>
      </c>
      <c r="D1601" t="s">
        <v>32</v>
      </c>
      <c r="E1601" t="s">
        <v>19</v>
      </c>
      <c r="F1601" t="s">
        <v>34</v>
      </c>
      <c r="G1601" t="s">
        <v>105</v>
      </c>
      <c r="H1601" t="s">
        <v>8</v>
      </c>
      <c r="I1601" t="s">
        <v>1942</v>
      </c>
      <c r="J1601" t="s">
        <v>1938</v>
      </c>
      <c r="K1601" s="8">
        <v>0</v>
      </c>
    </row>
    <row r="1602" spans="1:11">
      <c r="A1602" t="s">
        <v>3540</v>
      </c>
      <c r="B1602" s="15">
        <v>45715</v>
      </c>
      <c r="C1602" s="4">
        <v>45689</v>
      </c>
      <c r="D1602" t="s">
        <v>32</v>
      </c>
      <c r="E1602" t="s">
        <v>19</v>
      </c>
      <c r="F1602" t="s">
        <v>34</v>
      </c>
      <c r="G1602" t="s">
        <v>105</v>
      </c>
      <c r="H1602" t="s">
        <v>11</v>
      </c>
      <c r="I1602" t="s">
        <v>1935</v>
      </c>
      <c r="J1602" t="s">
        <v>1938</v>
      </c>
      <c r="K1602" s="8">
        <v>12</v>
      </c>
    </row>
    <row r="1603" spans="1:11">
      <c r="A1603" t="s">
        <v>3541</v>
      </c>
      <c r="B1603" s="15">
        <v>45710</v>
      </c>
      <c r="C1603" s="4">
        <v>45689</v>
      </c>
      <c r="D1603" t="s">
        <v>32</v>
      </c>
      <c r="E1603" t="s">
        <v>19</v>
      </c>
      <c r="F1603" t="s">
        <v>34</v>
      </c>
      <c r="G1603" t="s">
        <v>124</v>
      </c>
      <c r="H1603" t="s">
        <v>5</v>
      </c>
      <c r="I1603" t="s">
        <v>1935</v>
      </c>
      <c r="J1603" t="s">
        <v>1936</v>
      </c>
      <c r="K1603" s="8">
        <v>13</v>
      </c>
    </row>
    <row r="1604" spans="1:11">
      <c r="A1604" t="s">
        <v>3542</v>
      </c>
      <c r="B1604" s="15">
        <v>45705</v>
      </c>
      <c r="C1604" s="4">
        <v>45689</v>
      </c>
      <c r="D1604" t="s">
        <v>32</v>
      </c>
      <c r="E1604" t="s">
        <v>19</v>
      </c>
      <c r="F1604" t="s">
        <v>34</v>
      </c>
      <c r="G1604" t="s">
        <v>118</v>
      </c>
      <c r="H1604" t="s">
        <v>14</v>
      </c>
      <c r="I1604" t="s">
        <v>1935</v>
      </c>
      <c r="J1604" t="s">
        <v>1936</v>
      </c>
      <c r="K1604" s="8">
        <v>22</v>
      </c>
    </row>
    <row r="1605" spans="1:11">
      <c r="A1605" t="s">
        <v>3543</v>
      </c>
      <c r="B1605" s="15">
        <v>45698</v>
      </c>
      <c r="C1605" s="4">
        <v>45689</v>
      </c>
      <c r="D1605" t="s">
        <v>32</v>
      </c>
      <c r="E1605" t="s">
        <v>19</v>
      </c>
      <c r="F1605" t="s">
        <v>34</v>
      </c>
      <c r="G1605" t="s">
        <v>105</v>
      </c>
      <c r="H1605" t="s">
        <v>11</v>
      </c>
      <c r="I1605" t="s">
        <v>1935</v>
      </c>
      <c r="J1605" t="s">
        <v>1938</v>
      </c>
      <c r="K1605" s="8">
        <v>11</v>
      </c>
    </row>
    <row r="1606" spans="1:11">
      <c r="A1606" t="s">
        <v>3544</v>
      </c>
      <c r="B1606" s="15">
        <v>45693</v>
      </c>
      <c r="C1606" s="4">
        <v>45689</v>
      </c>
      <c r="D1606" t="s">
        <v>32</v>
      </c>
      <c r="E1606" t="s">
        <v>19</v>
      </c>
      <c r="F1606" t="s">
        <v>34</v>
      </c>
      <c r="G1606" t="s">
        <v>99</v>
      </c>
      <c r="H1606" t="s">
        <v>14</v>
      </c>
      <c r="I1606" t="s">
        <v>1935</v>
      </c>
      <c r="J1606" t="s">
        <v>1954</v>
      </c>
      <c r="K1606" s="8">
        <v>12</v>
      </c>
    </row>
    <row r="1607" spans="1:11">
      <c r="A1607" t="s">
        <v>3545</v>
      </c>
      <c r="B1607" s="15">
        <v>45694</v>
      </c>
      <c r="C1607" s="4">
        <v>45689</v>
      </c>
      <c r="D1607" t="s">
        <v>35</v>
      </c>
      <c r="E1607" t="s">
        <v>19</v>
      </c>
      <c r="F1607" t="s">
        <v>37</v>
      </c>
      <c r="G1607" t="s">
        <v>78</v>
      </c>
      <c r="H1607" t="s">
        <v>8</v>
      </c>
      <c r="I1607" t="s">
        <v>1935</v>
      </c>
      <c r="J1607" t="s">
        <v>1936</v>
      </c>
      <c r="K1607" s="8">
        <v>28</v>
      </c>
    </row>
    <row r="1608" spans="1:11">
      <c r="A1608" t="s">
        <v>3546</v>
      </c>
      <c r="B1608" s="15">
        <v>45691</v>
      </c>
      <c r="C1608" s="4">
        <v>45689</v>
      </c>
      <c r="D1608" t="s">
        <v>35</v>
      </c>
      <c r="E1608" t="s">
        <v>19</v>
      </c>
      <c r="F1608" t="s">
        <v>37</v>
      </c>
      <c r="G1608" t="s">
        <v>107</v>
      </c>
      <c r="H1608" t="s">
        <v>8</v>
      </c>
      <c r="I1608" t="s">
        <v>1935</v>
      </c>
      <c r="J1608" t="s">
        <v>1936</v>
      </c>
      <c r="K1608" s="8">
        <v>17</v>
      </c>
    </row>
    <row r="1609" spans="1:11">
      <c r="A1609" t="s">
        <v>3547</v>
      </c>
      <c r="B1609" s="15">
        <v>45714</v>
      </c>
      <c r="C1609" s="4">
        <v>45689</v>
      </c>
      <c r="D1609" t="s">
        <v>35</v>
      </c>
      <c r="E1609" t="s">
        <v>19</v>
      </c>
      <c r="F1609" t="s">
        <v>37</v>
      </c>
      <c r="G1609" t="s">
        <v>101</v>
      </c>
      <c r="H1609" t="s">
        <v>8</v>
      </c>
      <c r="I1609" t="s">
        <v>1935</v>
      </c>
      <c r="J1609" t="s">
        <v>1936</v>
      </c>
      <c r="K1609" s="8">
        <v>21</v>
      </c>
    </row>
    <row r="1610" spans="1:11">
      <c r="A1610" t="s">
        <v>3548</v>
      </c>
      <c r="B1610" s="15">
        <v>45697</v>
      </c>
      <c r="C1610" s="4">
        <v>45689</v>
      </c>
      <c r="D1610" t="s">
        <v>35</v>
      </c>
      <c r="E1610" t="s">
        <v>19</v>
      </c>
      <c r="F1610" t="s">
        <v>37</v>
      </c>
      <c r="G1610" t="s">
        <v>94</v>
      </c>
      <c r="H1610" t="s">
        <v>5</v>
      </c>
      <c r="I1610" t="s">
        <v>1935</v>
      </c>
      <c r="J1610" t="s">
        <v>1954</v>
      </c>
      <c r="K1610" s="8">
        <v>23</v>
      </c>
    </row>
    <row r="1611" spans="1:11">
      <c r="A1611" t="s">
        <v>3549</v>
      </c>
      <c r="B1611" s="15">
        <v>45701</v>
      </c>
      <c r="C1611" s="4">
        <v>45689</v>
      </c>
      <c r="D1611" t="s">
        <v>35</v>
      </c>
      <c r="E1611" t="s">
        <v>19</v>
      </c>
      <c r="F1611" t="s">
        <v>37</v>
      </c>
      <c r="G1611" t="s">
        <v>78</v>
      </c>
      <c r="H1611" t="s">
        <v>8</v>
      </c>
      <c r="I1611" t="s">
        <v>1935</v>
      </c>
      <c r="J1611" t="s">
        <v>1954</v>
      </c>
      <c r="K1611" s="8">
        <v>33</v>
      </c>
    </row>
    <row r="1612" spans="1:11">
      <c r="A1612" t="s">
        <v>3550</v>
      </c>
      <c r="B1612" s="15">
        <v>45701</v>
      </c>
      <c r="C1612" s="4">
        <v>45689</v>
      </c>
      <c r="D1612" t="s">
        <v>35</v>
      </c>
      <c r="E1612" t="s">
        <v>19</v>
      </c>
      <c r="F1612" t="s">
        <v>37</v>
      </c>
      <c r="G1612" t="s">
        <v>101</v>
      </c>
      <c r="H1612" t="s">
        <v>8</v>
      </c>
      <c r="I1612" t="s">
        <v>1935</v>
      </c>
      <c r="J1612" t="s">
        <v>1936</v>
      </c>
      <c r="K1612" s="8">
        <v>30</v>
      </c>
    </row>
    <row r="1613" spans="1:11">
      <c r="A1613" t="s">
        <v>3551</v>
      </c>
      <c r="B1613" s="15">
        <v>45712</v>
      </c>
      <c r="C1613" s="4">
        <v>45689</v>
      </c>
      <c r="D1613" t="s">
        <v>35</v>
      </c>
      <c r="E1613" t="s">
        <v>19</v>
      </c>
      <c r="F1613" t="s">
        <v>37</v>
      </c>
      <c r="G1613" t="s">
        <v>88</v>
      </c>
      <c r="H1613" t="s">
        <v>8</v>
      </c>
      <c r="I1613" t="s">
        <v>1935</v>
      </c>
      <c r="J1613" t="s">
        <v>1936</v>
      </c>
      <c r="K1613" s="8">
        <v>12</v>
      </c>
    </row>
    <row r="1614" spans="1:11">
      <c r="A1614" t="s">
        <v>3552</v>
      </c>
      <c r="B1614" s="15">
        <v>45705</v>
      </c>
      <c r="C1614" s="4">
        <v>45689</v>
      </c>
      <c r="D1614" t="s">
        <v>35</v>
      </c>
      <c r="E1614" t="s">
        <v>19</v>
      </c>
      <c r="F1614" t="s">
        <v>37</v>
      </c>
      <c r="G1614" t="s">
        <v>107</v>
      </c>
      <c r="H1614" t="s">
        <v>8</v>
      </c>
      <c r="I1614" t="s">
        <v>1935</v>
      </c>
      <c r="J1614" t="s">
        <v>1936</v>
      </c>
      <c r="K1614" s="8">
        <v>13</v>
      </c>
    </row>
    <row r="1615" spans="1:11">
      <c r="A1615" t="s">
        <v>3553</v>
      </c>
      <c r="B1615" s="15">
        <v>45689</v>
      </c>
      <c r="C1615" s="4">
        <v>45689</v>
      </c>
      <c r="D1615" t="s">
        <v>35</v>
      </c>
      <c r="E1615" t="s">
        <v>19</v>
      </c>
      <c r="F1615" t="s">
        <v>37</v>
      </c>
      <c r="G1615" t="s">
        <v>88</v>
      </c>
      <c r="H1615" t="s">
        <v>8</v>
      </c>
      <c r="I1615" t="s">
        <v>1935</v>
      </c>
      <c r="J1615" t="s">
        <v>1954</v>
      </c>
      <c r="K1615" s="8">
        <v>23</v>
      </c>
    </row>
    <row r="1616" spans="1:11">
      <c r="A1616" t="s">
        <v>3554</v>
      </c>
      <c r="B1616" s="15">
        <v>45707</v>
      </c>
      <c r="C1616" s="4">
        <v>45689</v>
      </c>
      <c r="D1616" t="s">
        <v>35</v>
      </c>
      <c r="E1616" t="s">
        <v>19</v>
      </c>
      <c r="F1616" t="s">
        <v>37</v>
      </c>
      <c r="G1616" t="s">
        <v>101</v>
      </c>
      <c r="H1616" t="s">
        <v>14</v>
      </c>
      <c r="I1616" t="s">
        <v>1995</v>
      </c>
      <c r="J1616" t="s">
        <v>1936</v>
      </c>
      <c r="K1616" s="8">
        <v>8</v>
      </c>
    </row>
    <row r="1617" spans="1:11">
      <c r="A1617" t="s">
        <v>3555</v>
      </c>
      <c r="B1617" s="15">
        <v>45705</v>
      </c>
      <c r="C1617" s="4">
        <v>45689</v>
      </c>
      <c r="D1617" t="s">
        <v>35</v>
      </c>
      <c r="E1617" t="s">
        <v>19</v>
      </c>
      <c r="F1617" t="s">
        <v>37</v>
      </c>
      <c r="G1617" t="s">
        <v>156</v>
      </c>
      <c r="H1617" t="s">
        <v>11</v>
      </c>
      <c r="I1617" t="s">
        <v>1935</v>
      </c>
      <c r="J1617" t="s">
        <v>1936</v>
      </c>
      <c r="K1617" s="8">
        <v>35</v>
      </c>
    </row>
    <row r="1618" spans="1:11">
      <c r="A1618" t="s">
        <v>3556</v>
      </c>
      <c r="B1618" s="15">
        <v>45698</v>
      </c>
      <c r="C1618" s="4">
        <v>45689</v>
      </c>
      <c r="D1618" t="s">
        <v>35</v>
      </c>
      <c r="E1618" t="s">
        <v>19</v>
      </c>
      <c r="F1618" t="s">
        <v>37</v>
      </c>
      <c r="G1618" t="s">
        <v>107</v>
      </c>
      <c r="H1618" t="s">
        <v>8</v>
      </c>
      <c r="I1618" t="s">
        <v>1935</v>
      </c>
      <c r="J1618" t="s">
        <v>1938</v>
      </c>
      <c r="K1618" s="8">
        <v>8</v>
      </c>
    </row>
    <row r="1619" spans="1:11">
      <c r="A1619" t="s">
        <v>3557</v>
      </c>
      <c r="B1619" s="15">
        <v>45703</v>
      </c>
      <c r="C1619" s="4">
        <v>45689</v>
      </c>
      <c r="D1619" t="s">
        <v>35</v>
      </c>
      <c r="E1619" t="s">
        <v>19</v>
      </c>
      <c r="F1619" t="s">
        <v>37</v>
      </c>
      <c r="G1619" t="s">
        <v>88</v>
      </c>
      <c r="H1619" t="s">
        <v>5</v>
      </c>
      <c r="I1619" t="s">
        <v>1935</v>
      </c>
      <c r="J1619" t="s">
        <v>1936</v>
      </c>
      <c r="K1619" s="8">
        <v>28</v>
      </c>
    </row>
    <row r="1620" spans="1:11">
      <c r="A1620" t="s">
        <v>3558</v>
      </c>
      <c r="B1620" s="15">
        <v>45705</v>
      </c>
      <c r="C1620" s="4">
        <v>45689</v>
      </c>
      <c r="D1620" t="s">
        <v>35</v>
      </c>
      <c r="E1620" t="s">
        <v>19</v>
      </c>
      <c r="F1620" t="s">
        <v>37</v>
      </c>
      <c r="G1620" t="s">
        <v>101</v>
      </c>
      <c r="H1620" t="s">
        <v>5</v>
      </c>
      <c r="I1620" t="s">
        <v>1935</v>
      </c>
      <c r="J1620" t="s">
        <v>1936</v>
      </c>
      <c r="K1620" s="8">
        <v>9</v>
      </c>
    </row>
    <row r="1621" spans="1:11">
      <c r="A1621" t="s">
        <v>3559</v>
      </c>
      <c r="B1621" s="15">
        <v>45703</v>
      </c>
      <c r="C1621" s="4">
        <v>45689</v>
      </c>
      <c r="D1621" t="s">
        <v>38</v>
      </c>
      <c r="E1621" t="s">
        <v>19</v>
      </c>
      <c r="F1621" t="s">
        <v>40</v>
      </c>
      <c r="G1621" t="s">
        <v>90</v>
      </c>
      <c r="H1621" t="s">
        <v>5</v>
      </c>
      <c r="I1621" t="s">
        <v>1942</v>
      </c>
      <c r="J1621" t="s">
        <v>1938</v>
      </c>
      <c r="K1621" s="8">
        <v>7</v>
      </c>
    </row>
    <row r="1622" spans="1:11">
      <c r="A1622" t="s">
        <v>3560</v>
      </c>
      <c r="B1622" s="15">
        <v>45703</v>
      </c>
      <c r="C1622" s="4">
        <v>45689</v>
      </c>
      <c r="D1622" t="s">
        <v>38</v>
      </c>
      <c r="E1622" t="s">
        <v>19</v>
      </c>
      <c r="F1622" t="s">
        <v>40</v>
      </c>
      <c r="G1622" t="s">
        <v>109</v>
      </c>
      <c r="H1622" t="s">
        <v>11</v>
      </c>
      <c r="I1622" t="s">
        <v>1935</v>
      </c>
      <c r="J1622" t="s">
        <v>1936</v>
      </c>
      <c r="K1622" s="8">
        <v>14</v>
      </c>
    </row>
    <row r="1623" spans="1:11">
      <c r="A1623" t="s">
        <v>3561</v>
      </c>
      <c r="B1623" s="15">
        <v>45689</v>
      </c>
      <c r="C1623" s="4">
        <v>45689</v>
      </c>
      <c r="D1623" t="s">
        <v>38</v>
      </c>
      <c r="E1623" t="s">
        <v>19</v>
      </c>
      <c r="F1623" t="s">
        <v>40</v>
      </c>
      <c r="G1623" t="s">
        <v>103</v>
      </c>
      <c r="H1623" t="s">
        <v>5</v>
      </c>
      <c r="I1623" t="s">
        <v>1935</v>
      </c>
      <c r="J1623" t="s">
        <v>1936</v>
      </c>
      <c r="K1623" s="8">
        <v>9</v>
      </c>
    </row>
    <row r="1624" spans="1:11">
      <c r="A1624" t="s">
        <v>3562</v>
      </c>
      <c r="B1624" s="15">
        <v>45699</v>
      </c>
      <c r="C1624" s="4">
        <v>45689</v>
      </c>
      <c r="D1624" t="s">
        <v>38</v>
      </c>
      <c r="E1624" t="s">
        <v>19</v>
      </c>
      <c r="F1624" t="s">
        <v>40</v>
      </c>
      <c r="G1624" t="s">
        <v>103</v>
      </c>
      <c r="H1624" t="s">
        <v>5</v>
      </c>
      <c r="I1624" t="s">
        <v>1935</v>
      </c>
      <c r="J1624" t="s">
        <v>1936</v>
      </c>
      <c r="K1624" s="8">
        <v>19</v>
      </c>
    </row>
    <row r="1625" spans="1:11">
      <c r="A1625" t="s">
        <v>3563</v>
      </c>
      <c r="B1625" s="15">
        <v>45711</v>
      </c>
      <c r="C1625" s="4">
        <v>45689</v>
      </c>
      <c r="D1625" t="s">
        <v>38</v>
      </c>
      <c r="E1625" t="s">
        <v>19</v>
      </c>
      <c r="F1625" t="s">
        <v>40</v>
      </c>
      <c r="G1625" t="s">
        <v>82</v>
      </c>
      <c r="H1625" t="s">
        <v>8</v>
      </c>
      <c r="I1625" t="s">
        <v>1935</v>
      </c>
      <c r="J1625" t="s">
        <v>1938</v>
      </c>
      <c r="K1625" s="8">
        <v>19</v>
      </c>
    </row>
    <row r="1626" spans="1:11">
      <c r="A1626" t="s">
        <v>3564</v>
      </c>
      <c r="B1626" s="15">
        <v>45713</v>
      </c>
      <c r="C1626" s="4">
        <v>45689</v>
      </c>
      <c r="D1626" t="s">
        <v>38</v>
      </c>
      <c r="E1626" t="s">
        <v>19</v>
      </c>
      <c r="F1626" t="s">
        <v>40</v>
      </c>
      <c r="G1626" t="s">
        <v>90</v>
      </c>
      <c r="H1626" t="s">
        <v>5</v>
      </c>
      <c r="I1626" t="s">
        <v>1935</v>
      </c>
      <c r="J1626" t="s">
        <v>1936</v>
      </c>
      <c r="K1626" s="8">
        <v>32</v>
      </c>
    </row>
    <row r="1627" spans="1:11">
      <c r="A1627" t="s">
        <v>3565</v>
      </c>
      <c r="B1627" s="15">
        <v>45693</v>
      </c>
      <c r="C1627" s="4">
        <v>45689</v>
      </c>
      <c r="D1627" t="s">
        <v>38</v>
      </c>
      <c r="E1627" t="s">
        <v>19</v>
      </c>
      <c r="F1627" t="s">
        <v>40</v>
      </c>
      <c r="G1627" t="s">
        <v>140</v>
      </c>
      <c r="H1627" t="s">
        <v>11</v>
      </c>
      <c r="I1627" t="s">
        <v>1935</v>
      </c>
      <c r="J1627" t="s">
        <v>1936</v>
      </c>
      <c r="K1627" s="8">
        <v>11</v>
      </c>
    </row>
    <row r="1628" spans="1:11">
      <c r="A1628" t="s">
        <v>3566</v>
      </c>
      <c r="B1628" s="15">
        <v>45704</v>
      </c>
      <c r="C1628" s="4">
        <v>45689</v>
      </c>
      <c r="D1628" t="s">
        <v>38</v>
      </c>
      <c r="E1628" t="s">
        <v>19</v>
      </c>
      <c r="F1628" t="s">
        <v>40</v>
      </c>
      <c r="G1628" t="s">
        <v>82</v>
      </c>
      <c r="H1628" t="s">
        <v>8</v>
      </c>
      <c r="I1628" t="s">
        <v>1942</v>
      </c>
      <c r="J1628" t="s">
        <v>1954</v>
      </c>
      <c r="K1628" s="8">
        <v>2</v>
      </c>
    </row>
    <row r="1629" spans="1:11">
      <c r="A1629" t="s">
        <v>3567</v>
      </c>
      <c r="B1629" s="15">
        <v>45700</v>
      </c>
      <c r="C1629" s="4">
        <v>45689</v>
      </c>
      <c r="D1629" t="s">
        <v>38</v>
      </c>
      <c r="E1629" t="s">
        <v>19</v>
      </c>
      <c r="F1629" t="s">
        <v>40</v>
      </c>
      <c r="G1629" t="s">
        <v>164</v>
      </c>
      <c r="H1629" t="s">
        <v>5</v>
      </c>
      <c r="I1629" t="s">
        <v>1935</v>
      </c>
      <c r="J1629" t="s">
        <v>1936</v>
      </c>
      <c r="K1629" s="8">
        <v>21</v>
      </c>
    </row>
    <row r="1630" spans="1:11">
      <c r="A1630" t="s">
        <v>3568</v>
      </c>
      <c r="B1630" s="15">
        <v>45696</v>
      </c>
      <c r="C1630" s="4">
        <v>45689</v>
      </c>
      <c r="D1630" t="s">
        <v>38</v>
      </c>
      <c r="E1630" t="s">
        <v>19</v>
      </c>
      <c r="F1630" t="s">
        <v>40</v>
      </c>
      <c r="G1630" t="s">
        <v>158</v>
      </c>
      <c r="H1630" t="s">
        <v>5</v>
      </c>
      <c r="I1630" t="s">
        <v>1935</v>
      </c>
      <c r="J1630" t="s">
        <v>1954</v>
      </c>
      <c r="K1630" s="8">
        <v>10</v>
      </c>
    </row>
    <row r="1631" spans="1:11">
      <c r="A1631" t="s">
        <v>3569</v>
      </c>
      <c r="B1631" s="15">
        <v>45706</v>
      </c>
      <c r="C1631" s="4">
        <v>45689</v>
      </c>
      <c r="D1631" t="s">
        <v>38</v>
      </c>
      <c r="E1631" t="s">
        <v>19</v>
      </c>
      <c r="F1631" t="s">
        <v>40</v>
      </c>
      <c r="G1631" t="s">
        <v>109</v>
      </c>
      <c r="H1631" t="s">
        <v>11</v>
      </c>
      <c r="I1631" t="s">
        <v>1935</v>
      </c>
      <c r="J1631" t="s">
        <v>1936</v>
      </c>
      <c r="K1631" s="8">
        <v>34</v>
      </c>
    </row>
    <row r="1632" spans="1:11">
      <c r="A1632" t="s">
        <v>3570</v>
      </c>
      <c r="B1632" s="15">
        <v>45713</v>
      </c>
      <c r="C1632" s="4">
        <v>45689</v>
      </c>
      <c r="D1632" t="s">
        <v>41</v>
      </c>
      <c r="E1632" t="s">
        <v>21</v>
      </c>
      <c r="F1632" t="s">
        <v>43</v>
      </c>
      <c r="G1632" t="s">
        <v>220</v>
      </c>
      <c r="H1632" t="s">
        <v>11</v>
      </c>
      <c r="I1632" t="s">
        <v>1935</v>
      </c>
      <c r="J1632" t="s">
        <v>1954</v>
      </c>
      <c r="K1632" s="8">
        <v>32</v>
      </c>
    </row>
    <row r="1633" spans="1:11">
      <c r="A1633" t="s">
        <v>3571</v>
      </c>
      <c r="B1633" s="15">
        <v>45692</v>
      </c>
      <c r="C1633" s="4">
        <v>45689</v>
      </c>
      <c r="D1633" t="s">
        <v>41</v>
      </c>
      <c r="E1633" t="s">
        <v>21</v>
      </c>
      <c r="F1633" t="s">
        <v>43</v>
      </c>
      <c r="G1633" t="s">
        <v>226</v>
      </c>
      <c r="H1633" t="s">
        <v>8</v>
      </c>
      <c r="I1633" t="s">
        <v>1935</v>
      </c>
      <c r="J1633" t="s">
        <v>1938</v>
      </c>
      <c r="K1633" s="8">
        <v>8</v>
      </c>
    </row>
    <row r="1634" spans="1:11">
      <c r="A1634" t="s">
        <v>3572</v>
      </c>
      <c r="B1634" s="15">
        <v>45704</v>
      </c>
      <c r="C1634" s="4">
        <v>45689</v>
      </c>
      <c r="D1634" t="s">
        <v>41</v>
      </c>
      <c r="E1634" t="s">
        <v>21</v>
      </c>
      <c r="F1634" t="s">
        <v>43</v>
      </c>
      <c r="G1634" t="s">
        <v>214</v>
      </c>
      <c r="H1634" t="s">
        <v>8</v>
      </c>
      <c r="I1634" t="s">
        <v>1935</v>
      </c>
      <c r="J1634" t="s">
        <v>1936</v>
      </c>
      <c r="K1634" s="8">
        <v>19</v>
      </c>
    </row>
    <row r="1635" spans="1:11">
      <c r="A1635" t="s">
        <v>3573</v>
      </c>
      <c r="B1635" s="15">
        <v>45703</v>
      </c>
      <c r="C1635" s="4">
        <v>45689</v>
      </c>
      <c r="D1635" t="s">
        <v>41</v>
      </c>
      <c r="E1635" t="s">
        <v>21</v>
      </c>
      <c r="F1635" t="s">
        <v>43</v>
      </c>
      <c r="G1635" t="s">
        <v>208</v>
      </c>
      <c r="H1635" t="s">
        <v>11</v>
      </c>
      <c r="I1635" t="s">
        <v>1942</v>
      </c>
      <c r="J1635" t="s">
        <v>1936</v>
      </c>
      <c r="K1635" s="8">
        <v>6</v>
      </c>
    </row>
    <row r="1636" spans="1:11">
      <c r="A1636" t="s">
        <v>3574</v>
      </c>
      <c r="B1636" s="15">
        <v>45703</v>
      </c>
      <c r="C1636" s="4">
        <v>45689</v>
      </c>
      <c r="D1636" t="s">
        <v>41</v>
      </c>
      <c r="E1636" t="s">
        <v>21</v>
      </c>
      <c r="F1636" t="s">
        <v>43</v>
      </c>
      <c r="G1636" t="s">
        <v>232</v>
      </c>
      <c r="H1636" t="s">
        <v>11</v>
      </c>
      <c r="I1636" t="s">
        <v>1935</v>
      </c>
      <c r="J1636" t="s">
        <v>1954</v>
      </c>
      <c r="K1636" s="8">
        <v>22</v>
      </c>
    </row>
    <row r="1637" spans="1:11">
      <c r="A1637" t="s">
        <v>3575</v>
      </c>
      <c r="B1637" s="15">
        <v>45715</v>
      </c>
      <c r="C1637" s="4">
        <v>45689</v>
      </c>
      <c r="D1637" t="s">
        <v>41</v>
      </c>
      <c r="E1637" t="s">
        <v>21</v>
      </c>
      <c r="F1637" t="s">
        <v>43</v>
      </c>
      <c r="G1637" t="s">
        <v>232</v>
      </c>
      <c r="H1637" t="s">
        <v>11</v>
      </c>
      <c r="I1637" t="s">
        <v>1935</v>
      </c>
      <c r="J1637" t="s">
        <v>1936</v>
      </c>
      <c r="K1637" s="8">
        <v>17</v>
      </c>
    </row>
    <row r="1638" spans="1:11">
      <c r="A1638" t="s">
        <v>3576</v>
      </c>
      <c r="B1638" s="15">
        <v>45692</v>
      </c>
      <c r="C1638" s="4">
        <v>45689</v>
      </c>
      <c r="D1638" t="s">
        <v>41</v>
      </c>
      <c r="E1638" t="s">
        <v>21</v>
      </c>
      <c r="F1638" t="s">
        <v>43</v>
      </c>
      <c r="G1638" t="s">
        <v>214</v>
      </c>
      <c r="H1638" t="s">
        <v>5</v>
      </c>
      <c r="I1638" t="s">
        <v>1935</v>
      </c>
      <c r="J1638" t="s">
        <v>1936</v>
      </c>
      <c r="K1638" s="8">
        <v>25</v>
      </c>
    </row>
    <row r="1639" spans="1:11">
      <c r="A1639" t="s">
        <v>3577</v>
      </c>
      <c r="B1639" s="15">
        <v>45698</v>
      </c>
      <c r="C1639" s="4">
        <v>45689</v>
      </c>
      <c r="D1639" t="s">
        <v>41</v>
      </c>
      <c r="E1639" t="s">
        <v>21</v>
      </c>
      <c r="F1639" t="s">
        <v>43</v>
      </c>
      <c r="G1639" t="s">
        <v>220</v>
      </c>
      <c r="H1639" t="s">
        <v>8</v>
      </c>
      <c r="I1639" t="s">
        <v>1935</v>
      </c>
      <c r="J1639" t="s">
        <v>1936</v>
      </c>
      <c r="K1639" s="8">
        <v>20</v>
      </c>
    </row>
    <row r="1640" spans="1:11">
      <c r="A1640" t="s">
        <v>3578</v>
      </c>
      <c r="B1640" s="15">
        <v>45712</v>
      </c>
      <c r="C1640" s="4">
        <v>45689</v>
      </c>
      <c r="D1640" t="s">
        <v>41</v>
      </c>
      <c r="E1640" t="s">
        <v>21</v>
      </c>
      <c r="F1640" t="s">
        <v>43</v>
      </c>
      <c r="G1640" t="s">
        <v>166</v>
      </c>
      <c r="H1640" t="s">
        <v>14</v>
      </c>
      <c r="I1640" t="s">
        <v>1935</v>
      </c>
      <c r="J1640" t="s">
        <v>1936</v>
      </c>
      <c r="K1640" s="8">
        <v>18</v>
      </c>
    </row>
    <row r="1641" spans="1:11">
      <c r="A1641" t="s">
        <v>3579</v>
      </c>
      <c r="B1641" s="15">
        <v>45699</v>
      </c>
      <c r="C1641" s="4">
        <v>45689</v>
      </c>
      <c r="D1641" t="s">
        <v>44</v>
      </c>
      <c r="E1641" t="s">
        <v>21</v>
      </c>
      <c r="F1641" t="s">
        <v>46</v>
      </c>
      <c r="G1641" t="s">
        <v>210</v>
      </c>
      <c r="H1641" t="s">
        <v>8</v>
      </c>
      <c r="I1641" t="s">
        <v>1935</v>
      </c>
      <c r="J1641" t="s">
        <v>1954</v>
      </c>
      <c r="K1641" s="8">
        <v>31</v>
      </c>
    </row>
    <row r="1642" spans="1:11">
      <c r="A1642" t="s">
        <v>3580</v>
      </c>
      <c r="B1642" s="15">
        <v>45713</v>
      </c>
      <c r="C1642" s="4">
        <v>45689</v>
      </c>
      <c r="D1642" t="s">
        <v>44</v>
      </c>
      <c r="E1642" t="s">
        <v>21</v>
      </c>
      <c r="F1642" t="s">
        <v>46</v>
      </c>
      <c r="G1642" t="s">
        <v>234</v>
      </c>
      <c r="H1642" t="s">
        <v>5</v>
      </c>
      <c r="I1642" t="s">
        <v>1995</v>
      </c>
      <c r="J1642" t="s">
        <v>1938</v>
      </c>
      <c r="K1642" s="8">
        <v>8</v>
      </c>
    </row>
    <row r="1643" spans="1:11">
      <c r="A1643" t="s">
        <v>3581</v>
      </c>
      <c r="B1643" s="15">
        <v>45712</v>
      </c>
      <c r="C1643" s="4">
        <v>45689</v>
      </c>
      <c r="D1643" t="s">
        <v>44</v>
      </c>
      <c r="E1643" t="s">
        <v>21</v>
      </c>
      <c r="F1643" t="s">
        <v>46</v>
      </c>
      <c r="G1643" t="s">
        <v>210</v>
      </c>
      <c r="H1643" t="s">
        <v>11</v>
      </c>
      <c r="I1643" t="s">
        <v>1935</v>
      </c>
      <c r="J1643" t="s">
        <v>1936</v>
      </c>
      <c r="K1643" s="8">
        <v>12</v>
      </c>
    </row>
    <row r="1644" spans="1:11">
      <c r="A1644" t="s">
        <v>3582</v>
      </c>
      <c r="B1644" s="15">
        <v>45706</v>
      </c>
      <c r="C1644" s="4">
        <v>45689</v>
      </c>
      <c r="D1644" t="s">
        <v>44</v>
      </c>
      <c r="E1644" t="s">
        <v>21</v>
      </c>
      <c r="F1644" t="s">
        <v>46</v>
      </c>
      <c r="G1644" t="s">
        <v>210</v>
      </c>
      <c r="H1644" t="s">
        <v>5</v>
      </c>
      <c r="I1644" t="s">
        <v>1935</v>
      </c>
      <c r="J1644" t="s">
        <v>1954</v>
      </c>
      <c r="K1644" s="8">
        <v>10</v>
      </c>
    </row>
    <row r="1645" spans="1:11">
      <c r="A1645" t="s">
        <v>3583</v>
      </c>
      <c r="B1645" s="15">
        <v>45702</v>
      </c>
      <c r="C1645" s="4">
        <v>45689</v>
      </c>
      <c r="D1645" t="s">
        <v>44</v>
      </c>
      <c r="E1645" t="s">
        <v>21</v>
      </c>
      <c r="F1645" t="s">
        <v>46</v>
      </c>
      <c r="G1645" t="s">
        <v>186</v>
      </c>
      <c r="H1645" t="s">
        <v>8</v>
      </c>
      <c r="I1645" t="s">
        <v>1995</v>
      </c>
      <c r="J1645" t="s">
        <v>1936</v>
      </c>
      <c r="K1645" s="8">
        <v>7</v>
      </c>
    </row>
    <row r="1646" spans="1:11">
      <c r="A1646" t="s">
        <v>3584</v>
      </c>
      <c r="B1646" s="15">
        <v>45689</v>
      </c>
      <c r="C1646" s="4">
        <v>45689</v>
      </c>
      <c r="D1646" t="s">
        <v>44</v>
      </c>
      <c r="E1646" t="s">
        <v>21</v>
      </c>
      <c r="F1646" t="s">
        <v>46</v>
      </c>
      <c r="G1646" t="s">
        <v>222</v>
      </c>
      <c r="H1646" t="s">
        <v>5</v>
      </c>
      <c r="I1646" t="s">
        <v>1935</v>
      </c>
      <c r="J1646" t="s">
        <v>1938</v>
      </c>
      <c r="K1646" s="8">
        <v>18</v>
      </c>
    </row>
    <row r="1647" spans="1:11">
      <c r="A1647" t="s">
        <v>3585</v>
      </c>
      <c r="B1647" s="15">
        <v>45695</v>
      </c>
      <c r="C1647" s="4">
        <v>45689</v>
      </c>
      <c r="D1647" t="s">
        <v>44</v>
      </c>
      <c r="E1647" t="s">
        <v>21</v>
      </c>
      <c r="F1647" t="s">
        <v>46</v>
      </c>
      <c r="G1647" t="s">
        <v>210</v>
      </c>
      <c r="H1647" t="s">
        <v>5</v>
      </c>
      <c r="I1647" t="s">
        <v>1935</v>
      </c>
      <c r="J1647" t="s">
        <v>1936</v>
      </c>
      <c r="K1647" s="8">
        <v>13</v>
      </c>
    </row>
    <row r="1648" spans="1:11">
      <c r="A1648" t="s">
        <v>3586</v>
      </c>
      <c r="B1648" s="15">
        <v>45714</v>
      </c>
      <c r="C1648" s="4">
        <v>45689</v>
      </c>
      <c r="D1648" t="s">
        <v>44</v>
      </c>
      <c r="E1648" t="s">
        <v>21</v>
      </c>
      <c r="F1648" t="s">
        <v>46</v>
      </c>
      <c r="G1648" t="s">
        <v>216</v>
      </c>
      <c r="H1648" t="s">
        <v>14</v>
      </c>
      <c r="I1648" t="s">
        <v>1935</v>
      </c>
      <c r="J1648" t="s">
        <v>1936</v>
      </c>
      <c r="K1648" s="8">
        <v>23</v>
      </c>
    </row>
    <row r="1649" spans="1:11">
      <c r="A1649" t="s">
        <v>3587</v>
      </c>
      <c r="B1649" s="15">
        <v>45706</v>
      </c>
      <c r="C1649" s="4">
        <v>45689</v>
      </c>
      <c r="D1649" t="s">
        <v>44</v>
      </c>
      <c r="E1649" t="s">
        <v>21</v>
      </c>
      <c r="F1649" t="s">
        <v>46</v>
      </c>
      <c r="G1649" t="s">
        <v>210</v>
      </c>
      <c r="H1649" t="s">
        <v>14</v>
      </c>
      <c r="I1649" t="s">
        <v>1942</v>
      </c>
      <c r="J1649" t="s">
        <v>1938</v>
      </c>
      <c r="K1649" s="8">
        <v>0</v>
      </c>
    </row>
    <row r="1650" spans="1:11">
      <c r="A1650" t="s">
        <v>3588</v>
      </c>
      <c r="B1650" s="15">
        <v>45710</v>
      </c>
      <c r="C1650" s="4">
        <v>45689</v>
      </c>
      <c r="D1650" t="s">
        <v>44</v>
      </c>
      <c r="E1650" t="s">
        <v>21</v>
      </c>
      <c r="F1650" t="s">
        <v>46</v>
      </c>
      <c r="G1650" t="s">
        <v>180</v>
      </c>
      <c r="H1650" t="s">
        <v>14</v>
      </c>
      <c r="I1650" t="s">
        <v>1935</v>
      </c>
      <c r="J1650" t="s">
        <v>1936</v>
      </c>
      <c r="K1650" s="8">
        <v>15</v>
      </c>
    </row>
    <row r="1651" spans="1:11">
      <c r="A1651" t="s">
        <v>3589</v>
      </c>
      <c r="B1651" s="15">
        <v>45709</v>
      </c>
      <c r="C1651" s="4">
        <v>45689</v>
      </c>
      <c r="D1651" t="s">
        <v>44</v>
      </c>
      <c r="E1651" t="s">
        <v>21</v>
      </c>
      <c r="F1651" t="s">
        <v>46</v>
      </c>
      <c r="G1651" t="s">
        <v>174</v>
      </c>
      <c r="H1651" t="s">
        <v>14</v>
      </c>
      <c r="I1651" t="s">
        <v>1935</v>
      </c>
      <c r="J1651" t="s">
        <v>1938</v>
      </c>
      <c r="K1651" s="8">
        <v>22</v>
      </c>
    </row>
    <row r="1652" spans="1:11">
      <c r="A1652" t="s">
        <v>3590</v>
      </c>
      <c r="B1652" s="15">
        <v>45693</v>
      </c>
      <c r="C1652" s="4">
        <v>45689</v>
      </c>
      <c r="D1652" t="s">
        <v>47</v>
      </c>
      <c r="E1652" t="s">
        <v>21</v>
      </c>
      <c r="F1652" t="s">
        <v>49</v>
      </c>
      <c r="G1652" t="s">
        <v>218</v>
      </c>
      <c r="H1652" t="s">
        <v>14</v>
      </c>
      <c r="I1652" t="s">
        <v>1935</v>
      </c>
      <c r="J1652" t="s">
        <v>1936</v>
      </c>
      <c r="K1652" s="8">
        <v>14</v>
      </c>
    </row>
    <row r="1653" spans="1:11">
      <c r="A1653" t="s">
        <v>3591</v>
      </c>
      <c r="B1653" s="15">
        <v>45706</v>
      </c>
      <c r="C1653" s="4">
        <v>45689</v>
      </c>
      <c r="D1653" t="s">
        <v>47</v>
      </c>
      <c r="E1653" t="s">
        <v>21</v>
      </c>
      <c r="F1653" t="s">
        <v>49</v>
      </c>
      <c r="G1653" t="s">
        <v>224</v>
      </c>
      <c r="H1653" t="s">
        <v>11</v>
      </c>
      <c r="I1653" t="s">
        <v>1935</v>
      </c>
      <c r="J1653" t="s">
        <v>1936</v>
      </c>
      <c r="K1653" s="8">
        <v>11</v>
      </c>
    </row>
    <row r="1654" spans="1:11">
      <c r="A1654" t="s">
        <v>3592</v>
      </c>
      <c r="B1654" s="15">
        <v>45705</v>
      </c>
      <c r="C1654" s="4">
        <v>45689</v>
      </c>
      <c r="D1654" t="s">
        <v>47</v>
      </c>
      <c r="E1654" t="s">
        <v>21</v>
      </c>
      <c r="F1654" t="s">
        <v>49</v>
      </c>
      <c r="G1654" t="s">
        <v>218</v>
      </c>
      <c r="H1654" t="s">
        <v>14</v>
      </c>
      <c r="I1654" t="s">
        <v>1935</v>
      </c>
      <c r="J1654" t="s">
        <v>1936</v>
      </c>
      <c r="K1654" s="8">
        <v>23</v>
      </c>
    </row>
    <row r="1655" spans="1:11">
      <c r="A1655" t="s">
        <v>3593</v>
      </c>
      <c r="B1655" s="15">
        <v>45694</v>
      </c>
      <c r="C1655" s="4">
        <v>45689</v>
      </c>
      <c r="D1655" t="s">
        <v>47</v>
      </c>
      <c r="E1655" t="s">
        <v>21</v>
      </c>
      <c r="F1655" t="s">
        <v>49</v>
      </c>
      <c r="G1655" t="s">
        <v>218</v>
      </c>
      <c r="H1655" t="s">
        <v>14</v>
      </c>
      <c r="I1655" t="s">
        <v>1935</v>
      </c>
      <c r="J1655" t="s">
        <v>1936</v>
      </c>
      <c r="K1655" s="8">
        <v>18</v>
      </c>
    </row>
    <row r="1656" spans="1:11">
      <c r="A1656" t="s">
        <v>3594</v>
      </c>
      <c r="B1656" s="15">
        <v>45714</v>
      </c>
      <c r="C1656" s="4">
        <v>45689</v>
      </c>
      <c r="D1656" t="s">
        <v>47</v>
      </c>
      <c r="E1656" t="s">
        <v>21</v>
      </c>
      <c r="F1656" t="s">
        <v>49</v>
      </c>
      <c r="G1656" t="s">
        <v>218</v>
      </c>
      <c r="H1656" t="s">
        <v>11</v>
      </c>
      <c r="I1656" t="s">
        <v>1935</v>
      </c>
      <c r="J1656" t="s">
        <v>1936</v>
      </c>
      <c r="K1656" s="8">
        <v>20</v>
      </c>
    </row>
    <row r="1657" spans="1:11">
      <c r="A1657" t="s">
        <v>3595</v>
      </c>
      <c r="B1657" s="15">
        <v>45714</v>
      </c>
      <c r="C1657" s="4">
        <v>45689</v>
      </c>
      <c r="D1657" t="s">
        <v>47</v>
      </c>
      <c r="E1657" t="s">
        <v>21</v>
      </c>
      <c r="F1657" t="s">
        <v>49</v>
      </c>
      <c r="G1657" t="s">
        <v>218</v>
      </c>
      <c r="H1657" t="s">
        <v>14</v>
      </c>
      <c r="I1657" t="s">
        <v>1935</v>
      </c>
      <c r="J1657" t="s">
        <v>1936</v>
      </c>
      <c r="K1657" s="8">
        <v>23</v>
      </c>
    </row>
    <row r="1658" spans="1:11">
      <c r="A1658" t="s">
        <v>3596</v>
      </c>
      <c r="B1658" s="15">
        <v>45702</v>
      </c>
      <c r="C1658" s="4">
        <v>45689</v>
      </c>
      <c r="D1658" t="s">
        <v>47</v>
      </c>
      <c r="E1658" t="s">
        <v>21</v>
      </c>
      <c r="F1658" t="s">
        <v>49</v>
      </c>
      <c r="G1658" t="s">
        <v>176</v>
      </c>
      <c r="H1658" t="s">
        <v>8</v>
      </c>
      <c r="I1658" t="s">
        <v>1935</v>
      </c>
      <c r="J1658" t="s">
        <v>1938</v>
      </c>
      <c r="K1658" s="8">
        <v>11</v>
      </c>
    </row>
    <row r="1659" spans="1:11">
      <c r="A1659" t="s">
        <v>3597</v>
      </c>
      <c r="B1659" s="15">
        <v>45690</v>
      </c>
      <c r="C1659" s="4">
        <v>45689</v>
      </c>
      <c r="D1659" t="s">
        <v>47</v>
      </c>
      <c r="E1659" t="s">
        <v>21</v>
      </c>
      <c r="F1659" t="s">
        <v>49</v>
      </c>
      <c r="G1659" t="s">
        <v>230</v>
      </c>
      <c r="H1659" t="s">
        <v>5</v>
      </c>
      <c r="I1659" t="s">
        <v>1935</v>
      </c>
      <c r="J1659" t="s">
        <v>1936</v>
      </c>
      <c r="K1659" s="8">
        <v>33</v>
      </c>
    </row>
    <row r="1660" spans="1:11">
      <c r="A1660" t="s">
        <v>3598</v>
      </c>
      <c r="B1660" s="15">
        <v>45707</v>
      </c>
      <c r="C1660" s="4">
        <v>45689</v>
      </c>
      <c r="D1660" t="s">
        <v>47</v>
      </c>
      <c r="E1660" t="s">
        <v>21</v>
      </c>
      <c r="F1660" t="s">
        <v>49</v>
      </c>
      <c r="G1660" t="s">
        <v>170</v>
      </c>
      <c r="H1660" t="s">
        <v>8</v>
      </c>
      <c r="I1660" t="s">
        <v>1935</v>
      </c>
      <c r="J1660" t="s">
        <v>1936</v>
      </c>
      <c r="K1660" s="8">
        <v>15</v>
      </c>
    </row>
    <row r="1661" spans="1:11">
      <c r="A1661" t="s">
        <v>3599</v>
      </c>
      <c r="B1661" s="15">
        <v>45690</v>
      </c>
      <c r="C1661" s="4">
        <v>45689</v>
      </c>
      <c r="D1661" t="s">
        <v>47</v>
      </c>
      <c r="E1661" t="s">
        <v>21</v>
      </c>
      <c r="F1661" t="s">
        <v>49</v>
      </c>
      <c r="G1661" t="s">
        <v>218</v>
      </c>
      <c r="H1661" t="s">
        <v>14</v>
      </c>
      <c r="I1661" t="s">
        <v>1995</v>
      </c>
      <c r="J1661" t="s">
        <v>1938</v>
      </c>
      <c r="K1661" s="8">
        <v>6</v>
      </c>
    </row>
    <row r="1662" spans="1:11">
      <c r="A1662" t="s">
        <v>3600</v>
      </c>
      <c r="B1662" s="15">
        <v>45694</v>
      </c>
      <c r="C1662" s="4">
        <v>45689</v>
      </c>
      <c r="D1662" t="s">
        <v>47</v>
      </c>
      <c r="E1662" t="s">
        <v>21</v>
      </c>
      <c r="F1662" t="s">
        <v>49</v>
      </c>
      <c r="G1662" t="s">
        <v>212</v>
      </c>
      <c r="H1662" t="s">
        <v>14</v>
      </c>
      <c r="I1662" t="s">
        <v>1935</v>
      </c>
      <c r="J1662" t="s">
        <v>1936</v>
      </c>
      <c r="K1662" s="8">
        <v>13</v>
      </c>
    </row>
    <row r="1663" spans="1:11">
      <c r="A1663" t="s">
        <v>3601</v>
      </c>
      <c r="B1663" s="15">
        <v>45702</v>
      </c>
      <c r="C1663" s="4">
        <v>45689</v>
      </c>
      <c r="D1663" t="s">
        <v>47</v>
      </c>
      <c r="E1663" t="s">
        <v>21</v>
      </c>
      <c r="F1663" t="s">
        <v>49</v>
      </c>
      <c r="G1663" t="s">
        <v>230</v>
      </c>
      <c r="H1663" t="s">
        <v>11</v>
      </c>
      <c r="I1663" t="s">
        <v>1935</v>
      </c>
      <c r="J1663" t="s">
        <v>1938</v>
      </c>
      <c r="K1663" s="8">
        <v>11</v>
      </c>
    </row>
    <row r="1664" spans="1:11">
      <c r="A1664" t="s">
        <v>3602</v>
      </c>
      <c r="B1664" s="15">
        <v>45703</v>
      </c>
      <c r="C1664" s="4">
        <v>45689</v>
      </c>
      <c r="D1664" t="s">
        <v>47</v>
      </c>
      <c r="E1664" t="s">
        <v>21</v>
      </c>
      <c r="F1664" t="s">
        <v>49</v>
      </c>
      <c r="G1664" t="s">
        <v>176</v>
      </c>
      <c r="H1664" t="s">
        <v>11</v>
      </c>
      <c r="I1664" t="s">
        <v>1935</v>
      </c>
      <c r="J1664" t="s">
        <v>1936</v>
      </c>
      <c r="K1664" s="8">
        <v>31</v>
      </c>
    </row>
    <row r="1665" spans="1:11">
      <c r="A1665" t="s">
        <v>3603</v>
      </c>
      <c r="B1665" s="15">
        <v>45709</v>
      </c>
      <c r="C1665" s="4">
        <v>45689</v>
      </c>
      <c r="D1665" t="s">
        <v>50</v>
      </c>
      <c r="E1665" t="s">
        <v>23</v>
      </c>
      <c r="F1665" t="s">
        <v>52</v>
      </c>
      <c r="G1665" t="s">
        <v>238</v>
      </c>
      <c r="H1665" t="s">
        <v>5</v>
      </c>
      <c r="I1665" t="s">
        <v>1935</v>
      </c>
      <c r="J1665" t="s">
        <v>1938</v>
      </c>
      <c r="K1665" s="8">
        <v>23</v>
      </c>
    </row>
    <row r="1666" spans="1:11">
      <c r="A1666" t="s">
        <v>3604</v>
      </c>
      <c r="B1666" s="15">
        <v>45696</v>
      </c>
      <c r="C1666" s="4">
        <v>45689</v>
      </c>
      <c r="D1666" t="s">
        <v>50</v>
      </c>
      <c r="E1666" t="s">
        <v>23</v>
      </c>
      <c r="F1666" t="s">
        <v>52</v>
      </c>
      <c r="G1666" t="s">
        <v>238</v>
      </c>
      <c r="H1666" t="s">
        <v>8</v>
      </c>
      <c r="I1666" t="s">
        <v>1935</v>
      </c>
      <c r="J1666" t="s">
        <v>1936</v>
      </c>
      <c r="K1666" s="8">
        <v>28</v>
      </c>
    </row>
    <row r="1667" spans="1:11">
      <c r="A1667" t="s">
        <v>3605</v>
      </c>
      <c r="B1667" s="15">
        <v>45714</v>
      </c>
      <c r="C1667" s="4">
        <v>45689</v>
      </c>
      <c r="D1667" t="s">
        <v>50</v>
      </c>
      <c r="E1667" t="s">
        <v>23</v>
      </c>
      <c r="F1667" t="s">
        <v>52</v>
      </c>
      <c r="G1667" t="s">
        <v>292</v>
      </c>
      <c r="H1667" t="s">
        <v>11</v>
      </c>
      <c r="I1667" t="s">
        <v>1935</v>
      </c>
      <c r="J1667" t="s">
        <v>1936</v>
      </c>
      <c r="K1667" s="8">
        <v>13</v>
      </c>
    </row>
    <row r="1668" spans="1:11">
      <c r="A1668" t="s">
        <v>3606</v>
      </c>
      <c r="B1668" s="15">
        <v>45695</v>
      </c>
      <c r="C1668" s="4">
        <v>45689</v>
      </c>
      <c r="D1668" t="s">
        <v>50</v>
      </c>
      <c r="E1668" t="s">
        <v>23</v>
      </c>
      <c r="F1668" t="s">
        <v>52</v>
      </c>
      <c r="G1668" t="s">
        <v>310</v>
      </c>
      <c r="H1668" t="s">
        <v>11</v>
      </c>
      <c r="I1668" t="s">
        <v>1935</v>
      </c>
      <c r="J1668" t="s">
        <v>1938</v>
      </c>
      <c r="K1668" s="8">
        <v>26</v>
      </c>
    </row>
    <row r="1669" spans="1:11">
      <c r="A1669" t="s">
        <v>3607</v>
      </c>
      <c r="B1669" s="15">
        <v>45704</v>
      </c>
      <c r="C1669" s="4">
        <v>45689</v>
      </c>
      <c r="D1669" t="s">
        <v>50</v>
      </c>
      <c r="E1669" t="s">
        <v>23</v>
      </c>
      <c r="F1669" t="s">
        <v>52</v>
      </c>
      <c r="G1669" t="s">
        <v>238</v>
      </c>
      <c r="H1669" t="s">
        <v>8</v>
      </c>
      <c r="I1669" t="s">
        <v>1942</v>
      </c>
      <c r="J1669" t="s">
        <v>1936</v>
      </c>
      <c r="K1669" s="8">
        <v>4</v>
      </c>
    </row>
    <row r="1670" spans="1:11">
      <c r="A1670" t="s">
        <v>3608</v>
      </c>
      <c r="B1670" s="15">
        <v>45689</v>
      </c>
      <c r="C1670" s="4">
        <v>45689</v>
      </c>
      <c r="D1670" t="s">
        <v>50</v>
      </c>
      <c r="E1670" t="s">
        <v>23</v>
      </c>
      <c r="F1670" t="s">
        <v>52</v>
      </c>
      <c r="G1670" t="s">
        <v>292</v>
      </c>
      <c r="H1670" t="s">
        <v>11</v>
      </c>
      <c r="I1670" t="s">
        <v>1935</v>
      </c>
      <c r="J1670" t="s">
        <v>1938</v>
      </c>
      <c r="K1670" s="8">
        <v>35</v>
      </c>
    </row>
    <row r="1671" spans="1:11">
      <c r="A1671" t="s">
        <v>3609</v>
      </c>
      <c r="B1671" s="15">
        <v>45699</v>
      </c>
      <c r="C1671" s="4">
        <v>45689</v>
      </c>
      <c r="D1671" t="s">
        <v>50</v>
      </c>
      <c r="E1671" t="s">
        <v>23</v>
      </c>
      <c r="F1671" t="s">
        <v>52</v>
      </c>
      <c r="G1671" t="s">
        <v>298</v>
      </c>
      <c r="H1671" t="s">
        <v>5</v>
      </c>
      <c r="I1671" t="s">
        <v>1935</v>
      </c>
      <c r="J1671" t="s">
        <v>1938</v>
      </c>
      <c r="K1671" s="8">
        <v>26</v>
      </c>
    </row>
    <row r="1672" spans="1:11">
      <c r="A1672" t="s">
        <v>3610</v>
      </c>
      <c r="B1672" s="15">
        <v>45696</v>
      </c>
      <c r="C1672" s="4">
        <v>45689</v>
      </c>
      <c r="D1672" t="s">
        <v>50</v>
      </c>
      <c r="E1672" t="s">
        <v>23</v>
      </c>
      <c r="F1672" t="s">
        <v>52</v>
      </c>
      <c r="G1672" t="s">
        <v>256</v>
      </c>
      <c r="H1672" t="s">
        <v>5</v>
      </c>
      <c r="I1672" t="s">
        <v>1935</v>
      </c>
      <c r="J1672" t="s">
        <v>1938</v>
      </c>
      <c r="K1672" s="8">
        <v>9</v>
      </c>
    </row>
    <row r="1673" spans="1:11">
      <c r="A1673" t="s">
        <v>3611</v>
      </c>
      <c r="B1673" s="15">
        <v>45691</v>
      </c>
      <c r="C1673" s="4">
        <v>45689</v>
      </c>
      <c r="D1673" t="s">
        <v>50</v>
      </c>
      <c r="E1673" t="s">
        <v>23</v>
      </c>
      <c r="F1673" t="s">
        <v>52</v>
      </c>
      <c r="G1673" t="s">
        <v>244</v>
      </c>
      <c r="H1673" t="s">
        <v>8</v>
      </c>
      <c r="I1673" t="s">
        <v>1935</v>
      </c>
      <c r="J1673" t="s">
        <v>1938</v>
      </c>
      <c r="K1673" s="8">
        <v>28</v>
      </c>
    </row>
    <row r="1674" spans="1:11">
      <c r="A1674" t="s">
        <v>3612</v>
      </c>
      <c r="B1674" s="15">
        <v>45710</v>
      </c>
      <c r="C1674" s="4">
        <v>45689</v>
      </c>
      <c r="D1674" t="s">
        <v>53</v>
      </c>
      <c r="E1674" t="s">
        <v>23</v>
      </c>
      <c r="F1674" t="s">
        <v>55</v>
      </c>
      <c r="G1674" t="s">
        <v>270</v>
      </c>
      <c r="H1674" t="s">
        <v>8</v>
      </c>
      <c r="I1674" t="s">
        <v>1935</v>
      </c>
      <c r="J1674" t="s">
        <v>1936</v>
      </c>
      <c r="K1674" s="8">
        <v>34</v>
      </c>
    </row>
    <row r="1675" spans="1:11">
      <c r="A1675" t="s">
        <v>3613</v>
      </c>
      <c r="B1675" s="15">
        <v>45701</v>
      </c>
      <c r="C1675" s="4">
        <v>45689</v>
      </c>
      <c r="D1675" t="s">
        <v>53</v>
      </c>
      <c r="E1675" t="s">
        <v>23</v>
      </c>
      <c r="F1675" t="s">
        <v>55</v>
      </c>
      <c r="G1675" t="s">
        <v>306</v>
      </c>
      <c r="H1675" t="s">
        <v>8</v>
      </c>
      <c r="I1675" t="s">
        <v>1935</v>
      </c>
      <c r="J1675" t="s">
        <v>1936</v>
      </c>
      <c r="K1675" s="8">
        <v>17</v>
      </c>
    </row>
    <row r="1676" spans="1:11">
      <c r="A1676" t="s">
        <v>3614</v>
      </c>
      <c r="B1676" s="15">
        <v>45689</v>
      </c>
      <c r="C1676" s="4">
        <v>45689</v>
      </c>
      <c r="D1676" t="s">
        <v>53</v>
      </c>
      <c r="E1676" t="s">
        <v>23</v>
      </c>
      <c r="F1676" t="s">
        <v>55</v>
      </c>
      <c r="G1676" t="s">
        <v>294</v>
      </c>
      <c r="H1676" t="s">
        <v>8</v>
      </c>
      <c r="I1676" t="s">
        <v>1935</v>
      </c>
      <c r="J1676" t="s">
        <v>1936</v>
      </c>
      <c r="K1676" s="8">
        <v>25</v>
      </c>
    </row>
    <row r="1677" spans="1:11">
      <c r="A1677" t="s">
        <v>3615</v>
      </c>
      <c r="B1677" s="15">
        <v>45716</v>
      </c>
      <c r="C1677" s="4">
        <v>45689</v>
      </c>
      <c r="D1677" t="s">
        <v>53</v>
      </c>
      <c r="E1677" t="s">
        <v>23</v>
      </c>
      <c r="F1677" t="s">
        <v>55</v>
      </c>
      <c r="G1677" t="s">
        <v>288</v>
      </c>
      <c r="H1677" t="s">
        <v>8</v>
      </c>
      <c r="I1677" t="s">
        <v>1935</v>
      </c>
      <c r="J1677" t="s">
        <v>1936</v>
      </c>
      <c r="K1677" s="8">
        <v>11</v>
      </c>
    </row>
    <row r="1678" spans="1:11">
      <c r="A1678" t="s">
        <v>3616</v>
      </c>
      <c r="B1678" s="15">
        <v>45697</v>
      </c>
      <c r="C1678" s="4">
        <v>45689</v>
      </c>
      <c r="D1678" t="s">
        <v>53</v>
      </c>
      <c r="E1678" t="s">
        <v>23</v>
      </c>
      <c r="F1678" t="s">
        <v>55</v>
      </c>
      <c r="G1678" t="s">
        <v>240</v>
      </c>
      <c r="H1678" t="s">
        <v>14</v>
      </c>
      <c r="I1678" t="s">
        <v>1942</v>
      </c>
      <c r="J1678" t="s">
        <v>1936</v>
      </c>
      <c r="K1678" s="8">
        <v>3</v>
      </c>
    </row>
    <row r="1679" spans="1:11">
      <c r="A1679" t="s">
        <v>3617</v>
      </c>
      <c r="B1679" s="15">
        <v>45702</v>
      </c>
      <c r="C1679" s="4">
        <v>45689</v>
      </c>
      <c r="D1679" t="s">
        <v>53</v>
      </c>
      <c r="E1679" t="s">
        <v>23</v>
      </c>
      <c r="F1679" t="s">
        <v>55</v>
      </c>
      <c r="G1679" t="s">
        <v>264</v>
      </c>
      <c r="H1679" t="s">
        <v>14</v>
      </c>
      <c r="I1679" t="s">
        <v>1935</v>
      </c>
      <c r="J1679" t="s">
        <v>1936</v>
      </c>
      <c r="K1679" s="8">
        <v>19</v>
      </c>
    </row>
    <row r="1680" spans="1:11">
      <c r="A1680" t="s">
        <v>3618</v>
      </c>
      <c r="B1680" s="15">
        <v>45704</v>
      </c>
      <c r="C1680" s="4">
        <v>45689</v>
      </c>
      <c r="D1680" t="s">
        <v>53</v>
      </c>
      <c r="E1680" t="s">
        <v>23</v>
      </c>
      <c r="F1680" t="s">
        <v>55</v>
      </c>
      <c r="G1680" t="s">
        <v>294</v>
      </c>
      <c r="H1680" t="s">
        <v>8</v>
      </c>
      <c r="I1680" t="s">
        <v>1935</v>
      </c>
      <c r="J1680" t="s">
        <v>1936</v>
      </c>
      <c r="K1680" s="8">
        <v>30</v>
      </c>
    </row>
    <row r="1681" spans="1:11">
      <c r="A1681" t="s">
        <v>3619</v>
      </c>
      <c r="B1681" s="15">
        <v>45706</v>
      </c>
      <c r="C1681" s="4">
        <v>45689</v>
      </c>
      <c r="D1681" t="s">
        <v>53</v>
      </c>
      <c r="E1681" t="s">
        <v>23</v>
      </c>
      <c r="F1681" t="s">
        <v>55</v>
      </c>
      <c r="G1681" t="s">
        <v>264</v>
      </c>
      <c r="H1681" t="s">
        <v>11</v>
      </c>
      <c r="I1681" t="s">
        <v>1995</v>
      </c>
      <c r="J1681" t="s">
        <v>1954</v>
      </c>
      <c r="K1681" s="8">
        <v>5</v>
      </c>
    </row>
    <row r="1682" spans="1:11">
      <c r="A1682" t="s">
        <v>3620</v>
      </c>
      <c r="B1682" s="15">
        <v>45690</v>
      </c>
      <c r="C1682" s="4">
        <v>45689</v>
      </c>
      <c r="D1682" t="s">
        <v>53</v>
      </c>
      <c r="E1682" t="s">
        <v>23</v>
      </c>
      <c r="F1682" t="s">
        <v>55</v>
      </c>
      <c r="G1682" t="s">
        <v>282</v>
      </c>
      <c r="H1682" t="s">
        <v>8</v>
      </c>
      <c r="I1682" t="s">
        <v>1935</v>
      </c>
      <c r="J1682" t="s">
        <v>1936</v>
      </c>
      <c r="K1682" s="8">
        <v>27</v>
      </c>
    </row>
    <row r="1683" spans="1:11">
      <c r="A1683" t="s">
        <v>3621</v>
      </c>
      <c r="B1683" s="15">
        <v>45708</v>
      </c>
      <c r="C1683" s="4">
        <v>45689</v>
      </c>
      <c r="D1683" t="s">
        <v>53</v>
      </c>
      <c r="E1683" t="s">
        <v>23</v>
      </c>
      <c r="F1683" t="s">
        <v>55</v>
      </c>
      <c r="G1683" t="s">
        <v>312</v>
      </c>
      <c r="H1683" t="s">
        <v>5</v>
      </c>
      <c r="I1683" t="s">
        <v>1935</v>
      </c>
      <c r="J1683" t="s">
        <v>1938</v>
      </c>
      <c r="K1683" s="8">
        <v>20</v>
      </c>
    </row>
    <row r="1684" spans="1:11">
      <c r="A1684" t="s">
        <v>3622</v>
      </c>
      <c r="B1684" s="15">
        <v>45712</v>
      </c>
      <c r="C1684" s="4">
        <v>45689</v>
      </c>
      <c r="D1684" t="s">
        <v>53</v>
      </c>
      <c r="E1684" t="s">
        <v>23</v>
      </c>
      <c r="F1684" t="s">
        <v>55</v>
      </c>
      <c r="G1684" t="s">
        <v>276</v>
      </c>
      <c r="H1684" t="s">
        <v>14</v>
      </c>
      <c r="I1684" t="s">
        <v>1935</v>
      </c>
      <c r="J1684" t="s">
        <v>1936</v>
      </c>
      <c r="K1684" s="8">
        <v>9</v>
      </c>
    </row>
    <row r="1685" spans="1:11">
      <c r="A1685" t="s">
        <v>3623</v>
      </c>
      <c r="B1685" s="15">
        <v>45714</v>
      </c>
      <c r="C1685" s="4">
        <v>45689</v>
      </c>
      <c r="D1685" t="s">
        <v>53</v>
      </c>
      <c r="E1685" t="s">
        <v>23</v>
      </c>
      <c r="F1685" t="s">
        <v>55</v>
      </c>
      <c r="G1685" t="s">
        <v>264</v>
      </c>
      <c r="H1685" t="s">
        <v>14</v>
      </c>
      <c r="I1685" t="s">
        <v>1935</v>
      </c>
      <c r="J1685" t="s">
        <v>1936</v>
      </c>
      <c r="K1685" s="8">
        <v>29</v>
      </c>
    </row>
    <row r="1686" spans="1:11">
      <c r="A1686" t="s">
        <v>3624</v>
      </c>
      <c r="B1686" s="15">
        <v>45698</v>
      </c>
      <c r="C1686" s="4">
        <v>45689</v>
      </c>
      <c r="D1686" t="s">
        <v>56</v>
      </c>
      <c r="E1686" t="s">
        <v>23</v>
      </c>
      <c r="F1686" t="s">
        <v>58</v>
      </c>
      <c r="G1686" t="s">
        <v>290</v>
      </c>
      <c r="H1686" t="s">
        <v>11</v>
      </c>
      <c r="I1686" t="s">
        <v>1935</v>
      </c>
      <c r="J1686" t="s">
        <v>1936</v>
      </c>
      <c r="K1686" s="8">
        <v>30</v>
      </c>
    </row>
    <row r="1687" spans="1:11">
      <c r="A1687" t="s">
        <v>3625</v>
      </c>
      <c r="B1687" s="15">
        <v>45708</v>
      </c>
      <c r="C1687" s="4">
        <v>45689</v>
      </c>
      <c r="D1687" t="s">
        <v>56</v>
      </c>
      <c r="E1687" t="s">
        <v>23</v>
      </c>
      <c r="F1687" t="s">
        <v>58</v>
      </c>
      <c r="G1687" t="s">
        <v>290</v>
      </c>
      <c r="H1687" t="s">
        <v>14</v>
      </c>
      <c r="I1687" t="s">
        <v>1935</v>
      </c>
      <c r="J1687" t="s">
        <v>1936</v>
      </c>
      <c r="K1687" s="8">
        <v>29</v>
      </c>
    </row>
    <row r="1688" spans="1:11">
      <c r="A1688" t="s">
        <v>3626</v>
      </c>
      <c r="B1688" s="15">
        <v>45707</v>
      </c>
      <c r="C1688" s="4">
        <v>45689</v>
      </c>
      <c r="D1688" t="s">
        <v>56</v>
      </c>
      <c r="E1688" t="s">
        <v>23</v>
      </c>
      <c r="F1688" t="s">
        <v>58</v>
      </c>
      <c r="G1688" t="s">
        <v>290</v>
      </c>
      <c r="H1688" t="s">
        <v>8</v>
      </c>
      <c r="I1688" t="s">
        <v>1935</v>
      </c>
      <c r="J1688" t="s">
        <v>1938</v>
      </c>
      <c r="K1688" s="8">
        <v>33</v>
      </c>
    </row>
    <row r="1689" spans="1:11">
      <c r="A1689" t="s">
        <v>3627</v>
      </c>
      <c r="B1689" s="15">
        <v>45690</v>
      </c>
      <c r="C1689" s="4">
        <v>45689</v>
      </c>
      <c r="D1689" t="s">
        <v>56</v>
      </c>
      <c r="E1689" t="s">
        <v>23</v>
      </c>
      <c r="F1689" t="s">
        <v>58</v>
      </c>
      <c r="G1689" t="s">
        <v>296</v>
      </c>
      <c r="H1689" t="s">
        <v>5</v>
      </c>
      <c r="I1689" t="s">
        <v>1935</v>
      </c>
      <c r="J1689" t="s">
        <v>1936</v>
      </c>
      <c r="K1689" s="8">
        <v>9</v>
      </c>
    </row>
    <row r="1690" spans="1:11">
      <c r="A1690" t="s">
        <v>3628</v>
      </c>
      <c r="B1690" s="15">
        <v>45702</v>
      </c>
      <c r="C1690" s="4">
        <v>45689</v>
      </c>
      <c r="D1690" t="s">
        <v>56</v>
      </c>
      <c r="E1690" t="s">
        <v>23</v>
      </c>
      <c r="F1690" t="s">
        <v>58</v>
      </c>
      <c r="G1690" t="s">
        <v>242</v>
      </c>
      <c r="H1690" t="s">
        <v>8</v>
      </c>
      <c r="I1690" t="s">
        <v>1935</v>
      </c>
      <c r="J1690" t="s">
        <v>1936</v>
      </c>
      <c r="K1690" s="8">
        <v>22</v>
      </c>
    </row>
    <row r="1691" spans="1:11">
      <c r="A1691" t="s">
        <v>3629</v>
      </c>
      <c r="B1691" s="15">
        <v>45704</v>
      </c>
      <c r="C1691" s="4">
        <v>45689</v>
      </c>
      <c r="D1691" t="s">
        <v>56</v>
      </c>
      <c r="E1691" t="s">
        <v>23</v>
      </c>
      <c r="F1691" t="s">
        <v>58</v>
      </c>
      <c r="G1691" t="s">
        <v>242</v>
      </c>
      <c r="H1691" t="s">
        <v>11</v>
      </c>
      <c r="I1691" t="s">
        <v>1935</v>
      </c>
      <c r="J1691" t="s">
        <v>1954</v>
      </c>
      <c r="K1691" s="8">
        <v>8</v>
      </c>
    </row>
    <row r="1692" spans="1:11">
      <c r="A1692" t="s">
        <v>3630</v>
      </c>
      <c r="B1692" s="15">
        <v>45704</v>
      </c>
      <c r="C1692" s="4">
        <v>45689</v>
      </c>
      <c r="D1692" t="s">
        <v>56</v>
      </c>
      <c r="E1692" t="s">
        <v>23</v>
      </c>
      <c r="F1692" t="s">
        <v>58</v>
      </c>
      <c r="G1692" t="s">
        <v>290</v>
      </c>
      <c r="H1692" t="s">
        <v>8</v>
      </c>
      <c r="I1692" t="s">
        <v>1935</v>
      </c>
      <c r="J1692" t="s">
        <v>1936</v>
      </c>
      <c r="K1692" s="8">
        <v>10</v>
      </c>
    </row>
    <row r="1693" spans="1:11">
      <c r="A1693" t="s">
        <v>3631</v>
      </c>
      <c r="B1693" s="15">
        <v>45702</v>
      </c>
      <c r="C1693" s="4">
        <v>45689</v>
      </c>
      <c r="D1693" t="s">
        <v>56</v>
      </c>
      <c r="E1693" t="s">
        <v>23</v>
      </c>
      <c r="F1693" t="s">
        <v>58</v>
      </c>
      <c r="G1693" t="s">
        <v>242</v>
      </c>
      <c r="H1693" t="s">
        <v>8</v>
      </c>
      <c r="I1693" t="s">
        <v>1935</v>
      </c>
      <c r="J1693" t="s">
        <v>1936</v>
      </c>
      <c r="K1693" s="8">
        <v>9</v>
      </c>
    </row>
    <row r="1694" spans="1:11">
      <c r="A1694" t="s">
        <v>3632</v>
      </c>
      <c r="B1694" s="15">
        <v>45716</v>
      </c>
      <c r="C1694" s="4">
        <v>45689</v>
      </c>
      <c r="D1694" t="s">
        <v>56</v>
      </c>
      <c r="E1694" t="s">
        <v>23</v>
      </c>
      <c r="F1694" t="s">
        <v>58</v>
      </c>
      <c r="G1694" t="s">
        <v>290</v>
      </c>
      <c r="H1694" t="s">
        <v>11</v>
      </c>
      <c r="I1694" t="s">
        <v>1935</v>
      </c>
      <c r="J1694" t="s">
        <v>1954</v>
      </c>
      <c r="K1694" s="8">
        <v>24</v>
      </c>
    </row>
    <row r="1695" spans="1:11">
      <c r="A1695" t="s">
        <v>3633</v>
      </c>
      <c r="B1695" s="15">
        <v>45714</v>
      </c>
      <c r="C1695" s="4">
        <v>45689</v>
      </c>
      <c r="D1695" t="s">
        <v>56</v>
      </c>
      <c r="E1695" t="s">
        <v>23</v>
      </c>
      <c r="F1695" t="s">
        <v>58</v>
      </c>
      <c r="G1695" t="s">
        <v>284</v>
      </c>
      <c r="H1695" t="s">
        <v>14</v>
      </c>
      <c r="I1695" t="s">
        <v>1935</v>
      </c>
      <c r="J1695" t="s">
        <v>1936</v>
      </c>
      <c r="K1695" s="8">
        <v>26</v>
      </c>
    </row>
    <row r="1696" spans="1:11">
      <c r="A1696" t="s">
        <v>3634</v>
      </c>
      <c r="B1696" s="15">
        <v>45711</v>
      </c>
      <c r="C1696" s="4">
        <v>45689</v>
      </c>
      <c r="D1696" t="s">
        <v>56</v>
      </c>
      <c r="E1696" t="s">
        <v>23</v>
      </c>
      <c r="F1696" t="s">
        <v>58</v>
      </c>
      <c r="G1696" t="s">
        <v>248</v>
      </c>
      <c r="H1696" t="s">
        <v>11</v>
      </c>
      <c r="I1696" t="s">
        <v>1935</v>
      </c>
      <c r="J1696" t="s">
        <v>1936</v>
      </c>
      <c r="K1696" s="8">
        <v>16</v>
      </c>
    </row>
    <row r="1697" spans="1:11">
      <c r="A1697" t="s">
        <v>3635</v>
      </c>
      <c r="B1697" s="15">
        <v>45695</v>
      </c>
      <c r="C1697" s="4">
        <v>45689</v>
      </c>
      <c r="D1697" t="s">
        <v>59</v>
      </c>
      <c r="E1697" t="s">
        <v>25</v>
      </c>
      <c r="F1697" t="s">
        <v>61</v>
      </c>
      <c r="G1697" t="s">
        <v>374</v>
      </c>
      <c r="H1697" t="s">
        <v>8</v>
      </c>
      <c r="I1697" t="s">
        <v>1935</v>
      </c>
      <c r="J1697" t="s">
        <v>1936</v>
      </c>
      <c r="K1697" s="8">
        <v>33</v>
      </c>
    </row>
    <row r="1698" spans="1:11">
      <c r="A1698" t="s">
        <v>3636</v>
      </c>
      <c r="B1698" s="15">
        <v>45694</v>
      </c>
      <c r="C1698" s="4">
        <v>45689</v>
      </c>
      <c r="D1698" t="s">
        <v>59</v>
      </c>
      <c r="E1698" t="s">
        <v>25</v>
      </c>
      <c r="F1698" t="s">
        <v>61</v>
      </c>
      <c r="G1698" t="s">
        <v>332</v>
      </c>
      <c r="H1698" t="s">
        <v>8</v>
      </c>
      <c r="I1698" t="s">
        <v>1935</v>
      </c>
      <c r="J1698" t="s">
        <v>1954</v>
      </c>
      <c r="K1698" s="8">
        <v>9</v>
      </c>
    </row>
    <row r="1699" spans="1:11">
      <c r="A1699" t="s">
        <v>3637</v>
      </c>
      <c r="B1699" s="15">
        <v>45697</v>
      </c>
      <c r="C1699" s="4">
        <v>45689</v>
      </c>
      <c r="D1699" t="s">
        <v>59</v>
      </c>
      <c r="E1699" t="s">
        <v>25</v>
      </c>
      <c r="F1699" t="s">
        <v>61</v>
      </c>
      <c r="G1699" t="s">
        <v>374</v>
      </c>
      <c r="H1699" t="s">
        <v>8</v>
      </c>
      <c r="I1699" t="s">
        <v>1935</v>
      </c>
      <c r="J1699" t="s">
        <v>1936</v>
      </c>
      <c r="K1699" s="8">
        <v>29</v>
      </c>
    </row>
    <row r="1700" spans="1:11">
      <c r="A1700" t="s">
        <v>3638</v>
      </c>
      <c r="B1700" s="15">
        <v>45693</v>
      </c>
      <c r="C1700" s="4">
        <v>45689</v>
      </c>
      <c r="D1700" t="s">
        <v>59</v>
      </c>
      <c r="E1700" t="s">
        <v>25</v>
      </c>
      <c r="F1700" t="s">
        <v>61</v>
      </c>
      <c r="G1700" t="s">
        <v>380</v>
      </c>
      <c r="H1700" t="s">
        <v>11</v>
      </c>
      <c r="I1700" t="s">
        <v>1935</v>
      </c>
      <c r="J1700" t="s">
        <v>1938</v>
      </c>
      <c r="K1700" s="8">
        <v>20</v>
      </c>
    </row>
    <row r="1701" spans="1:11">
      <c r="A1701" t="s">
        <v>3639</v>
      </c>
      <c r="B1701" s="15">
        <v>45708</v>
      </c>
      <c r="C1701" s="4">
        <v>45689</v>
      </c>
      <c r="D1701" t="s">
        <v>59</v>
      </c>
      <c r="E1701" t="s">
        <v>25</v>
      </c>
      <c r="F1701" t="s">
        <v>61</v>
      </c>
      <c r="G1701" t="s">
        <v>332</v>
      </c>
      <c r="H1701" t="s">
        <v>8</v>
      </c>
      <c r="I1701" t="s">
        <v>1995</v>
      </c>
      <c r="J1701" t="s">
        <v>1936</v>
      </c>
      <c r="K1701" s="8">
        <v>3</v>
      </c>
    </row>
    <row r="1702" spans="1:11">
      <c r="A1702" t="s">
        <v>3640</v>
      </c>
      <c r="B1702" s="15">
        <v>45700</v>
      </c>
      <c r="C1702" s="4">
        <v>45689</v>
      </c>
      <c r="D1702" t="s">
        <v>59</v>
      </c>
      <c r="E1702" t="s">
        <v>25</v>
      </c>
      <c r="F1702" t="s">
        <v>61</v>
      </c>
      <c r="G1702" t="s">
        <v>332</v>
      </c>
      <c r="H1702" t="s">
        <v>8</v>
      </c>
      <c r="I1702" t="s">
        <v>1935</v>
      </c>
      <c r="J1702" t="s">
        <v>1938</v>
      </c>
      <c r="K1702" s="8">
        <v>27</v>
      </c>
    </row>
    <row r="1703" spans="1:11">
      <c r="A1703" t="s">
        <v>3641</v>
      </c>
      <c r="B1703" s="15">
        <v>45713</v>
      </c>
      <c r="C1703" s="4">
        <v>45689</v>
      </c>
      <c r="D1703" t="s">
        <v>59</v>
      </c>
      <c r="E1703" t="s">
        <v>25</v>
      </c>
      <c r="F1703" t="s">
        <v>61</v>
      </c>
      <c r="G1703" t="s">
        <v>314</v>
      </c>
      <c r="H1703" t="s">
        <v>14</v>
      </c>
      <c r="I1703" t="s">
        <v>1935</v>
      </c>
      <c r="J1703" t="s">
        <v>1936</v>
      </c>
      <c r="K1703" s="8">
        <v>17</v>
      </c>
    </row>
    <row r="1704" spans="1:11">
      <c r="A1704" t="s">
        <v>3642</v>
      </c>
      <c r="B1704" s="15">
        <v>45705</v>
      </c>
      <c r="C1704" s="4">
        <v>45689</v>
      </c>
      <c r="D1704" t="s">
        <v>59</v>
      </c>
      <c r="E1704" t="s">
        <v>25</v>
      </c>
      <c r="F1704" t="s">
        <v>61</v>
      </c>
      <c r="G1704" t="s">
        <v>380</v>
      </c>
      <c r="H1704" t="s">
        <v>11</v>
      </c>
      <c r="I1704" t="s">
        <v>1935</v>
      </c>
      <c r="J1704" t="s">
        <v>1936</v>
      </c>
      <c r="K1704" s="8">
        <v>20</v>
      </c>
    </row>
    <row r="1705" spans="1:11">
      <c r="A1705" t="s">
        <v>3643</v>
      </c>
      <c r="B1705" s="15">
        <v>45698</v>
      </c>
      <c r="C1705" s="4">
        <v>45689</v>
      </c>
      <c r="D1705" t="s">
        <v>59</v>
      </c>
      <c r="E1705" t="s">
        <v>25</v>
      </c>
      <c r="F1705" t="s">
        <v>61</v>
      </c>
      <c r="G1705" t="s">
        <v>374</v>
      </c>
      <c r="H1705" t="s">
        <v>8</v>
      </c>
      <c r="I1705" t="s">
        <v>1935</v>
      </c>
      <c r="J1705" t="s">
        <v>1936</v>
      </c>
      <c r="K1705" s="8">
        <v>22</v>
      </c>
    </row>
    <row r="1706" spans="1:11">
      <c r="A1706" t="s">
        <v>3644</v>
      </c>
      <c r="B1706" s="15">
        <v>45709</v>
      </c>
      <c r="C1706" s="4">
        <v>45689</v>
      </c>
      <c r="D1706" t="s">
        <v>59</v>
      </c>
      <c r="E1706" t="s">
        <v>25</v>
      </c>
      <c r="F1706" t="s">
        <v>61</v>
      </c>
      <c r="G1706" t="s">
        <v>362</v>
      </c>
      <c r="H1706" t="s">
        <v>14</v>
      </c>
      <c r="I1706" t="s">
        <v>1935</v>
      </c>
      <c r="J1706" t="s">
        <v>1936</v>
      </c>
      <c r="K1706" s="8">
        <v>11</v>
      </c>
    </row>
    <row r="1707" spans="1:11">
      <c r="A1707" t="s">
        <v>3645</v>
      </c>
      <c r="B1707" s="15">
        <v>45700</v>
      </c>
      <c r="C1707" s="4">
        <v>45689</v>
      </c>
      <c r="D1707" t="s">
        <v>59</v>
      </c>
      <c r="E1707" t="s">
        <v>25</v>
      </c>
      <c r="F1707" t="s">
        <v>61</v>
      </c>
      <c r="G1707" t="s">
        <v>320</v>
      </c>
      <c r="H1707" t="s">
        <v>11</v>
      </c>
      <c r="I1707" t="s">
        <v>1935</v>
      </c>
      <c r="J1707" t="s">
        <v>1936</v>
      </c>
      <c r="K1707" s="8">
        <v>32</v>
      </c>
    </row>
    <row r="1708" spans="1:11">
      <c r="A1708" t="s">
        <v>3646</v>
      </c>
      <c r="B1708" s="15">
        <v>45713</v>
      </c>
      <c r="C1708" s="4">
        <v>45689</v>
      </c>
      <c r="D1708" t="s">
        <v>59</v>
      </c>
      <c r="E1708" t="s">
        <v>25</v>
      </c>
      <c r="F1708" t="s">
        <v>61</v>
      </c>
      <c r="G1708" t="s">
        <v>380</v>
      </c>
      <c r="H1708" t="s">
        <v>11</v>
      </c>
      <c r="I1708" t="s">
        <v>1935</v>
      </c>
      <c r="J1708" t="s">
        <v>1936</v>
      </c>
      <c r="K1708" s="8">
        <v>8</v>
      </c>
    </row>
    <row r="1709" spans="1:11">
      <c r="A1709" t="s">
        <v>3647</v>
      </c>
      <c r="B1709" s="15">
        <v>45695</v>
      </c>
      <c r="C1709" s="4">
        <v>45689</v>
      </c>
      <c r="D1709" t="s">
        <v>59</v>
      </c>
      <c r="E1709" t="s">
        <v>25</v>
      </c>
      <c r="F1709" t="s">
        <v>61</v>
      </c>
      <c r="G1709" t="s">
        <v>314</v>
      </c>
      <c r="H1709" t="s">
        <v>14</v>
      </c>
      <c r="I1709" t="s">
        <v>1935</v>
      </c>
      <c r="J1709" t="s">
        <v>1936</v>
      </c>
      <c r="K1709" s="8">
        <v>9</v>
      </c>
    </row>
    <row r="1710" spans="1:11">
      <c r="A1710" t="s">
        <v>3648</v>
      </c>
      <c r="B1710" s="15">
        <v>45699</v>
      </c>
      <c r="C1710" s="4">
        <v>45689</v>
      </c>
      <c r="D1710" t="s">
        <v>62</v>
      </c>
      <c r="E1710" t="s">
        <v>25</v>
      </c>
      <c r="F1710" t="s">
        <v>64</v>
      </c>
      <c r="G1710" t="s">
        <v>370</v>
      </c>
      <c r="H1710" t="s">
        <v>11</v>
      </c>
      <c r="I1710" t="s">
        <v>1935</v>
      </c>
      <c r="J1710" t="s">
        <v>1938</v>
      </c>
      <c r="K1710" s="8">
        <v>35</v>
      </c>
    </row>
    <row r="1711" spans="1:11">
      <c r="A1711" t="s">
        <v>3649</v>
      </c>
      <c r="B1711" s="15">
        <v>45704</v>
      </c>
      <c r="C1711" s="4">
        <v>45689</v>
      </c>
      <c r="D1711" t="s">
        <v>62</v>
      </c>
      <c r="E1711" t="s">
        <v>25</v>
      </c>
      <c r="F1711" t="s">
        <v>64</v>
      </c>
      <c r="G1711" t="s">
        <v>364</v>
      </c>
      <c r="H1711" t="s">
        <v>14</v>
      </c>
      <c r="I1711" t="s">
        <v>1935</v>
      </c>
      <c r="J1711" t="s">
        <v>1936</v>
      </c>
      <c r="K1711" s="8">
        <v>17</v>
      </c>
    </row>
    <row r="1712" spans="1:11">
      <c r="A1712" t="s">
        <v>3650</v>
      </c>
      <c r="B1712" s="15">
        <v>45698</v>
      </c>
      <c r="C1712" s="4">
        <v>45689</v>
      </c>
      <c r="D1712" t="s">
        <v>62</v>
      </c>
      <c r="E1712" t="s">
        <v>25</v>
      </c>
      <c r="F1712" t="s">
        <v>64</v>
      </c>
      <c r="G1712" t="s">
        <v>340</v>
      </c>
      <c r="H1712" t="s">
        <v>8</v>
      </c>
      <c r="I1712" t="s">
        <v>1935</v>
      </c>
      <c r="J1712" t="s">
        <v>1954</v>
      </c>
      <c r="K1712" s="8">
        <v>12</v>
      </c>
    </row>
    <row r="1713" spans="1:11">
      <c r="A1713" t="s">
        <v>3651</v>
      </c>
      <c r="B1713" s="15">
        <v>45695</v>
      </c>
      <c r="C1713" s="4">
        <v>45689</v>
      </c>
      <c r="D1713" t="s">
        <v>62</v>
      </c>
      <c r="E1713" t="s">
        <v>25</v>
      </c>
      <c r="F1713" t="s">
        <v>64</v>
      </c>
      <c r="G1713" t="s">
        <v>370</v>
      </c>
      <c r="H1713" t="s">
        <v>5</v>
      </c>
      <c r="I1713" t="s">
        <v>1935</v>
      </c>
      <c r="J1713" t="s">
        <v>1936</v>
      </c>
      <c r="K1713" s="8">
        <v>8</v>
      </c>
    </row>
    <row r="1714" spans="1:11">
      <c r="A1714" t="s">
        <v>3652</v>
      </c>
      <c r="B1714" s="15">
        <v>45692</v>
      </c>
      <c r="C1714" s="4">
        <v>45689</v>
      </c>
      <c r="D1714" t="s">
        <v>62</v>
      </c>
      <c r="E1714" t="s">
        <v>25</v>
      </c>
      <c r="F1714" t="s">
        <v>64</v>
      </c>
      <c r="G1714" t="s">
        <v>334</v>
      </c>
      <c r="H1714" t="s">
        <v>11</v>
      </c>
      <c r="I1714" t="s">
        <v>1935</v>
      </c>
      <c r="J1714" t="s">
        <v>1936</v>
      </c>
      <c r="K1714" s="8">
        <v>23</v>
      </c>
    </row>
    <row r="1715" spans="1:11">
      <c r="A1715" t="s">
        <v>3653</v>
      </c>
      <c r="B1715" s="15">
        <v>45698</v>
      </c>
      <c r="C1715" s="4">
        <v>45689</v>
      </c>
      <c r="D1715" t="s">
        <v>62</v>
      </c>
      <c r="E1715" t="s">
        <v>25</v>
      </c>
      <c r="F1715" t="s">
        <v>64</v>
      </c>
      <c r="G1715" t="s">
        <v>358</v>
      </c>
      <c r="H1715" t="s">
        <v>8</v>
      </c>
      <c r="I1715" t="s">
        <v>1935</v>
      </c>
      <c r="J1715" t="s">
        <v>1936</v>
      </c>
      <c r="K1715" s="8">
        <v>34</v>
      </c>
    </row>
    <row r="1716" spans="1:11">
      <c r="A1716" t="s">
        <v>3654</v>
      </c>
      <c r="B1716" s="15">
        <v>45698</v>
      </c>
      <c r="C1716" s="4">
        <v>45689</v>
      </c>
      <c r="D1716" t="s">
        <v>62</v>
      </c>
      <c r="E1716" t="s">
        <v>25</v>
      </c>
      <c r="F1716" t="s">
        <v>64</v>
      </c>
      <c r="G1716" t="s">
        <v>316</v>
      </c>
      <c r="H1716" t="s">
        <v>11</v>
      </c>
      <c r="I1716" t="s">
        <v>1935</v>
      </c>
      <c r="J1716" t="s">
        <v>1936</v>
      </c>
      <c r="K1716" s="8">
        <v>25</v>
      </c>
    </row>
    <row r="1717" spans="1:11">
      <c r="A1717" t="s">
        <v>3655</v>
      </c>
      <c r="B1717" s="15">
        <v>45689</v>
      </c>
      <c r="C1717" s="4">
        <v>45689</v>
      </c>
      <c r="D1717" t="s">
        <v>62</v>
      </c>
      <c r="E1717" t="s">
        <v>25</v>
      </c>
      <c r="F1717" t="s">
        <v>64</v>
      </c>
      <c r="G1717" t="s">
        <v>352</v>
      </c>
      <c r="H1717" t="s">
        <v>5</v>
      </c>
      <c r="I1717" t="s">
        <v>1935</v>
      </c>
      <c r="J1717" t="s">
        <v>1936</v>
      </c>
      <c r="K1717" s="8">
        <v>33</v>
      </c>
    </row>
    <row r="1718" spans="1:11">
      <c r="A1718" t="s">
        <v>3656</v>
      </c>
      <c r="B1718" s="15">
        <v>45712</v>
      </c>
      <c r="C1718" s="4">
        <v>45689</v>
      </c>
      <c r="D1718" t="s">
        <v>62</v>
      </c>
      <c r="E1718" t="s">
        <v>25</v>
      </c>
      <c r="F1718" t="s">
        <v>64</v>
      </c>
      <c r="G1718" t="s">
        <v>358</v>
      </c>
      <c r="H1718" t="s">
        <v>8</v>
      </c>
      <c r="I1718" t="s">
        <v>1935</v>
      </c>
      <c r="J1718" t="s">
        <v>1936</v>
      </c>
      <c r="K1718" s="8">
        <v>19</v>
      </c>
    </row>
    <row r="1719" spans="1:11">
      <c r="A1719" t="s">
        <v>3657</v>
      </c>
      <c r="B1719" s="15">
        <v>45702</v>
      </c>
      <c r="C1719" s="4">
        <v>45689</v>
      </c>
      <c r="D1719" t="s">
        <v>62</v>
      </c>
      <c r="E1719" t="s">
        <v>25</v>
      </c>
      <c r="F1719" t="s">
        <v>64</v>
      </c>
      <c r="G1719" t="s">
        <v>340</v>
      </c>
      <c r="H1719" t="s">
        <v>8</v>
      </c>
      <c r="I1719" t="s">
        <v>1935</v>
      </c>
      <c r="J1719" t="s">
        <v>1936</v>
      </c>
      <c r="K1719" s="8">
        <v>8</v>
      </c>
    </row>
    <row r="1720" spans="1:11">
      <c r="A1720" t="s">
        <v>3658</v>
      </c>
      <c r="B1720" s="15">
        <v>45693</v>
      </c>
      <c r="C1720" s="4">
        <v>45689</v>
      </c>
      <c r="D1720" t="s">
        <v>62</v>
      </c>
      <c r="E1720" t="s">
        <v>25</v>
      </c>
      <c r="F1720" t="s">
        <v>64</v>
      </c>
      <c r="G1720" t="s">
        <v>340</v>
      </c>
      <c r="H1720" t="s">
        <v>8</v>
      </c>
      <c r="I1720" t="s">
        <v>1935</v>
      </c>
      <c r="J1720" t="s">
        <v>1936</v>
      </c>
      <c r="K1720" s="8">
        <v>28</v>
      </c>
    </row>
    <row r="1721" spans="1:11">
      <c r="A1721" t="s">
        <v>3659</v>
      </c>
      <c r="B1721" s="15">
        <v>45691</v>
      </c>
      <c r="C1721" s="4">
        <v>45689</v>
      </c>
      <c r="D1721" t="s">
        <v>65</v>
      </c>
      <c r="E1721" t="s">
        <v>25</v>
      </c>
      <c r="F1721" t="s">
        <v>67</v>
      </c>
      <c r="G1721" t="s">
        <v>372</v>
      </c>
      <c r="H1721" t="s">
        <v>5</v>
      </c>
      <c r="I1721" t="s">
        <v>1935</v>
      </c>
      <c r="J1721" t="s">
        <v>1936</v>
      </c>
      <c r="K1721" s="8">
        <v>8</v>
      </c>
    </row>
    <row r="1722" spans="1:11">
      <c r="A1722" t="s">
        <v>3660</v>
      </c>
      <c r="B1722" s="15">
        <v>45710</v>
      </c>
      <c r="C1722" s="4">
        <v>45689</v>
      </c>
      <c r="D1722" t="s">
        <v>65</v>
      </c>
      <c r="E1722" t="s">
        <v>25</v>
      </c>
      <c r="F1722" t="s">
        <v>67</v>
      </c>
      <c r="G1722" t="s">
        <v>348</v>
      </c>
      <c r="H1722" t="s">
        <v>11</v>
      </c>
      <c r="I1722" t="s">
        <v>1935</v>
      </c>
      <c r="J1722" t="s">
        <v>1936</v>
      </c>
      <c r="K1722" s="8">
        <v>35</v>
      </c>
    </row>
    <row r="1723" spans="1:11">
      <c r="A1723" t="s">
        <v>3661</v>
      </c>
      <c r="B1723" s="15">
        <v>45692</v>
      </c>
      <c r="C1723" s="4">
        <v>45689</v>
      </c>
      <c r="D1723" t="s">
        <v>65</v>
      </c>
      <c r="E1723" t="s">
        <v>25</v>
      </c>
      <c r="F1723" t="s">
        <v>67</v>
      </c>
      <c r="G1723" t="s">
        <v>342</v>
      </c>
      <c r="H1723" t="s">
        <v>14</v>
      </c>
      <c r="I1723" t="s">
        <v>1935</v>
      </c>
      <c r="J1723" t="s">
        <v>1936</v>
      </c>
      <c r="K1723" s="8">
        <v>14</v>
      </c>
    </row>
    <row r="1724" spans="1:11">
      <c r="A1724" t="s">
        <v>3662</v>
      </c>
      <c r="B1724" s="15">
        <v>45705</v>
      </c>
      <c r="C1724" s="4">
        <v>45689</v>
      </c>
      <c r="D1724" t="s">
        <v>65</v>
      </c>
      <c r="E1724" t="s">
        <v>25</v>
      </c>
      <c r="F1724" t="s">
        <v>67</v>
      </c>
      <c r="G1724" t="s">
        <v>354</v>
      </c>
      <c r="H1724" t="s">
        <v>11</v>
      </c>
      <c r="I1724" t="s">
        <v>1935</v>
      </c>
      <c r="J1724" t="s">
        <v>1938</v>
      </c>
      <c r="K1724" s="8">
        <v>31</v>
      </c>
    </row>
    <row r="1725" spans="1:11">
      <c r="A1725" t="s">
        <v>3663</v>
      </c>
      <c r="B1725" s="15">
        <v>45689</v>
      </c>
      <c r="C1725" s="4">
        <v>45689</v>
      </c>
      <c r="D1725" t="s">
        <v>65</v>
      </c>
      <c r="E1725" t="s">
        <v>25</v>
      </c>
      <c r="F1725" t="s">
        <v>67</v>
      </c>
      <c r="G1725" t="s">
        <v>318</v>
      </c>
      <c r="H1725" t="s">
        <v>14</v>
      </c>
      <c r="I1725" t="s">
        <v>1935</v>
      </c>
      <c r="J1725" t="s">
        <v>1936</v>
      </c>
      <c r="K1725" s="8">
        <v>32</v>
      </c>
    </row>
    <row r="1726" spans="1:11">
      <c r="A1726" t="s">
        <v>3664</v>
      </c>
      <c r="B1726" s="15">
        <v>45708</v>
      </c>
      <c r="C1726" s="4">
        <v>45689</v>
      </c>
      <c r="D1726" t="s">
        <v>65</v>
      </c>
      <c r="E1726" t="s">
        <v>25</v>
      </c>
      <c r="F1726" t="s">
        <v>67</v>
      </c>
      <c r="G1726" t="s">
        <v>342</v>
      </c>
      <c r="H1726" t="s">
        <v>11</v>
      </c>
      <c r="I1726" t="s">
        <v>1935</v>
      </c>
      <c r="J1726" t="s">
        <v>1936</v>
      </c>
      <c r="K1726" s="8">
        <v>18</v>
      </c>
    </row>
    <row r="1727" spans="1:11">
      <c r="A1727" t="s">
        <v>3665</v>
      </c>
      <c r="B1727" s="15">
        <v>45703</v>
      </c>
      <c r="C1727" s="4">
        <v>45689</v>
      </c>
      <c r="D1727" t="s">
        <v>65</v>
      </c>
      <c r="E1727" t="s">
        <v>25</v>
      </c>
      <c r="F1727" t="s">
        <v>67</v>
      </c>
      <c r="G1727" t="s">
        <v>342</v>
      </c>
      <c r="H1727" t="s">
        <v>8</v>
      </c>
      <c r="I1727" t="s">
        <v>1942</v>
      </c>
      <c r="J1727" t="s">
        <v>1936</v>
      </c>
      <c r="K1727" s="8">
        <v>3</v>
      </c>
    </row>
    <row r="1728" spans="1:11">
      <c r="A1728" t="s">
        <v>3666</v>
      </c>
      <c r="B1728" s="15">
        <v>45709</v>
      </c>
      <c r="C1728" s="4">
        <v>45689</v>
      </c>
      <c r="D1728" t="s">
        <v>65</v>
      </c>
      <c r="E1728" t="s">
        <v>25</v>
      </c>
      <c r="F1728" t="s">
        <v>67</v>
      </c>
      <c r="G1728" t="s">
        <v>318</v>
      </c>
      <c r="H1728" t="s">
        <v>14</v>
      </c>
      <c r="I1728" t="s">
        <v>1935</v>
      </c>
      <c r="J1728" t="s">
        <v>1936</v>
      </c>
      <c r="K1728" s="8">
        <v>30</v>
      </c>
    </row>
    <row r="1729" spans="1:11">
      <c r="A1729" t="s">
        <v>3667</v>
      </c>
      <c r="B1729" s="15">
        <v>45693</v>
      </c>
      <c r="C1729" s="4">
        <v>45689</v>
      </c>
      <c r="D1729" t="s">
        <v>65</v>
      </c>
      <c r="E1729" t="s">
        <v>25</v>
      </c>
      <c r="F1729" t="s">
        <v>67</v>
      </c>
      <c r="G1729" t="s">
        <v>318</v>
      </c>
      <c r="H1729" t="s">
        <v>14</v>
      </c>
      <c r="I1729" t="s">
        <v>1935</v>
      </c>
      <c r="J1729" t="s">
        <v>1936</v>
      </c>
      <c r="K1729" s="8">
        <v>32</v>
      </c>
    </row>
    <row r="1730" spans="1:11">
      <c r="A1730" t="s">
        <v>3668</v>
      </c>
      <c r="B1730" s="15">
        <v>45701</v>
      </c>
      <c r="C1730" s="4">
        <v>45689</v>
      </c>
      <c r="D1730" t="s">
        <v>65</v>
      </c>
      <c r="E1730" t="s">
        <v>25</v>
      </c>
      <c r="F1730" t="s">
        <v>67</v>
      </c>
      <c r="G1730" t="s">
        <v>318</v>
      </c>
      <c r="H1730" t="s">
        <v>14</v>
      </c>
      <c r="I1730" t="s">
        <v>1935</v>
      </c>
      <c r="J1730" t="s">
        <v>1936</v>
      </c>
      <c r="K1730" s="8">
        <v>35</v>
      </c>
    </row>
    <row r="1731" spans="1:11">
      <c r="A1731" t="s">
        <v>3669</v>
      </c>
      <c r="B1731" s="15">
        <v>45705</v>
      </c>
      <c r="C1731" s="4">
        <v>45689</v>
      </c>
      <c r="D1731" t="s">
        <v>65</v>
      </c>
      <c r="E1731" t="s">
        <v>25</v>
      </c>
      <c r="F1731" t="s">
        <v>67</v>
      </c>
      <c r="G1731" t="s">
        <v>318</v>
      </c>
      <c r="H1731" t="s">
        <v>14</v>
      </c>
      <c r="I1731" t="s">
        <v>1935</v>
      </c>
      <c r="J1731" t="s">
        <v>1938</v>
      </c>
      <c r="K1731" s="8">
        <v>14</v>
      </c>
    </row>
    <row r="1732" spans="1:11">
      <c r="A1732" t="s">
        <v>3670</v>
      </c>
      <c r="B1732" s="15">
        <v>45702</v>
      </c>
      <c r="C1732" s="4">
        <v>45689</v>
      </c>
      <c r="D1732" t="s">
        <v>65</v>
      </c>
      <c r="E1732" t="s">
        <v>25</v>
      </c>
      <c r="F1732" t="s">
        <v>67</v>
      </c>
      <c r="G1732" t="s">
        <v>318</v>
      </c>
      <c r="H1732" t="s">
        <v>14</v>
      </c>
      <c r="I1732" t="s">
        <v>1935</v>
      </c>
      <c r="J1732" t="s">
        <v>1936</v>
      </c>
      <c r="K1732" s="8">
        <v>24</v>
      </c>
    </row>
    <row r="1733" spans="1:11">
      <c r="A1733" t="s">
        <v>3671</v>
      </c>
      <c r="B1733" s="15">
        <v>45746</v>
      </c>
      <c r="C1733" s="4">
        <v>45717</v>
      </c>
      <c r="D1733" t="s">
        <v>32</v>
      </c>
      <c r="E1733" t="s">
        <v>19</v>
      </c>
      <c r="F1733" t="s">
        <v>34</v>
      </c>
      <c r="G1733" t="s">
        <v>75</v>
      </c>
      <c r="H1733" t="s">
        <v>5</v>
      </c>
      <c r="I1733" t="s">
        <v>1935</v>
      </c>
      <c r="J1733" t="s">
        <v>1936</v>
      </c>
      <c r="K1733" s="8">
        <v>15</v>
      </c>
    </row>
    <row r="1734" spans="1:11">
      <c r="A1734" t="s">
        <v>3672</v>
      </c>
      <c r="B1734" s="15">
        <v>45736</v>
      </c>
      <c r="C1734" s="4">
        <v>45717</v>
      </c>
      <c r="D1734" t="s">
        <v>32</v>
      </c>
      <c r="E1734" t="s">
        <v>19</v>
      </c>
      <c r="F1734" t="s">
        <v>34</v>
      </c>
      <c r="G1734" t="s">
        <v>118</v>
      </c>
      <c r="H1734" t="s">
        <v>5</v>
      </c>
      <c r="I1734" t="s">
        <v>1935</v>
      </c>
      <c r="J1734" t="s">
        <v>1936</v>
      </c>
      <c r="K1734" s="8">
        <v>21</v>
      </c>
    </row>
    <row r="1735" spans="1:11">
      <c r="A1735" t="s">
        <v>3673</v>
      </c>
      <c r="B1735" s="15">
        <v>45731</v>
      </c>
      <c r="C1735" s="4">
        <v>45717</v>
      </c>
      <c r="D1735" t="s">
        <v>32</v>
      </c>
      <c r="E1735" t="s">
        <v>19</v>
      </c>
      <c r="F1735" t="s">
        <v>34</v>
      </c>
      <c r="G1735" t="s">
        <v>130</v>
      </c>
      <c r="H1735" t="s">
        <v>14</v>
      </c>
      <c r="I1735" t="s">
        <v>1935</v>
      </c>
      <c r="J1735" t="s">
        <v>1936</v>
      </c>
      <c r="K1735" s="8">
        <v>10</v>
      </c>
    </row>
    <row r="1736" spans="1:11">
      <c r="A1736" t="s">
        <v>3674</v>
      </c>
      <c r="B1736" s="15">
        <v>45721</v>
      </c>
      <c r="C1736" s="4">
        <v>45717</v>
      </c>
      <c r="D1736" t="s">
        <v>32</v>
      </c>
      <c r="E1736" t="s">
        <v>19</v>
      </c>
      <c r="F1736" t="s">
        <v>34</v>
      </c>
      <c r="G1736" t="s">
        <v>118</v>
      </c>
      <c r="H1736" t="s">
        <v>8</v>
      </c>
      <c r="I1736" t="s">
        <v>1935</v>
      </c>
      <c r="J1736" t="s">
        <v>1936</v>
      </c>
      <c r="K1736" s="8">
        <v>15</v>
      </c>
    </row>
    <row r="1737" spans="1:11">
      <c r="A1737" t="s">
        <v>3675</v>
      </c>
      <c r="B1737" s="15">
        <v>45739</v>
      </c>
      <c r="C1737" s="4">
        <v>45717</v>
      </c>
      <c r="D1737" t="s">
        <v>32</v>
      </c>
      <c r="E1737" t="s">
        <v>19</v>
      </c>
      <c r="F1737" t="s">
        <v>34</v>
      </c>
      <c r="G1737" t="s">
        <v>130</v>
      </c>
      <c r="H1737" t="s">
        <v>14</v>
      </c>
      <c r="I1737" t="s">
        <v>1935</v>
      </c>
      <c r="J1737" t="s">
        <v>1936</v>
      </c>
      <c r="K1737" s="8">
        <v>30</v>
      </c>
    </row>
    <row r="1738" spans="1:11">
      <c r="A1738" t="s">
        <v>3676</v>
      </c>
      <c r="B1738" s="15">
        <v>45730</v>
      </c>
      <c r="C1738" s="4">
        <v>45717</v>
      </c>
      <c r="D1738" t="s">
        <v>32</v>
      </c>
      <c r="E1738" t="s">
        <v>19</v>
      </c>
      <c r="F1738" t="s">
        <v>34</v>
      </c>
      <c r="G1738" t="s">
        <v>99</v>
      </c>
      <c r="H1738" t="s">
        <v>5</v>
      </c>
      <c r="I1738" t="s">
        <v>1935</v>
      </c>
      <c r="J1738" t="s">
        <v>1936</v>
      </c>
      <c r="K1738" s="8">
        <v>9</v>
      </c>
    </row>
    <row r="1739" spans="1:11">
      <c r="A1739" t="s">
        <v>3677</v>
      </c>
      <c r="B1739" s="15">
        <v>45719</v>
      </c>
      <c r="C1739" s="4">
        <v>45717</v>
      </c>
      <c r="D1739" t="s">
        <v>32</v>
      </c>
      <c r="E1739" t="s">
        <v>19</v>
      </c>
      <c r="F1739" t="s">
        <v>34</v>
      </c>
      <c r="G1739" t="s">
        <v>142</v>
      </c>
      <c r="H1739" t="s">
        <v>8</v>
      </c>
      <c r="I1739" t="s">
        <v>1935</v>
      </c>
      <c r="J1739" t="s">
        <v>1936</v>
      </c>
      <c r="K1739" s="8">
        <v>25</v>
      </c>
    </row>
    <row r="1740" spans="1:11">
      <c r="A1740" t="s">
        <v>3678</v>
      </c>
      <c r="B1740" s="15">
        <v>45747</v>
      </c>
      <c r="C1740" s="4">
        <v>45717</v>
      </c>
      <c r="D1740" t="s">
        <v>32</v>
      </c>
      <c r="E1740" t="s">
        <v>19</v>
      </c>
      <c r="F1740" t="s">
        <v>34</v>
      </c>
      <c r="G1740" t="s">
        <v>99</v>
      </c>
      <c r="H1740" t="s">
        <v>14</v>
      </c>
      <c r="I1740" t="s">
        <v>1935</v>
      </c>
      <c r="J1740" t="s">
        <v>1936</v>
      </c>
      <c r="K1740" s="8">
        <v>12</v>
      </c>
    </row>
    <row r="1741" spans="1:11">
      <c r="A1741" t="s">
        <v>3679</v>
      </c>
      <c r="B1741" s="15">
        <v>45730</v>
      </c>
      <c r="C1741" s="4">
        <v>45717</v>
      </c>
      <c r="D1741" t="s">
        <v>32</v>
      </c>
      <c r="E1741" t="s">
        <v>19</v>
      </c>
      <c r="F1741" t="s">
        <v>34</v>
      </c>
      <c r="G1741" t="s">
        <v>148</v>
      </c>
      <c r="H1741" t="s">
        <v>5</v>
      </c>
      <c r="I1741" t="s">
        <v>1935</v>
      </c>
      <c r="J1741" t="s">
        <v>1954</v>
      </c>
      <c r="K1741" s="8">
        <v>18</v>
      </c>
    </row>
    <row r="1742" spans="1:11">
      <c r="A1742" t="s">
        <v>3680</v>
      </c>
      <c r="B1742" s="15">
        <v>45733</v>
      </c>
      <c r="C1742" s="4">
        <v>45717</v>
      </c>
      <c r="D1742" t="s">
        <v>32</v>
      </c>
      <c r="E1742" t="s">
        <v>19</v>
      </c>
      <c r="F1742" t="s">
        <v>34</v>
      </c>
      <c r="G1742" t="s">
        <v>92</v>
      </c>
      <c r="H1742" t="s">
        <v>8</v>
      </c>
      <c r="I1742" t="s">
        <v>1935</v>
      </c>
      <c r="J1742" t="s">
        <v>1954</v>
      </c>
      <c r="K1742" s="8">
        <v>9</v>
      </c>
    </row>
    <row r="1743" spans="1:11">
      <c r="A1743" t="s">
        <v>3681</v>
      </c>
      <c r="B1743" s="15">
        <v>45738</v>
      </c>
      <c r="C1743" s="4">
        <v>45717</v>
      </c>
      <c r="D1743" t="s">
        <v>32</v>
      </c>
      <c r="E1743" t="s">
        <v>19</v>
      </c>
      <c r="F1743" t="s">
        <v>34</v>
      </c>
      <c r="G1743" t="s">
        <v>75</v>
      </c>
      <c r="H1743" t="s">
        <v>5</v>
      </c>
      <c r="I1743" t="s">
        <v>1935</v>
      </c>
      <c r="J1743" t="s">
        <v>1936</v>
      </c>
      <c r="K1743" s="8">
        <v>23</v>
      </c>
    </row>
    <row r="1744" spans="1:11">
      <c r="A1744" t="s">
        <v>3682</v>
      </c>
      <c r="B1744" s="15">
        <v>45722</v>
      </c>
      <c r="C1744" s="4">
        <v>45717</v>
      </c>
      <c r="D1744" t="s">
        <v>35</v>
      </c>
      <c r="E1744" t="s">
        <v>19</v>
      </c>
      <c r="F1744" t="s">
        <v>37</v>
      </c>
      <c r="G1744" t="s">
        <v>94</v>
      </c>
      <c r="H1744" t="s">
        <v>11</v>
      </c>
      <c r="I1744" t="s">
        <v>1935</v>
      </c>
      <c r="J1744" t="s">
        <v>1936</v>
      </c>
      <c r="K1744" s="8">
        <v>20</v>
      </c>
    </row>
    <row r="1745" spans="1:11">
      <c r="A1745" t="s">
        <v>3683</v>
      </c>
      <c r="B1745" s="15">
        <v>45742</v>
      </c>
      <c r="C1745" s="4">
        <v>45717</v>
      </c>
      <c r="D1745" t="s">
        <v>35</v>
      </c>
      <c r="E1745" t="s">
        <v>19</v>
      </c>
      <c r="F1745" t="s">
        <v>37</v>
      </c>
      <c r="G1745" t="s">
        <v>88</v>
      </c>
      <c r="H1745" t="s">
        <v>8</v>
      </c>
      <c r="I1745" t="s">
        <v>1935</v>
      </c>
      <c r="J1745" t="s">
        <v>1936</v>
      </c>
      <c r="K1745" s="8">
        <v>27</v>
      </c>
    </row>
    <row r="1746" spans="1:11">
      <c r="A1746" t="s">
        <v>3684</v>
      </c>
      <c r="B1746" s="15">
        <v>45729</v>
      </c>
      <c r="C1746" s="4">
        <v>45717</v>
      </c>
      <c r="D1746" t="s">
        <v>35</v>
      </c>
      <c r="E1746" t="s">
        <v>19</v>
      </c>
      <c r="F1746" t="s">
        <v>37</v>
      </c>
      <c r="G1746" t="s">
        <v>88</v>
      </c>
      <c r="H1746" t="s">
        <v>8</v>
      </c>
      <c r="I1746" t="s">
        <v>1935</v>
      </c>
      <c r="J1746" t="s">
        <v>1936</v>
      </c>
      <c r="K1746" s="8">
        <v>12</v>
      </c>
    </row>
    <row r="1747" spans="1:11">
      <c r="A1747" t="s">
        <v>3685</v>
      </c>
      <c r="B1747" s="15">
        <v>45738</v>
      </c>
      <c r="C1747" s="4">
        <v>45717</v>
      </c>
      <c r="D1747" t="s">
        <v>35</v>
      </c>
      <c r="E1747" t="s">
        <v>19</v>
      </c>
      <c r="F1747" t="s">
        <v>37</v>
      </c>
      <c r="G1747" t="s">
        <v>78</v>
      </c>
      <c r="H1747" t="s">
        <v>8</v>
      </c>
      <c r="I1747" t="s">
        <v>1942</v>
      </c>
      <c r="J1747" t="s">
        <v>1936</v>
      </c>
      <c r="K1747" s="8">
        <v>6</v>
      </c>
    </row>
    <row r="1748" spans="1:11">
      <c r="A1748" t="s">
        <v>3686</v>
      </c>
      <c r="B1748" s="15">
        <v>45722</v>
      </c>
      <c r="C1748" s="4">
        <v>45717</v>
      </c>
      <c r="D1748" t="s">
        <v>35</v>
      </c>
      <c r="E1748" t="s">
        <v>19</v>
      </c>
      <c r="F1748" t="s">
        <v>37</v>
      </c>
      <c r="G1748" t="s">
        <v>78</v>
      </c>
      <c r="H1748" t="s">
        <v>8</v>
      </c>
      <c r="I1748" t="s">
        <v>1935</v>
      </c>
      <c r="J1748" t="s">
        <v>1936</v>
      </c>
      <c r="K1748" s="8">
        <v>12</v>
      </c>
    </row>
    <row r="1749" spans="1:11">
      <c r="A1749" t="s">
        <v>3687</v>
      </c>
      <c r="B1749" s="15">
        <v>45729</v>
      </c>
      <c r="C1749" s="4">
        <v>45717</v>
      </c>
      <c r="D1749" t="s">
        <v>35</v>
      </c>
      <c r="E1749" t="s">
        <v>19</v>
      </c>
      <c r="F1749" t="s">
        <v>37</v>
      </c>
      <c r="G1749" t="s">
        <v>78</v>
      </c>
      <c r="H1749" t="s">
        <v>8</v>
      </c>
      <c r="I1749" t="s">
        <v>1935</v>
      </c>
      <c r="J1749" t="s">
        <v>1936</v>
      </c>
      <c r="K1749" s="8">
        <v>8</v>
      </c>
    </row>
    <row r="1750" spans="1:11">
      <c r="A1750" t="s">
        <v>3688</v>
      </c>
      <c r="B1750" s="15">
        <v>45738</v>
      </c>
      <c r="C1750" s="4">
        <v>45717</v>
      </c>
      <c r="D1750" t="s">
        <v>35</v>
      </c>
      <c r="E1750" t="s">
        <v>19</v>
      </c>
      <c r="F1750" t="s">
        <v>37</v>
      </c>
      <c r="G1750" t="s">
        <v>107</v>
      </c>
      <c r="H1750" t="s">
        <v>8</v>
      </c>
      <c r="I1750" t="s">
        <v>1935</v>
      </c>
      <c r="J1750" t="s">
        <v>1936</v>
      </c>
      <c r="K1750" s="8">
        <v>31</v>
      </c>
    </row>
    <row r="1751" spans="1:11">
      <c r="A1751" t="s">
        <v>3689</v>
      </c>
      <c r="B1751" s="15">
        <v>45732</v>
      </c>
      <c r="C1751" s="4">
        <v>45717</v>
      </c>
      <c r="D1751" t="s">
        <v>35</v>
      </c>
      <c r="E1751" t="s">
        <v>19</v>
      </c>
      <c r="F1751" t="s">
        <v>37</v>
      </c>
      <c r="G1751" t="s">
        <v>107</v>
      </c>
      <c r="H1751" t="s">
        <v>8</v>
      </c>
      <c r="I1751" t="s">
        <v>1935</v>
      </c>
      <c r="J1751" t="s">
        <v>1936</v>
      </c>
      <c r="K1751" s="8">
        <v>11</v>
      </c>
    </row>
    <row r="1752" spans="1:11">
      <c r="A1752" t="s">
        <v>3690</v>
      </c>
      <c r="B1752" s="15">
        <v>45718</v>
      </c>
      <c r="C1752" s="4">
        <v>45717</v>
      </c>
      <c r="D1752" t="s">
        <v>35</v>
      </c>
      <c r="E1752" t="s">
        <v>19</v>
      </c>
      <c r="F1752" t="s">
        <v>37</v>
      </c>
      <c r="G1752" t="s">
        <v>78</v>
      </c>
      <c r="H1752" t="s">
        <v>8</v>
      </c>
      <c r="I1752" t="s">
        <v>1935</v>
      </c>
      <c r="J1752" t="s">
        <v>1936</v>
      </c>
      <c r="K1752" s="8">
        <v>21</v>
      </c>
    </row>
    <row r="1753" spans="1:11">
      <c r="A1753" t="s">
        <v>3691</v>
      </c>
      <c r="B1753" s="15">
        <v>45717</v>
      </c>
      <c r="C1753" s="4">
        <v>45717</v>
      </c>
      <c r="D1753" t="s">
        <v>35</v>
      </c>
      <c r="E1753" t="s">
        <v>19</v>
      </c>
      <c r="F1753" t="s">
        <v>37</v>
      </c>
      <c r="G1753" t="s">
        <v>101</v>
      </c>
      <c r="H1753" t="s">
        <v>11</v>
      </c>
      <c r="I1753" t="s">
        <v>1935</v>
      </c>
      <c r="J1753" t="s">
        <v>1936</v>
      </c>
      <c r="K1753" s="8">
        <v>20</v>
      </c>
    </row>
    <row r="1754" spans="1:11">
      <c r="A1754" t="s">
        <v>3692</v>
      </c>
      <c r="B1754" s="15">
        <v>45745</v>
      </c>
      <c r="C1754" s="4">
        <v>45717</v>
      </c>
      <c r="D1754" t="s">
        <v>35</v>
      </c>
      <c r="E1754" t="s">
        <v>19</v>
      </c>
      <c r="F1754" t="s">
        <v>37</v>
      </c>
      <c r="G1754" t="s">
        <v>78</v>
      </c>
      <c r="H1754" t="s">
        <v>8</v>
      </c>
      <c r="I1754" t="s">
        <v>1935</v>
      </c>
      <c r="J1754" t="s">
        <v>1936</v>
      </c>
      <c r="K1754" s="8">
        <v>12</v>
      </c>
    </row>
    <row r="1755" spans="1:11">
      <c r="A1755" t="s">
        <v>3693</v>
      </c>
      <c r="B1755" s="15">
        <v>45734</v>
      </c>
      <c r="C1755" s="4">
        <v>45717</v>
      </c>
      <c r="D1755" t="s">
        <v>38</v>
      </c>
      <c r="E1755" t="s">
        <v>19</v>
      </c>
      <c r="F1755" t="s">
        <v>40</v>
      </c>
      <c r="G1755" t="s">
        <v>82</v>
      </c>
      <c r="H1755" t="s">
        <v>11</v>
      </c>
      <c r="I1755" t="s">
        <v>1935</v>
      </c>
      <c r="J1755" t="s">
        <v>1936</v>
      </c>
      <c r="K1755" s="8">
        <v>11</v>
      </c>
    </row>
    <row r="1756" spans="1:11">
      <c r="A1756" t="s">
        <v>3694</v>
      </c>
      <c r="B1756" s="15">
        <v>45724</v>
      </c>
      <c r="C1756" s="4">
        <v>45717</v>
      </c>
      <c r="D1756" t="s">
        <v>38</v>
      </c>
      <c r="E1756" t="s">
        <v>19</v>
      </c>
      <c r="F1756" t="s">
        <v>40</v>
      </c>
      <c r="G1756" t="s">
        <v>140</v>
      </c>
      <c r="H1756" t="s">
        <v>5</v>
      </c>
      <c r="I1756" t="s">
        <v>1935</v>
      </c>
      <c r="J1756" t="s">
        <v>1936</v>
      </c>
      <c r="K1756" s="8">
        <v>25</v>
      </c>
    </row>
    <row r="1757" spans="1:11">
      <c r="A1757" t="s">
        <v>3695</v>
      </c>
      <c r="B1757" s="15">
        <v>45739</v>
      </c>
      <c r="C1757" s="4">
        <v>45717</v>
      </c>
      <c r="D1757" t="s">
        <v>38</v>
      </c>
      <c r="E1757" t="s">
        <v>19</v>
      </c>
      <c r="F1757" t="s">
        <v>40</v>
      </c>
      <c r="G1757" t="s">
        <v>146</v>
      </c>
      <c r="H1757" t="s">
        <v>11</v>
      </c>
      <c r="I1757" t="s">
        <v>1935</v>
      </c>
      <c r="J1757" t="s">
        <v>1954</v>
      </c>
      <c r="K1757" s="8">
        <v>35</v>
      </c>
    </row>
    <row r="1758" spans="1:11">
      <c r="A1758" t="s">
        <v>3696</v>
      </c>
      <c r="B1758" s="15">
        <v>45745</v>
      </c>
      <c r="C1758" s="4">
        <v>45717</v>
      </c>
      <c r="D1758" t="s">
        <v>38</v>
      </c>
      <c r="E1758" t="s">
        <v>19</v>
      </c>
      <c r="F1758" t="s">
        <v>40</v>
      </c>
      <c r="G1758" t="s">
        <v>90</v>
      </c>
      <c r="H1758" t="s">
        <v>5</v>
      </c>
      <c r="I1758" t="s">
        <v>1935</v>
      </c>
      <c r="J1758" t="s">
        <v>1936</v>
      </c>
      <c r="K1758" s="8">
        <v>35</v>
      </c>
    </row>
    <row r="1759" spans="1:11">
      <c r="A1759" t="s">
        <v>3697</v>
      </c>
      <c r="B1759" s="15">
        <v>45718</v>
      </c>
      <c r="C1759" s="4">
        <v>45717</v>
      </c>
      <c r="D1759" t="s">
        <v>38</v>
      </c>
      <c r="E1759" t="s">
        <v>19</v>
      </c>
      <c r="F1759" t="s">
        <v>40</v>
      </c>
      <c r="G1759" t="s">
        <v>134</v>
      </c>
      <c r="H1759" t="s">
        <v>14</v>
      </c>
      <c r="I1759" t="s">
        <v>1935</v>
      </c>
      <c r="J1759" t="s">
        <v>1936</v>
      </c>
      <c r="K1759" s="8">
        <v>31</v>
      </c>
    </row>
    <row r="1760" spans="1:11">
      <c r="A1760" t="s">
        <v>3698</v>
      </c>
      <c r="B1760" s="15">
        <v>45746</v>
      </c>
      <c r="C1760" s="4">
        <v>45717</v>
      </c>
      <c r="D1760" t="s">
        <v>38</v>
      </c>
      <c r="E1760" t="s">
        <v>19</v>
      </c>
      <c r="F1760" t="s">
        <v>40</v>
      </c>
      <c r="G1760" t="s">
        <v>109</v>
      </c>
      <c r="H1760" t="s">
        <v>11</v>
      </c>
      <c r="I1760" t="s">
        <v>1935</v>
      </c>
      <c r="J1760" t="s">
        <v>1936</v>
      </c>
      <c r="K1760" s="8">
        <v>11</v>
      </c>
    </row>
    <row r="1761" spans="1:11">
      <c r="A1761" t="s">
        <v>3699</v>
      </c>
      <c r="B1761" s="15">
        <v>45742</v>
      </c>
      <c r="C1761" s="4">
        <v>45717</v>
      </c>
      <c r="D1761" t="s">
        <v>38</v>
      </c>
      <c r="E1761" t="s">
        <v>19</v>
      </c>
      <c r="F1761" t="s">
        <v>40</v>
      </c>
      <c r="G1761" t="s">
        <v>109</v>
      </c>
      <c r="H1761" t="s">
        <v>11</v>
      </c>
      <c r="I1761" t="s">
        <v>1935</v>
      </c>
      <c r="J1761" t="s">
        <v>1938</v>
      </c>
      <c r="K1761" s="8">
        <v>9</v>
      </c>
    </row>
    <row r="1762" spans="1:11">
      <c r="A1762" t="s">
        <v>3700</v>
      </c>
      <c r="B1762" s="15">
        <v>45744</v>
      </c>
      <c r="C1762" s="4">
        <v>45717</v>
      </c>
      <c r="D1762" t="s">
        <v>38</v>
      </c>
      <c r="E1762" t="s">
        <v>19</v>
      </c>
      <c r="F1762" t="s">
        <v>40</v>
      </c>
      <c r="G1762" t="s">
        <v>140</v>
      </c>
      <c r="H1762" t="s">
        <v>11</v>
      </c>
      <c r="I1762" t="s">
        <v>1935</v>
      </c>
      <c r="J1762" t="s">
        <v>1936</v>
      </c>
      <c r="K1762" s="8">
        <v>16</v>
      </c>
    </row>
    <row r="1763" spans="1:11">
      <c r="A1763" t="s">
        <v>3701</v>
      </c>
      <c r="B1763" s="15">
        <v>45745</v>
      </c>
      <c r="C1763" s="4">
        <v>45717</v>
      </c>
      <c r="D1763" t="s">
        <v>38</v>
      </c>
      <c r="E1763" t="s">
        <v>19</v>
      </c>
      <c r="F1763" t="s">
        <v>40</v>
      </c>
      <c r="G1763" t="s">
        <v>158</v>
      </c>
      <c r="H1763" t="s">
        <v>11</v>
      </c>
      <c r="I1763" t="s">
        <v>1995</v>
      </c>
      <c r="J1763" t="s">
        <v>1954</v>
      </c>
      <c r="K1763" s="8">
        <v>1</v>
      </c>
    </row>
    <row r="1764" spans="1:11">
      <c r="A1764" t="s">
        <v>3702</v>
      </c>
      <c r="B1764" s="15">
        <v>45721</v>
      </c>
      <c r="C1764" s="4">
        <v>45717</v>
      </c>
      <c r="D1764" t="s">
        <v>38</v>
      </c>
      <c r="E1764" t="s">
        <v>19</v>
      </c>
      <c r="F1764" t="s">
        <v>40</v>
      </c>
      <c r="G1764" t="s">
        <v>109</v>
      </c>
      <c r="H1764" t="s">
        <v>11</v>
      </c>
      <c r="I1764" t="s">
        <v>1935</v>
      </c>
      <c r="J1764" t="s">
        <v>1936</v>
      </c>
      <c r="K1764" s="8">
        <v>33</v>
      </c>
    </row>
    <row r="1765" spans="1:11">
      <c r="A1765" t="s">
        <v>3703</v>
      </c>
      <c r="B1765" s="15">
        <v>45742</v>
      </c>
      <c r="C1765" s="4">
        <v>45717</v>
      </c>
      <c r="D1765" t="s">
        <v>41</v>
      </c>
      <c r="E1765" t="s">
        <v>21</v>
      </c>
      <c r="F1765" t="s">
        <v>43</v>
      </c>
      <c r="G1765" t="s">
        <v>208</v>
      </c>
      <c r="H1765" t="s">
        <v>11</v>
      </c>
      <c r="I1765" t="s">
        <v>1935</v>
      </c>
      <c r="J1765" t="s">
        <v>1938</v>
      </c>
      <c r="K1765" s="8">
        <v>25</v>
      </c>
    </row>
    <row r="1766" spans="1:11">
      <c r="A1766" t="s">
        <v>3704</v>
      </c>
      <c r="B1766" s="15">
        <v>45725</v>
      </c>
      <c r="C1766" s="4">
        <v>45717</v>
      </c>
      <c r="D1766" t="s">
        <v>41</v>
      </c>
      <c r="E1766" t="s">
        <v>21</v>
      </c>
      <c r="F1766" t="s">
        <v>43</v>
      </c>
      <c r="G1766" t="s">
        <v>190</v>
      </c>
      <c r="H1766" t="s">
        <v>14</v>
      </c>
      <c r="I1766" t="s">
        <v>1935</v>
      </c>
      <c r="J1766" t="s">
        <v>1936</v>
      </c>
      <c r="K1766" s="8">
        <v>22</v>
      </c>
    </row>
    <row r="1767" spans="1:11">
      <c r="A1767" t="s">
        <v>3705</v>
      </c>
      <c r="B1767" s="15">
        <v>45733</v>
      </c>
      <c r="C1767" s="4">
        <v>45717</v>
      </c>
      <c r="D1767" t="s">
        <v>41</v>
      </c>
      <c r="E1767" t="s">
        <v>21</v>
      </c>
      <c r="F1767" t="s">
        <v>43</v>
      </c>
      <c r="G1767" t="s">
        <v>208</v>
      </c>
      <c r="H1767" t="s">
        <v>11</v>
      </c>
      <c r="I1767" t="s">
        <v>1935</v>
      </c>
      <c r="J1767" t="s">
        <v>1938</v>
      </c>
      <c r="K1767" s="8">
        <v>15</v>
      </c>
    </row>
    <row r="1768" spans="1:11">
      <c r="A1768" t="s">
        <v>3706</v>
      </c>
      <c r="B1768" s="15">
        <v>45719</v>
      </c>
      <c r="C1768" s="4">
        <v>45717</v>
      </c>
      <c r="D1768" t="s">
        <v>41</v>
      </c>
      <c r="E1768" t="s">
        <v>21</v>
      </c>
      <c r="F1768" t="s">
        <v>43</v>
      </c>
      <c r="G1768" t="s">
        <v>220</v>
      </c>
      <c r="H1768" t="s">
        <v>8</v>
      </c>
      <c r="I1768" t="s">
        <v>1935</v>
      </c>
      <c r="J1768" t="s">
        <v>1936</v>
      </c>
      <c r="K1768" s="8">
        <v>17</v>
      </c>
    </row>
    <row r="1769" spans="1:11">
      <c r="A1769" t="s">
        <v>3707</v>
      </c>
      <c r="B1769" s="15">
        <v>45729</v>
      </c>
      <c r="C1769" s="4">
        <v>45717</v>
      </c>
      <c r="D1769" t="s">
        <v>41</v>
      </c>
      <c r="E1769" t="s">
        <v>21</v>
      </c>
      <c r="F1769" t="s">
        <v>43</v>
      </c>
      <c r="G1769" t="s">
        <v>184</v>
      </c>
      <c r="H1769" t="s">
        <v>5</v>
      </c>
      <c r="I1769" t="s">
        <v>1935</v>
      </c>
      <c r="J1769" t="s">
        <v>1938</v>
      </c>
      <c r="K1769" s="8">
        <v>11</v>
      </c>
    </row>
    <row r="1770" spans="1:11">
      <c r="A1770" t="s">
        <v>3708</v>
      </c>
      <c r="B1770" s="15">
        <v>45744</v>
      </c>
      <c r="C1770" s="4">
        <v>45717</v>
      </c>
      <c r="D1770" t="s">
        <v>41</v>
      </c>
      <c r="E1770" t="s">
        <v>21</v>
      </c>
      <c r="F1770" t="s">
        <v>43</v>
      </c>
      <c r="G1770" t="s">
        <v>214</v>
      </c>
      <c r="H1770" t="s">
        <v>5</v>
      </c>
      <c r="I1770" t="s">
        <v>1935</v>
      </c>
      <c r="J1770" t="s">
        <v>1936</v>
      </c>
      <c r="K1770" s="8">
        <v>20</v>
      </c>
    </row>
    <row r="1771" spans="1:11">
      <c r="A1771" t="s">
        <v>3709</v>
      </c>
      <c r="B1771" s="15">
        <v>45730</v>
      </c>
      <c r="C1771" s="4">
        <v>45717</v>
      </c>
      <c r="D1771" t="s">
        <v>41</v>
      </c>
      <c r="E1771" t="s">
        <v>21</v>
      </c>
      <c r="F1771" t="s">
        <v>43</v>
      </c>
      <c r="G1771" t="s">
        <v>214</v>
      </c>
      <c r="H1771" t="s">
        <v>5</v>
      </c>
      <c r="I1771" t="s">
        <v>1935</v>
      </c>
      <c r="J1771" t="s">
        <v>1938</v>
      </c>
      <c r="K1771" s="8">
        <v>18</v>
      </c>
    </row>
    <row r="1772" spans="1:11">
      <c r="A1772" t="s">
        <v>3710</v>
      </c>
      <c r="B1772" s="15">
        <v>45734</v>
      </c>
      <c r="C1772" s="4">
        <v>45717</v>
      </c>
      <c r="D1772" t="s">
        <v>41</v>
      </c>
      <c r="E1772" t="s">
        <v>21</v>
      </c>
      <c r="F1772" t="s">
        <v>43</v>
      </c>
      <c r="G1772" t="s">
        <v>220</v>
      </c>
      <c r="H1772" t="s">
        <v>11</v>
      </c>
      <c r="I1772" t="s">
        <v>1935</v>
      </c>
      <c r="J1772" t="s">
        <v>1936</v>
      </c>
      <c r="K1772" s="8">
        <v>35</v>
      </c>
    </row>
    <row r="1773" spans="1:11">
      <c r="A1773" t="s">
        <v>3711</v>
      </c>
      <c r="B1773" s="15">
        <v>45726</v>
      </c>
      <c r="C1773" s="4">
        <v>45717</v>
      </c>
      <c r="D1773" t="s">
        <v>41</v>
      </c>
      <c r="E1773" t="s">
        <v>21</v>
      </c>
      <c r="F1773" t="s">
        <v>43</v>
      </c>
      <c r="G1773" t="s">
        <v>226</v>
      </c>
      <c r="H1773" t="s">
        <v>5</v>
      </c>
      <c r="I1773" t="s">
        <v>1935</v>
      </c>
      <c r="J1773" t="s">
        <v>1936</v>
      </c>
      <c r="K1773" s="8">
        <v>33</v>
      </c>
    </row>
    <row r="1774" spans="1:11">
      <c r="A1774" t="s">
        <v>3712</v>
      </c>
      <c r="B1774" s="15">
        <v>45734</v>
      </c>
      <c r="C1774" s="4">
        <v>45717</v>
      </c>
      <c r="D1774" t="s">
        <v>41</v>
      </c>
      <c r="E1774" t="s">
        <v>21</v>
      </c>
      <c r="F1774" t="s">
        <v>43</v>
      </c>
      <c r="G1774" t="s">
        <v>220</v>
      </c>
      <c r="H1774" t="s">
        <v>11</v>
      </c>
      <c r="I1774" t="s">
        <v>1935</v>
      </c>
      <c r="J1774" t="s">
        <v>1936</v>
      </c>
      <c r="K1774" s="8">
        <v>28</v>
      </c>
    </row>
    <row r="1775" spans="1:11">
      <c r="A1775" t="s">
        <v>3713</v>
      </c>
      <c r="B1775" s="15">
        <v>45742</v>
      </c>
      <c r="C1775" s="4">
        <v>45717</v>
      </c>
      <c r="D1775" t="s">
        <v>41</v>
      </c>
      <c r="E1775" t="s">
        <v>21</v>
      </c>
      <c r="F1775" t="s">
        <v>43</v>
      </c>
      <c r="G1775" t="s">
        <v>232</v>
      </c>
      <c r="H1775" t="s">
        <v>11</v>
      </c>
      <c r="I1775" t="s">
        <v>1935</v>
      </c>
      <c r="J1775" t="s">
        <v>1938</v>
      </c>
      <c r="K1775" s="8">
        <v>28</v>
      </c>
    </row>
    <row r="1776" spans="1:11">
      <c r="A1776" t="s">
        <v>3714</v>
      </c>
      <c r="B1776" s="15">
        <v>45736</v>
      </c>
      <c r="C1776" s="4">
        <v>45717</v>
      </c>
      <c r="D1776" t="s">
        <v>41</v>
      </c>
      <c r="E1776" t="s">
        <v>21</v>
      </c>
      <c r="F1776" t="s">
        <v>43</v>
      </c>
      <c r="G1776" t="s">
        <v>220</v>
      </c>
      <c r="H1776" t="s">
        <v>5</v>
      </c>
      <c r="I1776" t="s">
        <v>1935</v>
      </c>
      <c r="J1776" t="s">
        <v>1938</v>
      </c>
      <c r="K1776" s="8">
        <v>14</v>
      </c>
    </row>
    <row r="1777" spans="1:11">
      <c r="A1777" t="s">
        <v>3715</v>
      </c>
      <c r="B1777" s="15">
        <v>45731</v>
      </c>
      <c r="C1777" s="4">
        <v>45717</v>
      </c>
      <c r="D1777" t="s">
        <v>41</v>
      </c>
      <c r="E1777" t="s">
        <v>21</v>
      </c>
      <c r="F1777" t="s">
        <v>43</v>
      </c>
      <c r="G1777" t="s">
        <v>232</v>
      </c>
      <c r="H1777" t="s">
        <v>11</v>
      </c>
      <c r="I1777" t="s">
        <v>1935</v>
      </c>
      <c r="J1777" t="s">
        <v>1954</v>
      </c>
      <c r="K1777" s="8">
        <v>23</v>
      </c>
    </row>
    <row r="1778" spans="1:11">
      <c r="A1778" t="s">
        <v>3716</v>
      </c>
      <c r="B1778" s="15">
        <v>45721</v>
      </c>
      <c r="C1778" s="4">
        <v>45717</v>
      </c>
      <c r="D1778" t="s">
        <v>41</v>
      </c>
      <c r="E1778" t="s">
        <v>21</v>
      </c>
      <c r="F1778" t="s">
        <v>43</v>
      </c>
      <c r="G1778" t="s">
        <v>202</v>
      </c>
      <c r="H1778" t="s">
        <v>5</v>
      </c>
      <c r="I1778" t="s">
        <v>1935</v>
      </c>
      <c r="J1778" t="s">
        <v>1936</v>
      </c>
      <c r="K1778" s="8">
        <v>21</v>
      </c>
    </row>
    <row r="1779" spans="1:11">
      <c r="A1779" t="s">
        <v>3717</v>
      </c>
      <c r="B1779" s="15">
        <v>45718</v>
      </c>
      <c r="C1779" s="4">
        <v>45717</v>
      </c>
      <c r="D1779" t="s">
        <v>44</v>
      </c>
      <c r="E1779" t="s">
        <v>21</v>
      </c>
      <c r="F1779" t="s">
        <v>46</v>
      </c>
      <c r="G1779" t="s">
        <v>216</v>
      </c>
      <c r="H1779" t="s">
        <v>14</v>
      </c>
      <c r="I1779" t="s">
        <v>1935</v>
      </c>
      <c r="J1779" t="s">
        <v>1938</v>
      </c>
      <c r="K1779" s="8">
        <v>28</v>
      </c>
    </row>
    <row r="1780" spans="1:11">
      <c r="A1780" t="s">
        <v>3718</v>
      </c>
      <c r="B1780" s="15">
        <v>45744</v>
      </c>
      <c r="C1780" s="4">
        <v>45717</v>
      </c>
      <c r="D1780" t="s">
        <v>44</v>
      </c>
      <c r="E1780" t="s">
        <v>21</v>
      </c>
      <c r="F1780" t="s">
        <v>46</v>
      </c>
      <c r="G1780" t="s">
        <v>186</v>
      </c>
      <c r="H1780" t="s">
        <v>11</v>
      </c>
      <c r="I1780" t="s">
        <v>1935</v>
      </c>
      <c r="J1780" t="s">
        <v>1938</v>
      </c>
      <c r="K1780" s="8">
        <v>11</v>
      </c>
    </row>
    <row r="1781" spans="1:11">
      <c r="A1781" t="s">
        <v>3719</v>
      </c>
      <c r="B1781" s="15">
        <v>45741</v>
      </c>
      <c r="C1781" s="4">
        <v>45717</v>
      </c>
      <c r="D1781" t="s">
        <v>44</v>
      </c>
      <c r="E1781" t="s">
        <v>21</v>
      </c>
      <c r="F1781" t="s">
        <v>46</v>
      </c>
      <c r="G1781" t="s">
        <v>186</v>
      </c>
      <c r="H1781" t="s">
        <v>5</v>
      </c>
      <c r="I1781" t="s">
        <v>1935</v>
      </c>
      <c r="J1781" t="s">
        <v>1936</v>
      </c>
      <c r="K1781" s="8">
        <v>10</v>
      </c>
    </row>
    <row r="1782" spans="1:11">
      <c r="A1782" t="s">
        <v>3720</v>
      </c>
      <c r="B1782" s="15">
        <v>45743</v>
      </c>
      <c r="C1782" s="4">
        <v>45717</v>
      </c>
      <c r="D1782" t="s">
        <v>44</v>
      </c>
      <c r="E1782" t="s">
        <v>21</v>
      </c>
      <c r="F1782" t="s">
        <v>46</v>
      </c>
      <c r="G1782" t="s">
        <v>216</v>
      </c>
      <c r="H1782" t="s">
        <v>14</v>
      </c>
      <c r="I1782" t="s">
        <v>1942</v>
      </c>
      <c r="J1782" t="s">
        <v>1936</v>
      </c>
      <c r="K1782" s="8">
        <v>6</v>
      </c>
    </row>
    <row r="1783" spans="1:11">
      <c r="A1783" t="s">
        <v>3721</v>
      </c>
      <c r="B1783" s="15">
        <v>45725</v>
      </c>
      <c r="C1783" s="4">
        <v>45717</v>
      </c>
      <c r="D1783" t="s">
        <v>44</v>
      </c>
      <c r="E1783" t="s">
        <v>21</v>
      </c>
      <c r="F1783" t="s">
        <v>46</v>
      </c>
      <c r="G1783" t="s">
        <v>234</v>
      </c>
      <c r="H1783" t="s">
        <v>14</v>
      </c>
      <c r="I1783" t="s">
        <v>1935</v>
      </c>
      <c r="J1783" t="s">
        <v>1938</v>
      </c>
      <c r="K1783" s="8">
        <v>19</v>
      </c>
    </row>
    <row r="1784" spans="1:11">
      <c r="A1784" t="s">
        <v>3722</v>
      </c>
      <c r="B1784" s="15">
        <v>45738</v>
      </c>
      <c r="C1784" s="4">
        <v>45717</v>
      </c>
      <c r="D1784" t="s">
        <v>44</v>
      </c>
      <c r="E1784" t="s">
        <v>21</v>
      </c>
      <c r="F1784" t="s">
        <v>46</v>
      </c>
      <c r="G1784" t="s">
        <v>174</v>
      </c>
      <c r="H1784" t="s">
        <v>11</v>
      </c>
      <c r="I1784" t="s">
        <v>1935</v>
      </c>
      <c r="J1784" t="s">
        <v>1936</v>
      </c>
      <c r="K1784" s="8">
        <v>28</v>
      </c>
    </row>
    <row r="1785" spans="1:11">
      <c r="A1785" t="s">
        <v>3723</v>
      </c>
      <c r="B1785" s="15">
        <v>45745</v>
      </c>
      <c r="C1785" s="4">
        <v>45717</v>
      </c>
      <c r="D1785" t="s">
        <v>44</v>
      </c>
      <c r="E1785" t="s">
        <v>21</v>
      </c>
      <c r="F1785" t="s">
        <v>46</v>
      </c>
      <c r="G1785" t="s">
        <v>210</v>
      </c>
      <c r="H1785" t="s">
        <v>11</v>
      </c>
      <c r="I1785" t="s">
        <v>1935</v>
      </c>
      <c r="J1785" t="s">
        <v>1936</v>
      </c>
      <c r="K1785" s="8">
        <v>30</v>
      </c>
    </row>
    <row r="1786" spans="1:11">
      <c r="A1786" t="s">
        <v>3724</v>
      </c>
      <c r="B1786" s="15">
        <v>45736</v>
      </c>
      <c r="C1786" s="4">
        <v>45717</v>
      </c>
      <c r="D1786" t="s">
        <v>44</v>
      </c>
      <c r="E1786" t="s">
        <v>21</v>
      </c>
      <c r="F1786" t="s">
        <v>46</v>
      </c>
      <c r="G1786" t="s">
        <v>174</v>
      </c>
      <c r="H1786" t="s">
        <v>5</v>
      </c>
      <c r="I1786" t="s">
        <v>1935</v>
      </c>
      <c r="J1786" t="s">
        <v>1936</v>
      </c>
      <c r="K1786" s="8">
        <v>27</v>
      </c>
    </row>
    <row r="1787" spans="1:11">
      <c r="A1787" t="s">
        <v>3725</v>
      </c>
      <c r="B1787" s="15">
        <v>45727</v>
      </c>
      <c r="C1787" s="4">
        <v>45717</v>
      </c>
      <c r="D1787" t="s">
        <v>44</v>
      </c>
      <c r="E1787" t="s">
        <v>21</v>
      </c>
      <c r="F1787" t="s">
        <v>46</v>
      </c>
      <c r="G1787" t="s">
        <v>186</v>
      </c>
      <c r="H1787" t="s">
        <v>5</v>
      </c>
      <c r="I1787" t="s">
        <v>1935</v>
      </c>
      <c r="J1787" t="s">
        <v>1936</v>
      </c>
      <c r="K1787" s="8">
        <v>27</v>
      </c>
    </row>
    <row r="1788" spans="1:11">
      <c r="A1788" t="s">
        <v>3726</v>
      </c>
      <c r="B1788" s="15">
        <v>45737</v>
      </c>
      <c r="C1788" s="4">
        <v>45717</v>
      </c>
      <c r="D1788" t="s">
        <v>44</v>
      </c>
      <c r="E1788" t="s">
        <v>21</v>
      </c>
      <c r="F1788" t="s">
        <v>46</v>
      </c>
      <c r="G1788" t="s">
        <v>186</v>
      </c>
      <c r="H1788" t="s">
        <v>11</v>
      </c>
      <c r="I1788" t="s">
        <v>1935</v>
      </c>
      <c r="J1788" t="s">
        <v>1954</v>
      </c>
      <c r="K1788" s="8">
        <v>31</v>
      </c>
    </row>
    <row r="1789" spans="1:11">
      <c r="A1789" t="s">
        <v>3727</v>
      </c>
      <c r="B1789" s="15">
        <v>45744</v>
      </c>
      <c r="C1789" s="4">
        <v>45717</v>
      </c>
      <c r="D1789" t="s">
        <v>44</v>
      </c>
      <c r="E1789" t="s">
        <v>21</v>
      </c>
      <c r="F1789" t="s">
        <v>46</v>
      </c>
      <c r="G1789" t="s">
        <v>186</v>
      </c>
      <c r="H1789" t="s">
        <v>14</v>
      </c>
      <c r="I1789" t="s">
        <v>1935</v>
      </c>
      <c r="J1789" t="s">
        <v>1936</v>
      </c>
      <c r="K1789" s="8">
        <v>34</v>
      </c>
    </row>
    <row r="1790" spans="1:11">
      <c r="A1790" t="s">
        <v>3728</v>
      </c>
      <c r="B1790" s="15">
        <v>45738</v>
      </c>
      <c r="C1790" s="4">
        <v>45717</v>
      </c>
      <c r="D1790" t="s">
        <v>47</v>
      </c>
      <c r="E1790" t="s">
        <v>21</v>
      </c>
      <c r="F1790" t="s">
        <v>49</v>
      </c>
      <c r="G1790" t="s">
        <v>230</v>
      </c>
      <c r="H1790" t="s">
        <v>11</v>
      </c>
      <c r="I1790" t="s">
        <v>1935</v>
      </c>
      <c r="J1790" t="s">
        <v>1954</v>
      </c>
      <c r="K1790" s="8">
        <v>27</v>
      </c>
    </row>
    <row r="1791" spans="1:11">
      <c r="A1791" t="s">
        <v>3729</v>
      </c>
      <c r="B1791" s="15">
        <v>45724</v>
      </c>
      <c r="C1791" s="4">
        <v>45717</v>
      </c>
      <c r="D1791" t="s">
        <v>47</v>
      </c>
      <c r="E1791" t="s">
        <v>21</v>
      </c>
      <c r="F1791" t="s">
        <v>49</v>
      </c>
      <c r="G1791" t="s">
        <v>188</v>
      </c>
      <c r="H1791" t="s">
        <v>14</v>
      </c>
      <c r="I1791" t="s">
        <v>1935</v>
      </c>
      <c r="J1791" t="s">
        <v>1936</v>
      </c>
      <c r="K1791" s="8">
        <v>18</v>
      </c>
    </row>
    <row r="1792" spans="1:11">
      <c r="A1792" t="s">
        <v>3730</v>
      </c>
      <c r="B1792" s="15">
        <v>45731</v>
      </c>
      <c r="C1792" s="4">
        <v>45717</v>
      </c>
      <c r="D1792" t="s">
        <v>47</v>
      </c>
      <c r="E1792" t="s">
        <v>21</v>
      </c>
      <c r="F1792" t="s">
        <v>49</v>
      </c>
      <c r="G1792" t="s">
        <v>182</v>
      </c>
      <c r="H1792" t="s">
        <v>8</v>
      </c>
      <c r="I1792" t="s">
        <v>1935</v>
      </c>
      <c r="J1792" t="s">
        <v>1936</v>
      </c>
      <c r="K1792" s="8">
        <v>11</v>
      </c>
    </row>
    <row r="1793" spans="1:11">
      <c r="A1793" t="s">
        <v>3731</v>
      </c>
      <c r="B1793" s="15">
        <v>45732</v>
      </c>
      <c r="C1793" s="4">
        <v>45717</v>
      </c>
      <c r="D1793" t="s">
        <v>47</v>
      </c>
      <c r="E1793" t="s">
        <v>21</v>
      </c>
      <c r="F1793" t="s">
        <v>49</v>
      </c>
      <c r="G1793" t="s">
        <v>170</v>
      </c>
      <c r="H1793" t="s">
        <v>8</v>
      </c>
      <c r="I1793" t="s">
        <v>1935</v>
      </c>
      <c r="J1793" t="s">
        <v>1936</v>
      </c>
      <c r="K1793" s="8">
        <v>25</v>
      </c>
    </row>
    <row r="1794" spans="1:11">
      <c r="A1794" t="s">
        <v>3732</v>
      </c>
      <c r="B1794" s="15">
        <v>45726</v>
      </c>
      <c r="C1794" s="4">
        <v>45717</v>
      </c>
      <c r="D1794" t="s">
        <v>47</v>
      </c>
      <c r="E1794" t="s">
        <v>21</v>
      </c>
      <c r="F1794" t="s">
        <v>49</v>
      </c>
      <c r="G1794" t="s">
        <v>218</v>
      </c>
      <c r="H1794" t="s">
        <v>11</v>
      </c>
      <c r="I1794" t="s">
        <v>1935</v>
      </c>
      <c r="J1794" t="s">
        <v>1936</v>
      </c>
      <c r="K1794" s="8">
        <v>35</v>
      </c>
    </row>
    <row r="1795" spans="1:11">
      <c r="A1795" t="s">
        <v>3733</v>
      </c>
      <c r="B1795" s="15">
        <v>45720</v>
      </c>
      <c r="C1795" s="4">
        <v>45717</v>
      </c>
      <c r="D1795" t="s">
        <v>47</v>
      </c>
      <c r="E1795" t="s">
        <v>21</v>
      </c>
      <c r="F1795" t="s">
        <v>49</v>
      </c>
      <c r="G1795" t="s">
        <v>230</v>
      </c>
      <c r="H1795" t="s">
        <v>5</v>
      </c>
      <c r="I1795" t="s">
        <v>1935</v>
      </c>
      <c r="J1795" t="s">
        <v>1936</v>
      </c>
      <c r="K1795" s="8">
        <v>15</v>
      </c>
    </row>
    <row r="1796" spans="1:11">
      <c r="A1796" t="s">
        <v>3734</v>
      </c>
      <c r="B1796" s="15">
        <v>45744</v>
      </c>
      <c r="C1796" s="4">
        <v>45717</v>
      </c>
      <c r="D1796" t="s">
        <v>47</v>
      </c>
      <c r="E1796" t="s">
        <v>21</v>
      </c>
      <c r="F1796" t="s">
        <v>49</v>
      </c>
      <c r="G1796" t="s">
        <v>188</v>
      </c>
      <c r="H1796" t="s">
        <v>14</v>
      </c>
      <c r="I1796" t="s">
        <v>1935</v>
      </c>
      <c r="J1796" t="s">
        <v>1938</v>
      </c>
      <c r="K1796" s="8">
        <v>24</v>
      </c>
    </row>
    <row r="1797" spans="1:11">
      <c r="A1797" t="s">
        <v>3735</v>
      </c>
      <c r="B1797" s="15">
        <v>45727</v>
      </c>
      <c r="C1797" s="4">
        <v>45717</v>
      </c>
      <c r="D1797" t="s">
        <v>47</v>
      </c>
      <c r="E1797" t="s">
        <v>21</v>
      </c>
      <c r="F1797" t="s">
        <v>49</v>
      </c>
      <c r="G1797" t="s">
        <v>170</v>
      </c>
      <c r="H1797" t="s">
        <v>8</v>
      </c>
      <c r="I1797" t="s">
        <v>1935</v>
      </c>
      <c r="J1797" t="s">
        <v>1936</v>
      </c>
      <c r="K1797" s="8">
        <v>14</v>
      </c>
    </row>
    <row r="1798" spans="1:11">
      <c r="A1798" t="s">
        <v>3736</v>
      </c>
      <c r="B1798" s="15">
        <v>45743</v>
      </c>
      <c r="C1798" s="4">
        <v>45717</v>
      </c>
      <c r="D1798" t="s">
        <v>47</v>
      </c>
      <c r="E1798" t="s">
        <v>21</v>
      </c>
      <c r="F1798" t="s">
        <v>49</v>
      </c>
      <c r="G1798" t="s">
        <v>194</v>
      </c>
      <c r="H1798" t="s">
        <v>14</v>
      </c>
      <c r="I1798" t="s">
        <v>1935</v>
      </c>
      <c r="J1798" t="s">
        <v>1936</v>
      </c>
      <c r="K1798" s="8">
        <v>34</v>
      </c>
    </row>
    <row r="1799" spans="1:11">
      <c r="A1799" t="s">
        <v>3737</v>
      </c>
      <c r="B1799" s="15">
        <v>45747</v>
      </c>
      <c r="C1799" s="4">
        <v>45717</v>
      </c>
      <c r="D1799" t="s">
        <v>47</v>
      </c>
      <c r="E1799" t="s">
        <v>21</v>
      </c>
      <c r="F1799" t="s">
        <v>49</v>
      </c>
      <c r="G1799" t="s">
        <v>188</v>
      </c>
      <c r="H1799" t="s">
        <v>14</v>
      </c>
      <c r="I1799" t="s">
        <v>1935</v>
      </c>
      <c r="J1799" t="s">
        <v>1954</v>
      </c>
      <c r="K1799" s="8">
        <v>30</v>
      </c>
    </row>
    <row r="1800" spans="1:11">
      <c r="A1800" t="s">
        <v>3738</v>
      </c>
      <c r="B1800" s="15">
        <v>45729</v>
      </c>
      <c r="C1800" s="4">
        <v>45717</v>
      </c>
      <c r="D1800" t="s">
        <v>47</v>
      </c>
      <c r="E1800" t="s">
        <v>21</v>
      </c>
      <c r="F1800" t="s">
        <v>49</v>
      </c>
      <c r="G1800" t="s">
        <v>218</v>
      </c>
      <c r="H1800" t="s">
        <v>11</v>
      </c>
      <c r="I1800" t="s">
        <v>1935</v>
      </c>
      <c r="J1800" t="s">
        <v>1936</v>
      </c>
      <c r="K1800" s="8">
        <v>31</v>
      </c>
    </row>
    <row r="1801" spans="1:11">
      <c r="A1801" t="s">
        <v>3739</v>
      </c>
      <c r="B1801" s="15">
        <v>45740</v>
      </c>
      <c r="C1801" s="4">
        <v>45717</v>
      </c>
      <c r="D1801" t="s">
        <v>47</v>
      </c>
      <c r="E1801" t="s">
        <v>21</v>
      </c>
      <c r="F1801" t="s">
        <v>49</v>
      </c>
      <c r="G1801" t="s">
        <v>212</v>
      </c>
      <c r="H1801" t="s">
        <v>14</v>
      </c>
      <c r="I1801" t="s">
        <v>1935</v>
      </c>
      <c r="J1801" t="s">
        <v>1936</v>
      </c>
      <c r="K1801" s="8">
        <v>25</v>
      </c>
    </row>
    <row r="1802" spans="1:11">
      <c r="A1802" t="s">
        <v>3740</v>
      </c>
      <c r="B1802" s="15">
        <v>45737</v>
      </c>
      <c r="C1802" s="4">
        <v>45717</v>
      </c>
      <c r="D1802" t="s">
        <v>47</v>
      </c>
      <c r="E1802" t="s">
        <v>21</v>
      </c>
      <c r="F1802" t="s">
        <v>49</v>
      </c>
      <c r="G1802" t="s">
        <v>194</v>
      </c>
      <c r="H1802" t="s">
        <v>14</v>
      </c>
      <c r="I1802" t="s">
        <v>1942</v>
      </c>
      <c r="J1802" t="s">
        <v>1938</v>
      </c>
      <c r="K1802" s="8">
        <v>8</v>
      </c>
    </row>
    <row r="1803" spans="1:11">
      <c r="A1803" t="s">
        <v>3741</v>
      </c>
      <c r="B1803" s="15">
        <v>45740</v>
      </c>
      <c r="C1803" s="4">
        <v>45717</v>
      </c>
      <c r="D1803" t="s">
        <v>50</v>
      </c>
      <c r="E1803" t="s">
        <v>23</v>
      </c>
      <c r="F1803" t="s">
        <v>52</v>
      </c>
      <c r="G1803" t="s">
        <v>256</v>
      </c>
      <c r="H1803" t="s">
        <v>5</v>
      </c>
      <c r="I1803" t="s">
        <v>1935</v>
      </c>
      <c r="J1803" t="s">
        <v>1936</v>
      </c>
      <c r="K1803" s="8">
        <v>17</v>
      </c>
    </row>
    <row r="1804" spans="1:11">
      <c r="A1804" t="s">
        <v>3742</v>
      </c>
      <c r="B1804" s="15">
        <v>45737</v>
      </c>
      <c r="C1804" s="4">
        <v>45717</v>
      </c>
      <c r="D1804" t="s">
        <v>50</v>
      </c>
      <c r="E1804" t="s">
        <v>23</v>
      </c>
      <c r="F1804" t="s">
        <v>52</v>
      </c>
      <c r="G1804" t="s">
        <v>298</v>
      </c>
      <c r="H1804" t="s">
        <v>5</v>
      </c>
      <c r="I1804" t="s">
        <v>1935</v>
      </c>
      <c r="J1804" t="s">
        <v>1936</v>
      </c>
      <c r="K1804" s="8">
        <v>15</v>
      </c>
    </row>
    <row r="1805" spans="1:11">
      <c r="A1805" t="s">
        <v>3743</v>
      </c>
      <c r="B1805" s="15">
        <v>45722</v>
      </c>
      <c r="C1805" s="4">
        <v>45717</v>
      </c>
      <c r="D1805" t="s">
        <v>50</v>
      </c>
      <c r="E1805" t="s">
        <v>23</v>
      </c>
      <c r="F1805" t="s">
        <v>52</v>
      </c>
      <c r="G1805" t="s">
        <v>268</v>
      </c>
      <c r="H1805" t="s">
        <v>11</v>
      </c>
      <c r="I1805" t="s">
        <v>1935</v>
      </c>
      <c r="J1805" t="s">
        <v>1954</v>
      </c>
      <c r="K1805" s="8">
        <v>27</v>
      </c>
    </row>
    <row r="1806" spans="1:11">
      <c r="A1806" t="s">
        <v>3744</v>
      </c>
      <c r="B1806" s="15">
        <v>45717</v>
      </c>
      <c r="C1806" s="4">
        <v>45717</v>
      </c>
      <c r="D1806" t="s">
        <v>50</v>
      </c>
      <c r="E1806" t="s">
        <v>23</v>
      </c>
      <c r="F1806" t="s">
        <v>52</v>
      </c>
      <c r="G1806" t="s">
        <v>292</v>
      </c>
      <c r="H1806" t="s">
        <v>11</v>
      </c>
      <c r="I1806" t="s">
        <v>1935</v>
      </c>
      <c r="J1806" t="s">
        <v>1954</v>
      </c>
      <c r="K1806" s="8">
        <v>10</v>
      </c>
    </row>
    <row r="1807" spans="1:11">
      <c r="A1807" t="s">
        <v>3745</v>
      </c>
      <c r="B1807" s="15">
        <v>45743</v>
      </c>
      <c r="C1807" s="4">
        <v>45717</v>
      </c>
      <c r="D1807" t="s">
        <v>50</v>
      </c>
      <c r="E1807" t="s">
        <v>23</v>
      </c>
      <c r="F1807" t="s">
        <v>52</v>
      </c>
      <c r="G1807" t="s">
        <v>298</v>
      </c>
      <c r="H1807" t="s">
        <v>5</v>
      </c>
      <c r="I1807" t="s">
        <v>1935</v>
      </c>
      <c r="J1807" t="s">
        <v>1936</v>
      </c>
      <c r="K1807" s="8">
        <v>12</v>
      </c>
    </row>
    <row r="1808" spans="1:11">
      <c r="A1808" t="s">
        <v>3746</v>
      </c>
      <c r="B1808" s="15">
        <v>45743</v>
      </c>
      <c r="C1808" s="4">
        <v>45717</v>
      </c>
      <c r="D1808" t="s">
        <v>50</v>
      </c>
      <c r="E1808" t="s">
        <v>23</v>
      </c>
      <c r="F1808" t="s">
        <v>52</v>
      </c>
      <c r="G1808" t="s">
        <v>238</v>
      </c>
      <c r="H1808" t="s">
        <v>14</v>
      </c>
      <c r="I1808" t="s">
        <v>1935</v>
      </c>
      <c r="J1808" t="s">
        <v>1936</v>
      </c>
      <c r="K1808" s="8">
        <v>11</v>
      </c>
    </row>
    <row r="1809" spans="1:11">
      <c r="A1809" t="s">
        <v>3747</v>
      </c>
      <c r="B1809" s="15">
        <v>45723</v>
      </c>
      <c r="C1809" s="4">
        <v>45717</v>
      </c>
      <c r="D1809" t="s">
        <v>50</v>
      </c>
      <c r="E1809" t="s">
        <v>23</v>
      </c>
      <c r="F1809" t="s">
        <v>52</v>
      </c>
      <c r="G1809" t="s">
        <v>268</v>
      </c>
      <c r="H1809" t="s">
        <v>8</v>
      </c>
      <c r="I1809" t="s">
        <v>1935</v>
      </c>
      <c r="J1809" t="s">
        <v>1936</v>
      </c>
      <c r="K1809" s="8">
        <v>13</v>
      </c>
    </row>
    <row r="1810" spans="1:11">
      <c r="A1810" t="s">
        <v>3748</v>
      </c>
      <c r="B1810" s="15">
        <v>45728</v>
      </c>
      <c r="C1810" s="4">
        <v>45717</v>
      </c>
      <c r="D1810" t="s">
        <v>50</v>
      </c>
      <c r="E1810" t="s">
        <v>23</v>
      </c>
      <c r="F1810" t="s">
        <v>52</v>
      </c>
      <c r="G1810" t="s">
        <v>292</v>
      </c>
      <c r="H1810" t="s">
        <v>11</v>
      </c>
      <c r="I1810" t="s">
        <v>1935</v>
      </c>
      <c r="J1810" t="s">
        <v>1936</v>
      </c>
      <c r="K1810" s="8">
        <v>33</v>
      </c>
    </row>
    <row r="1811" spans="1:11">
      <c r="A1811" t="s">
        <v>3749</v>
      </c>
      <c r="B1811" s="15">
        <v>45731</v>
      </c>
      <c r="C1811" s="4">
        <v>45717</v>
      </c>
      <c r="D1811" t="s">
        <v>50</v>
      </c>
      <c r="E1811" t="s">
        <v>23</v>
      </c>
      <c r="F1811" t="s">
        <v>52</v>
      </c>
      <c r="G1811" t="s">
        <v>280</v>
      </c>
      <c r="H1811" t="s">
        <v>11</v>
      </c>
      <c r="I1811" t="s">
        <v>1935</v>
      </c>
      <c r="J1811" t="s">
        <v>1936</v>
      </c>
      <c r="K1811" s="8">
        <v>26</v>
      </c>
    </row>
    <row r="1812" spans="1:11">
      <c r="A1812" t="s">
        <v>3750</v>
      </c>
      <c r="B1812" s="15">
        <v>45734</v>
      </c>
      <c r="C1812" s="4">
        <v>45717</v>
      </c>
      <c r="D1812" t="s">
        <v>53</v>
      </c>
      <c r="E1812" t="s">
        <v>23</v>
      </c>
      <c r="F1812" t="s">
        <v>55</v>
      </c>
      <c r="G1812" t="s">
        <v>294</v>
      </c>
      <c r="H1812" t="s">
        <v>8</v>
      </c>
      <c r="I1812" t="s">
        <v>1935</v>
      </c>
      <c r="J1812" t="s">
        <v>1938</v>
      </c>
      <c r="K1812" s="8">
        <v>24</v>
      </c>
    </row>
    <row r="1813" spans="1:11">
      <c r="A1813" t="s">
        <v>3751</v>
      </c>
      <c r="B1813" s="15">
        <v>45733</v>
      </c>
      <c r="C1813" s="4">
        <v>45717</v>
      </c>
      <c r="D1813" t="s">
        <v>53</v>
      </c>
      <c r="E1813" t="s">
        <v>23</v>
      </c>
      <c r="F1813" t="s">
        <v>55</v>
      </c>
      <c r="G1813" t="s">
        <v>264</v>
      </c>
      <c r="H1813" t="s">
        <v>14</v>
      </c>
      <c r="I1813" t="s">
        <v>1935</v>
      </c>
      <c r="J1813" t="s">
        <v>1936</v>
      </c>
      <c r="K1813" s="8">
        <v>31</v>
      </c>
    </row>
    <row r="1814" spans="1:11">
      <c r="A1814" t="s">
        <v>3752</v>
      </c>
      <c r="B1814" s="15">
        <v>45720</v>
      </c>
      <c r="C1814" s="4">
        <v>45717</v>
      </c>
      <c r="D1814" t="s">
        <v>53</v>
      </c>
      <c r="E1814" t="s">
        <v>23</v>
      </c>
      <c r="F1814" t="s">
        <v>55</v>
      </c>
      <c r="G1814" t="s">
        <v>270</v>
      </c>
      <c r="H1814" t="s">
        <v>8</v>
      </c>
      <c r="I1814" t="s">
        <v>1935</v>
      </c>
      <c r="J1814" t="s">
        <v>1936</v>
      </c>
      <c r="K1814" s="8">
        <v>25</v>
      </c>
    </row>
    <row r="1815" spans="1:11">
      <c r="A1815" t="s">
        <v>3753</v>
      </c>
      <c r="B1815" s="15">
        <v>45732</v>
      </c>
      <c r="C1815" s="4">
        <v>45717</v>
      </c>
      <c r="D1815" t="s">
        <v>53</v>
      </c>
      <c r="E1815" t="s">
        <v>23</v>
      </c>
      <c r="F1815" t="s">
        <v>55</v>
      </c>
      <c r="G1815" t="s">
        <v>264</v>
      </c>
      <c r="H1815" t="s">
        <v>14</v>
      </c>
      <c r="I1815" t="s">
        <v>1935</v>
      </c>
      <c r="J1815" t="s">
        <v>1936</v>
      </c>
      <c r="K1815" s="8">
        <v>17</v>
      </c>
    </row>
    <row r="1816" spans="1:11">
      <c r="A1816" t="s">
        <v>3754</v>
      </c>
      <c r="B1816" s="15">
        <v>45724</v>
      </c>
      <c r="C1816" s="4">
        <v>45717</v>
      </c>
      <c r="D1816" t="s">
        <v>53</v>
      </c>
      <c r="E1816" t="s">
        <v>23</v>
      </c>
      <c r="F1816" t="s">
        <v>55</v>
      </c>
      <c r="G1816" t="s">
        <v>258</v>
      </c>
      <c r="H1816" t="s">
        <v>11</v>
      </c>
      <c r="I1816" t="s">
        <v>1935</v>
      </c>
      <c r="J1816" t="s">
        <v>1936</v>
      </c>
      <c r="K1816" s="8">
        <v>30</v>
      </c>
    </row>
    <row r="1817" spans="1:11">
      <c r="A1817" t="s">
        <v>3755</v>
      </c>
      <c r="B1817" s="15">
        <v>45744</v>
      </c>
      <c r="C1817" s="4">
        <v>45717</v>
      </c>
      <c r="D1817" t="s">
        <v>53</v>
      </c>
      <c r="E1817" t="s">
        <v>23</v>
      </c>
      <c r="F1817" t="s">
        <v>55</v>
      </c>
      <c r="G1817" t="s">
        <v>252</v>
      </c>
      <c r="H1817" t="s">
        <v>5</v>
      </c>
      <c r="I1817" t="s">
        <v>1935</v>
      </c>
      <c r="J1817" t="s">
        <v>1936</v>
      </c>
      <c r="K1817" s="8">
        <v>25</v>
      </c>
    </row>
    <row r="1818" spans="1:11">
      <c r="A1818" t="s">
        <v>3756</v>
      </c>
      <c r="B1818" s="15">
        <v>45728</v>
      </c>
      <c r="C1818" s="4">
        <v>45717</v>
      </c>
      <c r="D1818" t="s">
        <v>53</v>
      </c>
      <c r="E1818" t="s">
        <v>23</v>
      </c>
      <c r="F1818" t="s">
        <v>55</v>
      </c>
      <c r="G1818" t="s">
        <v>264</v>
      </c>
      <c r="H1818" t="s">
        <v>14</v>
      </c>
      <c r="I1818" t="s">
        <v>1935</v>
      </c>
      <c r="J1818" t="s">
        <v>1936</v>
      </c>
      <c r="K1818" s="8">
        <v>15</v>
      </c>
    </row>
    <row r="1819" spans="1:11">
      <c r="A1819" t="s">
        <v>3757</v>
      </c>
      <c r="B1819" s="15">
        <v>45736</v>
      </c>
      <c r="C1819" s="4">
        <v>45717</v>
      </c>
      <c r="D1819" t="s">
        <v>53</v>
      </c>
      <c r="E1819" t="s">
        <v>23</v>
      </c>
      <c r="F1819" t="s">
        <v>55</v>
      </c>
      <c r="G1819" t="s">
        <v>270</v>
      </c>
      <c r="H1819" t="s">
        <v>8</v>
      </c>
      <c r="I1819" t="s">
        <v>1935</v>
      </c>
      <c r="J1819" t="s">
        <v>1938</v>
      </c>
      <c r="K1819" s="8">
        <v>31</v>
      </c>
    </row>
    <row r="1820" spans="1:11">
      <c r="A1820" t="s">
        <v>3758</v>
      </c>
      <c r="B1820" s="15">
        <v>45742</v>
      </c>
      <c r="C1820" s="4">
        <v>45717</v>
      </c>
      <c r="D1820" t="s">
        <v>53</v>
      </c>
      <c r="E1820" t="s">
        <v>23</v>
      </c>
      <c r="F1820" t="s">
        <v>55</v>
      </c>
      <c r="G1820" t="s">
        <v>288</v>
      </c>
      <c r="H1820" t="s">
        <v>8</v>
      </c>
      <c r="I1820" t="s">
        <v>1935</v>
      </c>
      <c r="J1820" t="s">
        <v>1936</v>
      </c>
      <c r="K1820" s="8">
        <v>14</v>
      </c>
    </row>
    <row r="1821" spans="1:11">
      <c r="A1821" t="s">
        <v>3759</v>
      </c>
      <c r="B1821" s="15">
        <v>45719</v>
      </c>
      <c r="C1821" s="4">
        <v>45717</v>
      </c>
      <c r="D1821" t="s">
        <v>53</v>
      </c>
      <c r="E1821" t="s">
        <v>23</v>
      </c>
      <c r="F1821" t="s">
        <v>55</v>
      </c>
      <c r="G1821" t="s">
        <v>282</v>
      </c>
      <c r="H1821" t="s">
        <v>8</v>
      </c>
      <c r="I1821" t="s">
        <v>1935</v>
      </c>
      <c r="J1821" t="s">
        <v>1938</v>
      </c>
      <c r="K1821" s="8">
        <v>28</v>
      </c>
    </row>
    <row r="1822" spans="1:11">
      <c r="A1822" t="s">
        <v>3760</v>
      </c>
      <c r="B1822" s="15">
        <v>45740</v>
      </c>
      <c r="C1822" s="4">
        <v>45717</v>
      </c>
      <c r="D1822" t="s">
        <v>53</v>
      </c>
      <c r="E1822" t="s">
        <v>23</v>
      </c>
      <c r="F1822" t="s">
        <v>55</v>
      </c>
      <c r="G1822" t="s">
        <v>294</v>
      </c>
      <c r="H1822" t="s">
        <v>8</v>
      </c>
      <c r="I1822" t="s">
        <v>1935</v>
      </c>
      <c r="J1822" t="s">
        <v>1936</v>
      </c>
      <c r="K1822" s="8">
        <v>19</v>
      </c>
    </row>
    <row r="1823" spans="1:11">
      <c r="A1823" t="s">
        <v>3761</v>
      </c>
      <c r="B1823" s="15">
        <v>45746</v>
      </c>
      <c r="C1823" s="4">
        <v>45717</v>
      </c>
      <c r="D1823" t="s">
        <v>53</v>
      </c>
      <c r="E1823" t="s">
        <v>23</v>
      </c>
      <c r="F1823" t="s">
        <v>55</v>
      </c>
      <c r="G1823" t="s">
        <v>270</v>
      </c>
      <c r="H1823" t="s">
        <v>8</v>
      </c>
      <c r="I1823" t="s">
        <v>1935</v>
      </c>
      <c r="J1823" t="s">
        <v>1936</v>
      </c>
      <c r="K1823" s="8">
        <v>23</v>
      </c>
    </row>
    <row r="1824" spans="1:11">
      <c r="A1824" t="s">
        <v>3762</v>
      </c>
      <c r="B1824" s="15">
        <v>45718</v>
      </c>
      <c r="C1824" s="4">
        <v>45717</v>
      </c>
      <c r="D1824" t="s">
        <v>53</v>
      </c>
      <c r="E1824" t="s">
        <v>23</v>
      </c>
      <c r="F1824" t="s">
        <v>55</v>
      </c>
      <c r="G1824" t="s">
        <v>264</v>
      </c>
      <c r="H1824" t="s">
        <v>14</v>
      </c>
      <c r="I1824" t="s">
        <v>1942</v>
      </c>
      <c r="J1824" t="s">
        <v>1936</v>
      </c>
      <c r="K1824" s="8">
        <v>6</v>
      </c>
    </row>
    <row r="1825" spans="1:11">
      <c r="A1825" t="s">
        <v>3763</v>
      </c>
      <c r="B1825" s="15">
        <v>45722</v>
      </c>
      <c r="C1825" s="4">
        <v>45717</v>
      </c>
      <c r="D1825" t="s">
        <v>56</v>
      </c>
      <c r="E1825" t="s">
        <v>23</v>
      </c>
      <c r="F1825" t="s">
        <v>58</v>
      </c>
      <c r="G1825" t="s">
        <v>284</v>
      </c>
      <c r="H1825" t="s">
        <v>14</v>
      </c>
      <c r="I1825" t="s">
        <v>1935</v>
      </c>
      <c r="J1825" t="s">
        <v>1938</v>
      </c>
      <c r="K1825" s="8">
        <v>10</v>
      </c>
    </row>
    <row r="1826" spans="1:11">
      <c r="A1826" t="s">
        <v>3764</v>
      </c>
      <c r="B1826" s="15">
        <v>45747</v>
      </c>
      <c r="C1826" s="4">
        <v>45717</v>
      </c>
      <c r="D1826" t="s">
        <v>56</v>
      </c>
      <c r="E1826" t="s">
        <v>23</v>
      </c>
      <c r="F1826" t="s">
        <v>58</v>
      </c>
      <c r="G1826" t="s">
        <v>266</v>
      </c>
      <c r="H1826" t="s">
        <v>11</v>
      </c>
      <c r="I1826" t="s">
        <v>1935</v>
      </c>
      <c r="J1826" t="s">
        <v>1936</v>
      </c>
      <c r="K1826" s="8">
        <v>24</v>
      </c>
    </row>
    <row r="1827" spans="1:11">
      <c r="A1827" t="s">
        <v>3765</v>
      </c>
      <c r="B1827" s="15">
        <v>45742</v>
      </c>
      <c r="C1827" s="4">
        <v>45717</v>
      </c>
      <c r="D1827" t="s">
        <v>56</v>
      </c>
      <c r="E1827" t="s">
        <v>23</v>
      </c>
      <c r="F1827" t="s">
        <v>58</v>
      </c>
      <c r="G1827" t="s">
        <v>302</v>
      </c>
      <c r="H1827" t="s">
        <v>5</v>
      </c>
      <c r="I1827" t="s">
        <v>1935</v>
      </c>
      <c r="J1827" t="s">
        <v>1936</v>
      </c>
      <c r="K1827" s="8">
        <v>12</v>
      </c>
    </row>
    <row r="1828" spans="1:11">
      <c r="A1828" t="s">
        <v>3766</v>
      </c>
      <c r="B1828" s="15">
        <v>45734</v>
      </c>
      <c r="C1828" s="4">
        <v>45717</v>
      </c>
      <c r="D1828" t="s">
        <v>56</v>
      </c>
      <c r="E1828" t="s">
        <v>23</v>
      </c>
      <c r="F1828" t="s">
        <v>58</v>
      </c>
      <c r="G1828" t="s">
        <v>302</v>
      </c>
      <c r="H1828" t="s">
        <v>5</v>
      </c>
      <c r="I1828" t="s">
        <v>1935</v>
      </c>
      <c r="J1828" t="s">
        <v>1936</v>
      </c>
      <c r="K1828" s="8">
        <v>34</v>
      </c>
    </row>
    <row r="1829" spans="1:11">
      <c r="A1829" t="s">
        <v>3767</v>
      </c>
      <c r="B1829" s="15">
        <v>45725</v>
      </c>
      <c r="C1829" s="4">
        <v>45717</v>
      </c>
      <c r="D1829" t="s">
        <v>56</v>
      </c>
      <c r="E1829" t="s">
        <v>23</v>
      </c>
      <c r="F1829" t="s">
        <v>58</v>
      </c>
      <c r="G1829" t="s">
        <v>302</v>
      </c>
      <c r="H1829" t="s">
        <v>5</v>
      </c>
      <c r="I1829" t="s">
        <v>1935</v>
      </c>
      <c r="J1829" t="s">
        <v>1936</v>
      </c>
      <c r="K1829" s="8">
        <v>12</v>
      </c>
    </row>
    <row r="1830" spans="1:11">
      <c r="A1830" t="s">
        <v>3768</v>
      </c>
      <c r="B1830" s="15">
        <v>45722</v>
      </c>
      <c r="C1830" s="4">
        <v>45717</v>
      </c>
      <c r="D1830" t="s">
        <v>56</v>
      </c>
      <c r="E1830" t="s">
        <v>23</v>
      </c>
      <c r="F1830" t="s">
        <v>58</v>
      </c>
      <c r="G1830" t="s">
        <v>266</v>
      </c>
      <c r="H1830" t="s">
        <v>8</v>
      </c>
      <c r="I1830" t="s">
        <v>1935</v>
      </c>
      <c r="J1830" t="s">
        <v>1936</v>
      </c>
      <c r="K1830" s="8">
        <v>28</v>
      </c>
    </row>
    <row r="1831" spans="1:11">
      <c r="A1831" t="s">
        <v>3769</v>
      </c>
      <c r="B1831" s="15">
        <v>45729</v>
      </c>
      <c r="C1831" s="4">
        <v>45717</v>
      </c>
      <c r="D1831" t="s">
        <v>56</v>
      </c>
      <c r="E1831" t="s">
        <v>23</v>
      </c>
      <c r="F1831" t="s">
        <v>58</v>
      </c>
      <c r="G1831" t="s">
        <v>260</v>
      </c>
      <c r="H1831" t="s">
        <v>5</v>
      </c>
      <c r="I1831" t="s">
        <v>1935</v>
      </c>
      <c r="J1831" t="s">
        <v>1936</v>
      </c>
      <c r="K1831" s="8">
        <v>20</v>
      </c>
    </row>
    <row r="1832" spans="1:11">
      <c r="A1832" t="s">
        <v>3770</v>
      </c>
      <c r="B1832" s="15">
        <v>45729</v>
      </c>
      <c r="C1832" s="4">
        <v>45717</v>
      </c>
      <c r="D1832" t="s">
        <v>56</v>
      </c>
      <c r="E1832" t="s">
        <v>23</v>
      </c>
      <c r="F1832" t="s">
        <v>58</v>
      </c>
      <c r="G1832" t="s">
        <v>278</v>
      </c>
      <c r="H1832" t="s">
        <v>14</v>
      </c>
      <c r="I1832" t="s">
        <v>1935</v>
      </c>
      <c r="J1832" t="s">
        <v>1936</v>
      </c>
      <c r="K1832" s="8">
        <v>21</v>
      </c>
    </row>
    <row r="1833" spans="1:11">
      <c r="A1833" t="s">
        <v>3771</v>
      </c>
      <c r="B1833" s="15">
        <v>45747</v>
      </c>
      <c r="C1833" s="4">
        <v>45717</v>
      </c>
      <c r="D1833" t="s">
        <v>56</v>
      </c>
      <c r="E1833" t="s">
        <v>23</v>
      </c>
      <c r="F1833" t="s">
        <v>58</v>
      </c>
      <c r="G1833" t="s">
        <v>242</v>
      </c>
      <c r="H1833" t="s">
        <v>11</v>
      </c>
      <c r="I1833" t="s">
        <v>1935</v>
      </c>
      <c r="J1833" t="s">
        <v>1936</v>
      </c>
      <c r="K1833" s="8">
        <v>34</v>
      </c>
    </row>
    <row r="1834" spans="1:11">
      <c r="A1834" t="s">
        <v>3772</v>
      </c>
      <c r="B1834" s="15">
        <v>45726</v>
      </c>
      <c r="C1834" s="4">
        <v>45717</v>
      </c>
      <c r="D1834" t="s">
        <v>56</v>
      </c>
      <c r="E1834" t="s">
        <v>23</v>
      </c>
      <c r="F1834" t="s">
        <v>58</v>
      </c>
      <c r="G1834" t="s">
        <v>278</v>
      </c>
      <c r="H1834" t="s">
        <v>14</v>
      </c>
      <c r="I1834" t="s">
        <v>1935</v>
      </c>
      <c r="J1834" t="s">
        <v>1936</v>
      </c>
      <c r="K1834" s="8">
        <v>28</v>
      </c>
    </row>
    <row r="1835" spans="1:11">
      <c r="A1835" t="s">
        <v>3773</v>
      </c>
      <c r="B1835" s="15">
        <v>45737</v>
      </c>
      <c r="C1835" s="4">
        <v>45717</v>
      </c>
      <c r="D1835" t="s">
        <v>56</v>
      </c>
      <c r="E1835" t="s">
        <v>23</v>
      </c>
      <c r="F1835" t="s">
        <v>58</v>
      </c>
      <c r="G1835" t="s">
        <v>248</v>
      </c>
      <c r="H1835" t="s">
        <v>11</v>
      </c>
      <c r="I1835" t="s">
        <v>1935</v>
      </c>
      <c r="J1835" t="s">
        <v>1936</v>
      </c>
      <c r="K1835" s="8">
        <v>31</v>
      </c>
    </row>
    <row r="1836" spans="1:11">
      <c r="A1836" t="s">
        <v>3774</v>
      </c>
      <c r="B1836" s="15">
        <v>45728</v>
      </c>
      <c r="C1836" s="4">
        <v>45717</v>
      </c>
      <c r="D1836" t="s">
        <v>59</v>
      </c>
      <c r="E1836" t="s">
        <v>25</v>
      </c>
      <c r="F1836" t="s">
        <v>61</v>
      </c>
      <c r="G1836" t="s">
        <v>332</v>
      </c>
      <c r="H1836" t="s">
        <v>8</v>
      </c>
      <c r="I1836" t="s">
        <v>1935</v>
      </c>
      <c r="J1836" t="s">
        <v>1936</v>
      </c>
      <c r="K1836" s="8">
        <v>26</v>
      </c>
    </row>
    <row r="1837" spans="1:11">
      <c r="A1837" t="s">
        <v>3775</v>
      </c>
      <c r="B1837" s="15">
        <v>45721</v>
      </c>
      <c r="C1837" s="4">
        <v>45717</v>
      </c>
      <c r="D1837" t="s">
        <v>59</v>
      </c>
      <c r="E1837" t="s">
        <v>25</v>
      </c>
      <c r="F1837" t="s">
        <v>61</v>
      </c>
      <c r="G1837" t="s">
        <v>380</v>
      </c>
      <c r="H1837" t="s">
        <v>11</v>
      </c>
      <c r="I1837" t="s">
        <v>1935</v>
      </c>
      <c r="J1837" t="s">
        <v>1936</v>
      </c>
      <c r="K1837" s="8">
        <v>24</v>
      </c>
    </row>
    <row r="1838" spans="1:11">
      <c r="A1838" t="s">
        <v>3776</v>
      </c>
      <c r="B1838" s="15">
        <v>45722</v>
      </c>
      <c r="C1838" s="4">
        <v>45717</v>
      </c>
      <c r="D1838" t="s">
        <v>59</v>
      </c>
      <c r="E1838" t="s">
        <v>25</v>
      </c>
      <c r="F1838" t="s">
        <v>61</v>
      </c>
      <c r="G1838" t="s">
        <v>374</v>
      </c>
      <c r="H1838" t="s">
        <v>8</v>
      </c>
      <c r="I1838" t="s">
        <v>1935</v>
      </c>
      <c r="J1838" t="s">
        <v>1954</v>
      </c>
      <c r="K1838" s="8">
        <v>10</v>
      </c>
    </row>
    <row r="1839" spans="1:11">
      <c r="A1839" t="s">
        <v>3777</v>
      </c>
      <c r="B1839" s="15">
        <v>45721</v>
      </c>
      <c r="C1839" s="4">
        <v>45717</v>
      </c>
      <c r="D1839" t="s">
        <v>59</v>
      </c>
      <c r="E1839" t="s">
        <v>25</v>
      </c>
      <c r="F1839" t="s">
        <v>61</v>
      </c>
      <c r="G1839" t="s">
        <v>362</v>
      </c>
      <c r="H1839" t="s">
        <v>14</v>
      </c>
      <c r="I1839" t="s">
        <v>1935</v>
      </c>
      <c r="J1839" t="s">
        <v>1936</v>
      </c>
      <c r="K1839" s="8">
        <v>27</v>
      </c>
    </row>
    <row r="1840" spans="1:11">
      <c r="A1840" t="s">
        <v>3778</v>
      </c>
      <c r="B1840" s="15">
        <v>45742</v>
      </c>
      <c r="C1840" s="4">
        <v>45717</v>
      </c>
      <c r="D1840" t="s">
        <v>59</v>
      </c>
      <c r="E1840" t="s">
        <v>25</v>
      </c>
      <c r="F1840" t="s">
        <v>61</v>
      </c>
      <c r="G1840" t="s">
        <v>350</v>
      </c>
      <c r="H1840" t="s">
        <v>11</v>
      </c>
      <c r="I1840" t="s">
        <v>1935</v>
      </c>
      <c r="J1840" t="s">
        <v>1936</v>
      </c>
      <c r="K1840" s="8">
        <v>15</v>
      </c>
    </row>
    <row r="1841" spans="1:11">
      <c r="A1841" t="s">
        <v>3779</v>
      </c>
      <c r="B1841" s="15">
        <v>45744</v>
      </c>
      <c r="C1841" s="4">
        <v>45717</v>
      </c>
      <c r="D1841" t="s">
        <v>59</v>
      </c>
      <c r="E1841" t="s">
        <v>25</v>
      </c>
      <c r="F1841" t="s">
        <v>61</v>
      </c>
      <c r="G1841" t="s">
        <v>332</v>
      </c>
      <c r="H1841" t="s">
        <v>8</v>
      </c>
      <c r="I1841" t="s">
        <v>1935</v>
      </c>
      <c r="J1841" t="s">
        <v>1936</v>
      </c>
      <c r="K1841" s="8">
        <v>28</v>
      </c>
    </row>
    <row r="1842" spans="1:11">
      <c r="A1842" t="s">
        <v>3780</v>
      </c>
      <c r="B1842" s="15">
        <v>45721</v>
      </c>
      <c r="C1842" s="4">
        <v>45717</v>
      </c>
      <c r="D1842" t="s">
        <v>59</v>
      </c>
      <c r="E1842" t="s">
        <v>25</v>
      </c>
      <c r="F1842" t="s">
        <v>61</v>
      </c>
      <c r="G1842" t="s">
        <v>320</v>
      </c>
      <c r="H1842" t="s">
        <v>11</v>
      </c>
      <c r="I1842" t="s">
        <v>1935</v>
      </c>
      <c r="J1842" t="s">
        <v>1936</v>
      </c>
      <c r="K1842" s="8">
        <v>17</v>
      </c>
    </row>
    <row r="1843" spans="1:11">
      <c r="A1843" t="s">
        <v>3781</v>
      </c>
      <c r="B1843" s="15">
        <v>45735</v>
      </c>
      <c r="C1843" s="4">
        <v>45717</v>
      </c>
      <c r="D1843" t="s">
        <v>59</v>
      </c>
      <c r="E1843" t="s">
        <v>25</v>
      </c>
      <c r="F1843" t="s">
        <v>61</v>
      </c>
      <c r="G1843" t="s">
        <v>380</v>
      </c>
      <c r="H1843" t="s">
        <v>11</v>
      </c>
      <c r="I1843" t="s">
        <v>1995</v>
      </c>
      <c r="J1843" t="s">
        <v>1936</v>
      </c>
      <c r="K1843" s="8">
        <v>3</v>
      </c>
    </row>
    <row r="1844" spans="1:11">
      <c r="A1844" t="s">
        <v>3782</v>
      </c>
      <c r="B1844" s="15">
        <v>45725</v>
      </c>
      <c r="C1844" s="4">
        <v>45717</v>
      </c>
      <c r="D1844" t="s">
        <v>59</v>
      </c>
      <c r="E1844" t="s">
        <v>25</v>
      </c>
      <c r="F1844" t="s">
        <v>61</v>
      </c>
      <c r="G1844" t="s">
        <v>326</v>
      </c>
      <c r="H1844" t="s">
        <v>8</v>
      </c>
      <c r="I1844" t="s">
        <v>1935</v>
      </c>
      <c r="J1844" t="s">
        <v>1938</v>
      </c>
      <c r="K1844" s="8">
        <v>24</v>
      </c>
    </row>
    <row r="1845" spans="1:11">
      <c r="A1845" t="s">
        <v>3783</v>
      </c>
      <c r="B1845" s="15">
        <v>45732</v>
      </c>
      <c r="C1845" s="4">
        <v>45717</v>
      </c>
      <c r="D1845" t="s">
        <v>59</v>
      </c>
      <c r="E1845" t="s">
        <v>25</v>
      </c>
      <c r="F1845" t="s">
        <v>61</v>
      </c>
      <c r="G1845" t="s">
        <v>332</v>
      </c>
      <c r="H1845" t="s">
        <v>8</v>
      </c>
      <c r="I1845" t="s">
        <v>1935</v>
      </c>
      <c r="J1845" t="s">
        <v>1936</v>
      </c>
      <c r="K1845" s="8">
        <v>27</v>
      </c>
    </row>
    <row r="1846" spans="1:11">
      <c r="A1846" t="s">
        <v>3784</v>
      </c>
      <c r="B1846" s="15">
        <v>45733</v>
      </c>
      <c r="C1846" s="4">
        <v>45717</v>
      </c>
      <c r="D1846" t="s">
        <v>62</v>
      </c>
      <c r="E1846" t="s">
        <v>25</v>
      </c>
      <c r="F1846" t="s">
        <v>64</v>
      </c>
      <c r="G1846" t="s">
        <v>370</v>
      </c>
      <c r="H1846" t="s">
        <v>8</v>
      </c>
      <c r="I1846" t="s">
        <v>1935</v>
      </c>
      <c r="J1846" t="s">
        <v>1936</v>
      </c>
      <c r="K1846" s="8">
        <v>19</v>
      </c>
    </row>
    <row r="1847" spans="1:11">
      <c r="A1847" t="s">
        <v>3785</v>
      </c>
      <c r="B1847" s="15">
        <v>45726</v>
      </c>
      <c r="C1847" s="4">
        <v>45717</v>
      </c>
      <c r="D1847" t="s">
        <v>62</v>
      </c>
      <c r="E1847" t="s">
        <v>25</v>
      </c>
      <c r="F1847" t="s">
        <v>64</v>
      </c>
      <c r="G1847" t="s">
        <v>328</v>
      </c>
      <c r="H1847" t="s">
        <v>11</v>
      </c>
      <c r="I1847" t="s">
        <v>1935</v>
      </c>
      <c r="J1847" t="s">
        <v>1936</v>
      </c>
      <c r="K1847" s="8">
        <v>30</v>
      </c>
    </row>
    <row r="1848" spans="1:11">
      <c r="A1848" t="s">
        <v>3786</v>
      </c>
      <c r="B1848" s="15">
        <v>45732</v>
      </c>
      <c r="C1848" s="4">
        <v>45717</v>
      </c>
      <c r="D1848" t="s">
        <v>62</v>
      </c>
      <c r="E1848" t="s">
        <v>25</v>
      </c>
      <c r="F1848" t="s">
        <v>64</v>
      </c>
      <c r="G1848" t="s">
        <v>358</v>
      </c>
      <c r="H1848" t="s">
        <v>8</v>
      </c>
      <c r="I1848" t="s">
        <v>1935</v>
      </c>
      <c r="J1848" t="s">
        <v>1936</v>
      </c>
      <c r="K1848" s="8">
        <v>9</v>
      </c>
    </row>
    <row r="1849" spans="1:11">
      <c r="A1849" t="s">
        <v>3787</v>
      </c>
      <c r="B1849" s="15">
        <v>45729</v>
      </c>
      <c r="C1849" s="4">
        <v>45717</v>
      </c>
      <c r="D1849" t="s">
        <v>62</v>
      </c>
      <c r="E1849" t="s">
        <v>25</v>
      </c>
      <c r="F1849" t="s">
        <v>64</v>
      </c>
      <c r="G1849" t="s">
        <v>352</v>
      </c>
      <c r="H1849" t="s">
        <v>5</v>
      </c>
      <c r="I1849" t="s">
        <v>1935</v>
      </c>
      <c r="J1849" t="s">
        <v>1936</v>
      </c>
      <c r="K1849" s="8">
        <v>21</v>
      </c>
    </row>
    <row r="1850" spans="1:11">
      <c r="A1850" t="s">
        <v>3788</v>
      </c>
      <c r="B1850" s="15">
        <v>45734</v>
      </c>
      <c r="C1850" s="4">
        <v>45717</v>
      </c>
      <c r="D1850" t="s">
        <v>62</v>
      </c>
      <c r="E1850" t="s">
        <v>25</v>
      </c>
      <c r="F1850" t="s">
        <v>64</v>
      </c>
      <c r="G1850" t="s">
        <v>358</v>
      </c>
      <c r="H1850" t="s">
        <v>8</v>
      </c>
      <c r="I1850" t="s">
        <v>1935</v>
      </c>
      <c r="J1850" t="s">
        <v>1936</v>
      </c>
      <c r="K1850" s="8">
        <v>30</v>
      </c>
    </row>
    <row r="1851" spans="1:11">
      <c r="A1851" t="s">
        <v>3789</v>
      </c>
      <c r="B1851" s="15">
        <v>45732</v>
      </c>
      <c r="C1851" s="4">
        <v>45717</v>
      </c>
      <c r="D1851" t="s">
        <v>62</v>
      </c>
      <c r="E1851" t="s">
        <v>25</v>
      </c>
      <c r="F1851" t="s">
        <v>64</v>
      </c>
      <c r="G1851" t="s">
        <v>328</v>
      </c>
      <c r="H1851" t="s">
        <v>14</v>
      </c>
      <c r="I1851" t="s">
        <v>1942</v>
      </c>
      <c r="J1851" t="s">
        <v>1936</v>
      </c>
      <c r="K1851" s="8">
        <v>6</v>
      </c>
    </row>
    <row r="1852" spans="1:11">
      <c r="A1852" t="s">
        <v>3790</v>
      </c>
      <c r="B1852" s="15">
        <v>45727</v>
      </c>
      <c r="C1852" s="4">
        <v>45717</v>
      </c>
      <c r="D1852" t="s">
        <v>62</v>
      </c>
      <c r="E1852" t="s">
        <v>25</v>
      </c>
      <c r="F1852" t="s">
        <v>64</v>
      </c>
      <c r="G1852" t="s">
        <v>364</v>
      </c>
      <c r="H1852" t="s">
        <v>14</v>
      </c>
      <c r="I1852" t="s">
        <v>1935</v>
      </c>
      <c r="J1852" t="s">
        <v>1936</v>
      </c>
      <c r="K1852" s="8">
        <v>12</v>
      </c>
    </row>
    <row r="1853" spans="1:11">
      <c r="A1853" t="s">
        <v>3791</v>
      </c>
      <c r="B1853" s="15">
        <v>45736</v>
      </c>
      <c r="C1853" s="4">
        <v>45717</v>
      </c>
      <c r="D1853" t="s">
        <v>62</v>
      </c>
      <c r="E1853" t="s">
        <v>25</v>
      </c>
      <c r="F1853" t="s">
        <v>64</v>
      </c>
      <c r="G1853" t="s">
        <v>364</v>
      </c>
      <c r="H1853" t="s">
        <v>14</v>
      </c>
      <c r="I1853" t="s">
        <v>1935</v>
      </c>
      <c r="J1853" t="s">
        <v>1936</v>
      </c>
      <c r="K1853" s="8">
        <v>26</v>
      </c>
    </row>
    <row r="1854" spans="1:11">
      <c r="A1854" t="s">
        <v>3792</v>
      </c>
      <c r="B1854" s="15">
        <v>45736</v>
      </c>
      <c r="C1854" s="4">
        <v>45717</v>
      </c>
      <c r="D1854" t="s">
        <v>62</v>
      </c>
      <c r="E1854" t="s">
        <v>25</v>
      </c>
      <c r="F1854" t="s">
        <v>64</v>
      </c>
      <c r="G1854" t="s">
        <v>364</v>
      </c>
      <c r="H1854" t="s">
        <v>14</v>
      </c>
      <c r="I1854" t="s">
        <v>1935</v>
      </c>
      <c r="J1854" t="s">
        <v>1936</v>
      </c>
      <c r="K1854" s="8">
        <v>12</v>
      </c>
    </row>
    <row r="1855" spans="1:11">
      <c r="A1855" t="s">
        <v>3793</v>
      </c>
      <c r="B1855" s="15">
        <v>45733</v>
      </c>
      <c r="C1855" s="4">
        <v>45717</v>
      </c>
      <c r="D1855" t="s">
        <v>62</v>
      </c>
      <c r="E1855" t="s">
        <v>25</v>
      </c>
      <c r="F1855" t="s">
        <v>64</v>
      </c>
      <c r="G1855" t="s">
        <v>358</v>
      </c>
      <c r="H1855" t="s">
        <v>8</v>
      </c>
      <c r="I1855" t="s">
        <v>1935</v>
      </c>
      <c r="J1855" t="s">
        <v>1936</v>
      </c>
      <c r="K1855" s="8">
        <v>21</v>
      </c>
    </row>
    <row r="1856" spans="1:11">
      <c r="A1856" t="s">
        <v>3794</v>
      </c>
      <c r="B1856" s="15">
        <v>45731</v>
      </c>
      <c r="C1856" s="4">
        <v>45717</v>
      </c>
      <c r="D1856" t="s">
        <v>62</v>
      </c>
      <c r="E1856" t="s">
        <v>25</v>
      </c>
      <c r="F1856" t="s">
        <v>64</v>
      </c>
      <c r="G1856" t="s">
        <v>316</v>
      </c>
      <c r="H1856" t="s">
        <v>8</v>
      </c>
      <c r="I1856" t="s">
        <v>1935</v>
      </c>
      <c r="J1856" t="s">
        <v>1938</v>
      </c>
      <c r="K1856" s="8">
        <v>34</v>
      </c>
    </row>
    <row r="1857" spans="1:11">
      <c r="A1857" t="s">
        <v>3795</v>
      </c>
      <c r="B1857" s="15">
        <v>45742</v>
      </c>
      <c r="C1857" s="4">
        <v>45717</v>
      </c>
      <c r="D1857" t="s">
        <v>62</v>
      </c>
      <c r="E1857" t="s">
        <v>25</v>
      </c>
      <c r="F1857" t="s">
        <v>64</v>
      </c>
      <c r="G1857" t="s">
        <v>376</v>
      </c>
      <c r="H1857" t="s">
        <v>8</v>
      </c>
      <c r="I1857" t="s">
        <v>1935</v>
      </c>
      <c r="J1857" t="s">
        <v>1936</v>
      </c>
      <c r="K1857" s="8">
        <v>33</v>
      </c>
    </row>
    <row r="1858" spans="1:11">
      <c r="A1858" t="s">
        <v>3796</v>
      </c>
      <c r="B1858" s="15">
        <v>45717</v>
      </c>
      <c r="C1858" s="4">
        <v>45717</v>
      </c>
      <c r="D1858" t="s">
        <v>65</v>
      </c>
      <c r="E1858" t="s">
        <v>25</v>
      </c>
      <c r="F1858" t="s">
        <v>67</v>
      </c>
      <c r="G1858" t="s">
        <v>318</v>
      </c>
      <c r="H1858" t="s">
        <v>14</v>
      </c>
      <c r="I1858" t="s">
        <v>1935</v>
      </c>
      <c r="J1858" t="s">
        <v>1936</v>
      </c>
      <c r="K1858" s="8">
        <v>16</v>
      </c>
    </row>
    <row r="1859" spans="1:11">
      <c r="A1859" t="s">
        <v>3797</v>
      </c>
      <c r="B1859" s="15">
        <v>45729</v>
      </c>
      <c r="C1859" s="4">
        <v>45717</v>
      </c>
      <c r="D1859" t="s">
        <v>65</v>
      </c>
      <c r="E1859" t="s">
        <v>25</v>
      </c>
      <c r="F1859" t="s">
        <v>67</v>
      </c>
      <c r="G1859" t="s">
        <v>372</v>
      </c>
      <c r="H1859" t="s">
        <v>5</v>
      </c>
      <c r="I1859" t="s">
        <v>1935</v>
      </c>
      <c r="J1859" t="s">
        <v>1936</v>
      </c>
      <c r="K1859" s="8">
        <v>19</v>
      </c>
    </row>
    <row r="1860" spans="1:11">
      <c r="A1860" t="s">
        <v>3798</v>
      </c>
      <c r="B1860" s="15">
        <v>45737</v>
      </c>
      <c r="C1860" s="4">
        <v>45717</v>
      </c>
      <c r="D1860" t="s">
        <v>65</v>
      </c>
      <c r="E1860" t="s">
        <v>25</v>
      </c>
      <c r="F1860" t="s">
        <v>67</v>
      </c>
      <c r="G1860" t="s">
        <v>318</v>
      </c>
      <c r="H1860" t="s">
        <v>14</v>
      </c>
      <c r="I1860" t="s">
        <v>1935</v>
      </c>
      <c r="J1860" t="s">
        <v>1936</v>
      </c>
      <c r="K1860" s="8">
        <v>20</v>
      </c>
    </row>
    <row r="1861" spans="1:11">
      <c r="A1861" t="s">
        <v>3799</v>
      </c>
      <c r="B1861" s="15">
        <v>45729</v>
      </c>
      <c r="C1861" s="4">
        <v>45717</v>
      </c>
      <c r="D1861" t="s">
        <v>65</v>
      </c>
      <c r="E1861" t="s">
        <v>25</v>
      </c>
      <c r="F1861" t="s">
        <v>67</v>
      </c>
      <c r="G1861" t="s">
        <v>354</v>
      </c>
      <c r="H1861" t="s">
        <v>8</v>
      </c>
      <c r="I1861" t="s">
        <v>1935</v>
      </c>
      <c r="J1861" t="s">
        <v>1938</v>
      </c>
      <c r="K1861" s="8">
        <v>17</v>
      </c>
    </row>
    <row r="1862" spans="1:11">
      <c r="A1862" t="s">
        <v>3800</v>
      </c>
      <c r="B1862" s="15">
        <v>45727</v>
      </c>
      <c r="C1862" s="4">
        <v>45717</v>
      </c>
      <c r="D1862" t="s">
        <v>65</v>
      </c>
      <c r="E1862" t="s">
        <v>25</v>
      </c>
      <c r="F1862" t="s">
        <v>67</v>
      </c>
      <c r="G1862" t="s">
        <v>318</v>
      </c>
      <c r="H1862" t="s">
        <v>14</v>
      </c>
      <c r="I1862" t="s">
        <v>1935</v>
      </c>
      <c r="J1862" t="s">
        <v>1936</v>
      </c>
      <c r="K1862" s="8">
        <v>23</v>
      </c>
    </row>
    <row r="1863" spans="1:11">
      <c r="A1863" t="s">
        <v>3801</v>
      </c>
      <c r="B1863" s="15">
        <v>45747</v>
      </c>
      <c r="C1863" s="4">
        <v>45717</v>
      </c>
      <c r="D1863" t="s">
        <v>65</v>
      </c>
      <c r="E1863" t="s">
        <v>25</v>
      </c>
      <c r="F1863" t="s">
        <v>67</v>
      </c>
      <c r="G1863" t="s">
        <v>372</v>
      </c>
      <c r="H1863" t="s">
        <v>5</v>
      </c>
      <c r="I1863" t="s">
        <v>1935</v>
      </c>
      <c r="J1863" t="s">
        <v>1936</v>
      </c>
      <c r="K1863" s="8">
        <v>10</v>
      </c>
    </row>
    <row r="1864" spans="1:11">
      <c r="A1864" t="s">
        <v>3802</v>
      </c>
      <c r="B1864" s="15">
        <v>45725</v>
      </c>
      <c r="C1864" s="4">
        <v>45717</v>
      </c>
      <c r="D1864" t="s">
        <v>65</v>
      </c>
      <c r="E1864" t="s">
        <v>25</v>
      </c>
      <c r="F1864" t="s">
        <v>67</v>
      </c>
      <c r="G1864" t="s">
        <v>342</v>
      </c>
      <c r="H1864" t="s">
        <v>5</v>
      </c>
      <c r="I1864" t="s">
        <v>1935</v>
      </c>
      <c r="J1864" t="s">
        <v>1954</v>
      </c>
      <c r="K1864" s="8">
        <v>35</v>
      </c>
    </row>
    <row r="1865" spans="1:11">
      <c r="A1865" t="s">
        <v>3803</v>
      </c>
      <c r="B1865" s="15">
        <v>45718</v>
      </c>
      <c r="C1865" s="4">
        <v>45717</v>
      </c>
      <c r="D1865" t="s">
        <v>65</v>
      </c>
      <c r="E1865" t="s">
        <v>25</v>
      </c>
      <c r="F1865" t="s">
        <v>67</v>
      </c>
      <c r="G1865" t="s">
        <v>318</v>
      </c>
      <c r="H1865" t="s">
        <v>14</v>
      </c>
      <c r="I1865" t="s">
        <v>1935</v>
      </c>
      <c r="J1865" t="s">
        <v>1936</v>
      </c>
      <c r="K1865" s="8">
        <v>20</v>
      </c>
    </row>
    <row r="1866" spans="1:11">
      <c r="A1866" t="s">
        <v>3804</v>
      </c>
      <c r="B1866" s="15">
        <v>45725</v>
      </c>
      <c r="C1866" s="4">
        <v>45717</v>
      </c>
      <c r="D1866" t="s">
        <v>65</v>
      </c>
      <c r="E1866" t="s">
        <v>25</v>
      </c>
      <c r="F1866" t="s">
        <v>67</v>
      </c>
      <c r="G1866" t="s">
        <v>318</v>
      </c>
      <c r="H1866" t="s">
        <v>11</v>
      </c>
      <c r="I1866" t="s">
        <v>1935</v>
      </c>
      <c r="J1866" t="s">
        <v>1936</v>
      </c>
      <c r="K1866" s="8">
        <v>15</v>
      </c>
    </row>
    <row r="1867" spans="1:11">
      <c r="A1867" t="s">
        <v>3805</v>
      </c>
      <c r="B1867" s="15">
        <v>45729</v>
      </c>
      <c r="C1867" s="4">
        <v>45717</v>
      </c>
      <c r="D1867" t="s">
        <v>65</v>
      </c>
      <c r="E1867" t="s">
        <v>25</v>
      </c>
      <c r="F1867" t="s">
        <v>67</v>
      </c>
      <c r="G1867" t="s">
        <v>348</v>
      </c>
      <c r="H1867" t="s">
        <v>11</v>
      </c>
      <c r="I1867" t="s">
        <v>1935</v>
      </c>
      <c r="J1867" t="s">
        <v>1936</v>
      </c>
      <c r="K1867" s="8">
        <v>13</v>
      </c>
    </row>
    <row r="1868" spans="1:11">
      <c r="A1868" t="s">
        <v>3806</v>
      </c>
      <c r="B1868" s="15">
        <v>45773</v>
      </c>
      <c r="C1868" s="4">
        <v>45748</v>
      </c>
      <c r="D1868" t="s">
        <v>32</v>
      </c>
      <c r="E1868" t="s">
        <v>19</v>
      </c>
      <c r="F1868" t="s">
        <v>34</v>
      </c>
      <c r="G1868" t="s">
        <v>105</v>
      </c>
      <c r="H1868" t="s">
        <v>14</v>
      </c>
      <c r="I1868" t="s">
        <v>1935</v>
      </c>
      <c r="J1868" t="s">
        <v>1936</v>
      </c>
      <c r="K1868" s="8">
        <v>23</v>
      </c>
    </row>
    <row r="1869" spans="1:11">
      <c r="A1869" t="s">
        <v>3807</v>
      </c>
      <c r="B1869" s="15">
        <v>45764</v>
      </c>
      <c r="C1869" s="4">
        <v>45748</v>
      </c>
      <c r="D1869" t="s">
        <v>32</v>
      </c>
      <c r="E1869" t="s">
        <v>19</v>
      </c>
      <c r="F1869" t="s">
        <v>34</v>
      </c>
      <c r="G1869" t="s">
        <v>99</v>
      </c>
      <c r="H1869" t="s">
        <v>14</v>
      </c>
      <c r="I1869" t="s">
        <v>1935</v>
      </c>
      <c r="J1869" t="s">
        <v>1938</v>
      </c>
      <c r="K1869" s="8">
        <v>18</v>
      </c>
    </row>
    <row r="1870" spans="1:11">
      <c r="A1870" t="s">
        <v>3808</v>
      </c>
      <c r="B1870" s="15">
        <v>45748</v>
      </c>
      <c r="C1870" s="4">
        <v>45748</v>
      </c>
      <c r="D1870" t="s">
        <v>32</v>
      </c>
      <c r="E1870" t="s">
        <v>19</v>
      </c>
      <c r="F1870" t="s">
        <v>34</v>
      </c>
      <c r="G1870" t="s">
        <v>105</v>
      </c>
      <c r="H1870" t="s">
        <v>8</v>
      </c>
      <c r="I1870" t="s">
        <v>1935</v>
      </c>
      <c r="J1870" t="s">
        <v>1954</v>
      </c>
      <c r="K1870" s="8">
        <v>9</v>
      </c>
    </row>
    <row r="1871" spans="1:11">
      <c r="A1871" t="s">
        <v>3809</v>
      </c>
      <c r="B1871" s="15">
        <v>45758</v>
      </c>
      <c r="C1871" s="4">
        <v>45748</v>
      </c>
      <c r="D1871" t="s">
        <v>32</v>
      </c>
      <c r="E1871" t="s">
        <v>19</v>
      </c>
      <c r="F1871" t="s">
        <v>34</v>
      </c>
      <c r="G1871" t="s">
        <v>130</v>
      </c>
      <c r="H1871" t="s">
        <v>14</v>
      </c>
      <c r="I1871" t="s">
        <v>1935</v>
      </c>
      <c r="J1871" t="s">
        <v>1936</v>
      </c>
      <c r="K1871" s="8">
        <v>17</v>
      </c>
    </row>
    <row r="1872" spans="1:11">
      <c r="A1872" t="s">
        <v>3810</v>
      </c>
      <c r="B1872" s="15">
        <v>45755</v>
      </c>
      <c r="C1872" s="4">
        <v>45748</v>
      </c>
      <c r="D1872" t="s">
        <v>32</v>
      </c>
      <c r="E1872" t="s">
        <v>19</v>
      </c>
      <c r="F1872" t="s">
        <v>34</v>
      </c>
      <c r="G1872" t="s">
        <v>124</v>
      </c>
      <c r="H1872" t="s">
        <v>5</v>
      </c>
      <c r="I1872" t="s">
        <v>1935</v>
      </c>
      <c r="J1872" t="s">
        <v>1936</v>
      </c>
      <c r="K1872" s="8">
        <v>19</v>
      </c>
    </row>
    <row r="1873" spans="1:11">
      <c r="A1873" t="s">
        <v>3811</v>
      </c>
      <c r="B1873" s="15">
        <v>45759</v>
      </c>
      <c r="C1873" s="4">
        <v>45748</v>
      </c>
      <c r="D1873" t="s">
        <v>32</v>
      </c>
      <c r="E1873" t="s">
        <v>19</v>
      </c>
      <c r="F1873" t="s">
        <v>34</v>
      </c>
      <c r="G1873" t="s">
        <v>92</v>
      </c>
      <c r="H1873" t="s">
        <v>8</v>
      </c>
      <c r="I1873" t="s">
        <v>1935</v>
      </c>
      <c r="J1873" t="s">
        <v>1936</v>
      </c>
      <c r="K1873" s="8">
        <v>19</v>
      </c>
    </row>
    <row r="1874" spans="1:11">
      <c r="A1874" t="s">
        <v>3812</v>
      </c>
      <c r="B1874" s="15">
        <v>45759</v>
      </c>
      <c r="C1874" s="4">
        <v>45748</v>
      </c>
      <c r="D1874" t="s">
        <v>32</v>
      </c>
      <c r="E1874" t="s">
        <v>19</v>
      </c>
      <c r="F1874" t="s">
        <v>34</v>
      </c>
      <c r="G1874" t="s">
        <v>105</v>
      </c>
      <c r="H1874" t="s">
        <v>5</v>
      </c>
      <c r="I1874" t="s">
        <v>1935</v>
      </c>
      <c r="J1874" t="s">
        <v>1936</v>
      </c>
      <c r="K1874" s="8">
        <v>30</v>
      </c>
    </row>
    <row r="1875" spans="1:11">
      <c r="A1875" t="s">
        <v>3813</v>
      </c>
      <c r="B1875" s="15">
        <v>45776</v>
      </c>
      <c r="C1875" s="4">
        <v>45748</v>
      </c>
      <c r="D1875" t="s">
        <v>32</v>
      </c>
      <c r="E1875" t="s">
        <v>19</v>
      </c>
      <c r="F1875" t="s">
        <v>34</v>
      </c>
      <c r="G1875" t="s">
        <v>124</v>
      </c>
      <c r="H1875" t="s">
        <v>8</v>
      </c>
      <c r="I1875" t="s">
        <v>1935</v>
      </c>
      <c r="J1875" t="s">
        <v>1936</v>
      </c>
      <c r="K1875" s="8">
        <v>23</v>
      </c>
    </row>
    <row r="1876" spans="1:11">
      <c r="A1876" t="s">
        <v>3814</v>
      </c>
      <c r="B1876" s="15">
        <v>45772</v>
      </c>
      <c r="C1876" s="4">
        <v>45748</v>
      </c>
      <c r="D1876" t="s">
        <v>32</v>
      </c>
      <c r="E1876" t="s">
        <v>19</v>
      </c>
      <c r="F1876" t="s">
        <v>34</v>
      </c>
      <c r="G1876" t="s">
        <v>124</v>
      </c>
      <c r="H1876" t="s">
        <v>5</v>
      </c>
      <c r="I1876" t="s">
        <v>1935</v>
      </c>
      <c r="J1876" t="s">
        <v>1936</v>
      </c>
      <c r="K1876" s="8">
        <v>24</v>
      </c>
    </row>
    <row r="1877" spans="1:11">
      <c r="A1877" t="s">
        <v>3815</v>
      </c>
      <c r="B1877" s="15">
        <v>45757</v>
      </c>
      <c r="C1877" s="4">
        <v>45748</v>
      </c>
      <c r="D1877" t="s">
        <v>32</v>
      </c>
      <c r="E1877" t="s">
        <v>19</v>
      </c>
      <c r="F1877" t="s">
        <v>34</v>
      </c>
      <c r="G1877" t="s">
        <v>99</v>
      </c>
      <c r="H1877" t="s">
        <v>14</v>
      </c>
      <c r="I1877" t="s">
        <v>1935</v>
      </c>
      <c r="J1877" t="s">
        <v>1936</v>
      </c>
      <c r="K1877" s="8">
        <v>8</v>
      </c>
    </row>
    <row r="1878" spans="1:11">
      <c r="A1878" t="s">
        <v>3816</v>
      </c>
      <c r="B1878" s="15">
        <v>45762</v>
      </c>
      <c r="C1878" s="4">
        <v>45748</v>
      </c>
      <c r="D1878" t="s">
        <v>32</v>
      </c>
      <c r="E1878" t="s">
        <v>19</v>
      </c>
      <c r="F1878" t="s">
        <v>34</v>
      </c>
      <c r="G1878" t="s">
        <v>105</v>
      </c>
      <c r="H1878" t="s">
        <v>11</v>
      </c>
      <c r="I1878" t="s">
        <v>1935</v>
      </c>
      <c r="J1878" t="s">
        <v>1936</v>
      </c>
      <c r="K1878" s="8">
        <v>11</v>
      </c>
    </row>
    <row r="1879" spans="1:11">
      <c r="A1879" t="s">
        <v>3817</v>
      </c>
      <c r="B1879" s="15">
        <v>45766</v>
      </c>
      <c r="C1879" s="4">
        <v>45748</v>
      </c>
      <c r="D1879" t="s">
        <v>35</v>
      </c>
      <c r="E1879" t="s">
        <v>19</v>
      </c>
      <c r="F1879" t="s">
        <v>37</v>
      </c>
      <c r="G1879" t="s">
        <v>88</v>
      </c>
      <c r="H1879" t="s">
        <v>8</v>
      </c>
      <c r="I1879" t="s">
        <v>1935</v>
      </c>
      <c r="J1879" t="s">
        <v>1936</v>
      </c>
      <c r="K1879" s="8">
        <v>17</v>
      </c>
    </row>
    <row r="1880" spans="1:11">
      <c r="A1880" t="s">
        <v>3818</v>
      </c>
      <c r="B1880" s="15">
        <v>45748</v>
      </c>
      <c r="C1880" s="4">
        <v>45748</v>
      </c>
      <c r="D1880" t="s">
        <v>35</v>
      </c>
      <c r="E1880" t="s">
        <v>19</v>
      </c>
      <c r="F1880" t="s">
        <v>37</v>
      </c>
      <c r="G1880" t="s">
        <v>101</v>
      </c>
      <c r="H1880" t="s">
        <v>14</v>
      </c>
      <c r="I1880" t="s">
        <v>1935</v>
      </c>
      <c r="J1880" t="s">
        <v>1938</v>
      </c>
      <c r="K1880" s="8">
        <v>34</v>
      </c>
    </row>
    <row r="1881" spans="1:11">
      <c r="A1881" t="s">
        <v>3819</v>
      </c>
      <c r="B1881" s="15">
        <v>45761</v>
      </c>
      <c r="C1881" s="4">
        <v>45748</v>
      </c>
      <c r="D1881" t="s">
        <v>35</v>
      </c>
      <c r="E1881" t="s">
        <v>19</v>
      </c>
      <c r="F1881" t="s">
        <v>37</v>
      </c>
      <c r="G1881" t="s">
        <v>107</v>
      </c>
      <c r="H1881" t="s">
        <v>8</v>
      </c>
      <c r="I1881" t="s">
        <v>1935</v>
      </c>
      <c r="J1881" t="s">
        <v>1936</v>
      </c>
      <c r="K1881" s="8">
        <v>34</v>
      </c>
    </row>
    <row r="1882" spans="1:11">
      <c r="A1882" t="s">
        <v>3820</v>
      </c>
      <c r="B1882" s="15">
        <v>45775</v>
      </c>
      <c r="C1882" s="4">
        <v>45748</v>
      </c>
      <c r="D1882" t="s">
        <v>35</v>
      </c>
      <c r="E1882" t="s">
        <v>19</v>
      </c>
      <c r="F1882" t="s">
        <v>37</v>
      </c>
      <c r="G1882" t="s">
        <v>107</v>
      </c>
      <c r="H1882" t="s">
        <v>8</v>
      </c>
      <c r="I1882" t="s">
        <v>1935</v>
      </c>
      <c r="J1882" t="s">
        <v>1936</v>
      </c>
      <c r="K1882" s="8">
        <v>32</v>
      </c>
    </row>
    <row r="1883" spans="1:11">
      <c r="A1883" t="s">
        <v>3821</v>
      </c>
      <c r="B1883" s="15">
        <v>45752</v>
      </c>
      <c r="C1883" s="4">
        <v>45748</v>
      </c>
      <c r="D1883" t="s">
        <v>35</v>
      </c>
      <c r="E1883" t="s">
        <v>19</v>
      </c>
      <c r="F1883" t="s">
        <v>37</v>
      </c>
      <c r="G1883" t="s">
        <v>107</v>
      </c>
      <c r="H1883" t="s">
        <v>8</v>
      </c>
      <c r="I1883" t="s">
        <v>1935</v>
      </c>
      <c r="J1883" t="s">
        <v>1936</v>
      </c>
      <c r="K1883" s="8">
        <v>31</v>
      </c>
    </row>
    <row r="1884" spans="1:11">
      <c r="A1884" t="s">
        <v>3822</v>
      </c>
      <c r="B1884" s="15">
        <v>45767</v>
      </c>
      <c r="C1884" s="4">
        <v>45748</v>
      </c>
      <c r="D1884" t="s">
        <v>35</v>
      </c>
      <c r="E1884" t="s">
        <v>19</v>
      </c>
      <c r="F1884" t="s">
        <v>37</v>
      </c>
      <c r="G1884" t="s">
        <v>107</v>
      </c>
      <c r="H1884" t="s">
        <v>8</v>
      </c>
      <c r="I1884" t="s">
        <v>1935</v>
      </c>
      <c r="J1884" t="s">
        <v>1936</v>
      </c>
      <c r="K1884" s="8">
        <v>28</v>
      </c>
    </row>
    <row r="1885" spans="1:11">
      <c r="A1885" t="s">
        <v>3823</v>
      </c>
      <c r="B1885" s="15">
        <v>45749</v>
      </c>
      <c r="C1885" s="4">
        <v>45748</v>
      </c>
      <c r="D1885" t="s">
        <v>35</v>
      </c>
      <c r="E1885" t="s">
        <v>19</v>
      </c>
      <c r="F1885" t="s">
        <v>37</v>
      </c>
      <c r="G1885" t="s">
        <v>78</v>
      </c>
      <c r="H1885" t="s">
        <v>8</v>
      </c>
      <c r="I1885" t="s">
        <v>1935</v>
      </c>
      <c r="J1885" t="s">
        <v>1938</v>
      </c>
      <c r="K1885" s="8">
        <v>24</v>
      </c>
    </row>
    <row r="1886" spans="1:11">
      <c r="A1886" t="s">
        <v>3824</v>
      </c>
      <c r="B1886" s="15">
        <v>45777</v>
      </c>
      <c r="C1886" s="4">
        <v>45748</v>
      </c>
      <c r="D1886" t="s">
        <v>35</v>
      </c>
      <c r="E1886" t="s">
        <v>19</v>
      </c>
      <c r="F1886" t="s">
        <v>37</v>
      </c>
      <c r="G1886" t="s">
        <v>101</v>
      </c>
      <c r="H1886" t="s">
        <v>5</v>
      </c>
      <c r="I1886" t="s">
        <v>1935</v>
      </c>
      <c r="J1886" t="s">
        <v>1936</v>
      </c>
      <c r="K1886" s="8">
        <v>22</v>
      </c>
    </row>
    <row r="1887" spans="1:11">
      <c r="A1887" t="s">
        <v>3825</v>
      </c>
      <c r="B1887" s="15">
        <v>45750</v>
      </c>
      <c r="C1887" s="4">
        <v>45748</v>
      </c>
      <c r="D1887" t="s">
        <v>35</v>
      </c>
      <c r="E1887" t="s">
        <v>19</v>
      </c>
      <c r="F1887" t="s">
        <v>37</v>
      </c>
      <c r="G1887" t="s">
        <v>107</v>
      </c>
      <c r="H1887" t="s">
        <v>8</v>
      </c>
      <c r="I1887" t="s">
        <v>1935</v>
      </c>
      <c r="J1887" t="s">
        <v>1936</v>
      </c>
      <c r="K1887" s="8">
        <v>17</v>
      </c>
    </row>
    <row r="1888" spans="1:11">
      <c r="A1888" t="s">
        <v>3826</v>
      </c>
      <c r="B1888" s="15">
        <v>45771</v>
      </c>
      <c r="C1888" s="4">
        <v>45748</v>
      </c>
      <c r="D1888" t="s">
        <v>35</v>
      </c>
      <c r="E1888" t="s">
        <v>19</v>
      </c>
      <c r="F1888" t="s">
        <v>37</v>
      </c>
      <c r="G1888" t="s">
        <v>107</v>
      </c>
      <c r="H1888" t="s">
        <v>8</v>
      </c>
      <c r="I1888" t="s">
        <v>1942</v>
      </c>
      <c r="J1888" t="s">
        <v>1936</v>
      </c>
      <c r="K1888" s="8">
        <v>7</v>
      </c>
    </row>
    <row r="1889" spans="1:11">
      <c r="A1889" t="s">
        <v>3827</v>
      </c>
      <c r="B1889" s="15">
        <v>45772</v>
      </c>
      <c r="C1889" s="4">
        <v>45748</v>
      </c>
      <c r="D1889" t="s">
        <v>35</v>
      </c>
      <c r="E1889" t="s">
        <v>19</v>
      </c>
      <c r="F1889" t="s">
        <v>37</v>
      </c>
      <c r="G1889" t="s">
        <v>78</v>
      </c>
      <c r="H1889" t="s">
        <v>8</v>
      </c>
      <c r="I1889" t="s">
        <v>1935</v>
      </c>
      <c r="J1889" t="s">
        <v>1938</v>
      </c>
      <c r="K1889" s="8">
        <v>19</v>
      </c>
    </row>
    <row r="1890" spans="1:11">
      <c r="A1890" t="s">
        <v>3828</v>
      </c>
      <c r="B1890" s="15">
        <v>45774</v>
      </c>
      <c r="C1890" s="4">
        <v>45748</v>
      </c>
      <c r="D1890" t="s">
        <v>35</v>
      </c>
      <c r="E1890" t="s">
        <v>19</v>
      </c>
      <c r="F1890" t="s">
        <v>37</v>
      </c>
      <c r="G1890" t="s">
        <v>78</v>
      </c>
      <c r="H1890" t="s">
        <v>8</v>
      </c>
      <c r="I1890" t="s">
        <v>1935</v>
      </c>
      <c r="J1890" t="s">
        <v>1938</v>
      </c>
      <c r="K1890" s="8">
        <v>9</v>
      </c>
    </row>
    <row r="1891" spans="1:11">
      <c r="A1891" t="s">
        <v>3829</v>
      </c>
      <c r="B1891" s="15">
        <v>45749</v>
      </c>
      <c r="C1891" s="4">
        <v>45748</v>
      </c>
      <c r="D1891" t="s">
        <v>35</v>
      </c>
      <c r="E1891" t="s">
        <v>19</v>
      </c>
      <c r="F1891" t="s">
        <v>37</v>
      </c>
      <c r="G1891" t="s">
        <v>107</v>
      </c>
      <c r="H1891" t="s">
        <v>8</v>
      </c>
      <c r="I1891" t="s">
        <v>1935</v>
      </c>
      <c r="J1891" t="s">
        <v>1954</v>
      </c>
      <c r="K1891" s="8">
        <v>24</v>
      </c>
    </row>
    <row r="1892" spans="1:11">
      <c r="A1892" t="s">
        <v>3830</v>
      </c>
      <c r="B1892" s="15">
        <v>45754</v>
      </c>
      <c r="C1892" s="4">
        <v>45748</v>
      </c>
      <c r="D1892" t="s">
        <v>38</v>
      </c>
      <c r="E1892" t="s">
        <v>19</v>
      </c>
      <c r="F1892" t="s">
        <v>40</v>
      </c>
      <c r="G1892" t="s">
        <v>140</v>
      </c>
      <c r="H1892" t="s">
        <v>5</v>
      </c>
      <c r="I1892" t="s">
        <v>1935</v>
      </c>
      <c r="J1892" t="s">
        <v>1936</v>
      </c>
      <c r="K1892" s="8">
        <v>23</v>
      </c>
    </row>
    <row r="1893" spans="1:11">
      <c r="A1893" t="s">
        <v>3831</v>
      </c>
      <c r="B1893" s="15">
        <v>45750</v>
      </c>
      <c r="C1893" s="4">
        <v>45748</v>
      </c>
      <c r="D1893" t="s">
        <v>38</v>
      </c>
      <c r="E1893" t="s">
        <v>19</v>
      </c>
      <c r="F1893" t="s">
        <v>40</v>
      </c>
      <c r="G1893" t="s">
        <v>82</v>
      </c>
      <c r="H1893" t="s">
        <v>5</v>
      </c>
      <c r="I1893" t="s">
        <v>1935</v>
      </c>
      <c r="J1893" t="s">
        <v>1936</v>
      </c>
      <c r="K1893" s="8">
        <v>16</v>
      </c>
    </row>
    <row r="1894" spans="1:11">
      <c r="A1894" t="s">
        <v>3832</v>
      </c>
      <c r="B1894" s="15">
        <v>45755</v>
      </c>
      <c r="C1894" s="4">
        <v>45748</v>
      </c>
      <c r="D1894" t="s">
        <v>38</v>
      </c>
      <c r="E1894" t="s">
        <v>19</v>
      </c>
      <c r="F1894" t="s">
        <v>40</v>
      </c>
      <c r="G1894" t="s">
        <v>122</v>
      </c>
      <c r="H1894" t="s">
        <v>5</v>
      </c>
      <c r="I1894" t="s">
        <v>1935</v>
      </c>
      <c r="J1894" t="s">
        <v>1954</v>
      </c>
      <c r="K1894" s="8">
        <v>9</v>
      </c>
    </row>
    <row r="1895" spans="1:11">
      <c r="A1895" t="s">
        <v>3833</v>
      </c>
      <c r="B1895" s="15">
        <v>45749</v>
      </c>
      <c r="C1895" s="4">
        <v>45748</v>
      </c>
      <c r="D1895" t="s">
        <v>38</v>
      </c>
      <c r="E1895" t="s">
        <v>19</v>
      </c>
      <c r="F1895" t="s">
        <v>40</v>
      </c>
      <c r="G1895" t="s">
        <v>122</v>
      </c>
      <c r="H1895" t="s">
        <v>8</v>
      </c>
      <c r="I1895" t="s">
        <v>1935</v>
      </c>
      <c r="J1895" t="s">
        <v>1936</v>
      </c>
      <c r="K1895" s="8">
        <v>27</v>
      </c>
    </row>
    <row r="1896" spans="1:11">
      <c r="A1896" t="s">
        <v>3834</v>
      </c>
      <c r="B1896" s="15">
        <v>45750</v>
      </c>
      <c r="C1896" s="4">
        <v>45748</v>
      </c>
      <c r="D1896" t="s">
        <v>38</v>
      </c>
      <c r="E1896" t="s">
        <v>19</v>
      </c>
      <c r="F1896" t="s">
        <v>40</v>
      </c>
      <c r="G1896" t="s">
        <v>134</v>
      </c>
      <c r="H1896" t="s">
        <v>14</v>
      </c>
      <c r="I1896" t="s">
        <v>1935</v>
      </c>
      <c r="J1896" t="s">
        <v>1936</v>
      </c>
      <c r="K1896" s="8">
        <v>19</v>
      </c>
    </row>
    <row r="1897" spans="1:11">
      <c r="A1897" t="s">
        <v>3835</v>
      </c>
      <c r="B1897" s="15">
        <v>45751</v>
      </c>
      <c r="C1897" s="4">
        <v>45748</v>
      </c>
      <c r="D1897" t="s">
        <v>38</v>
      </c>
      <c r="E1897" t="s">
        <v>19</v>
      </c>
      <c r="F1897" t="s">
        <v>40</v>
      </c>
      <c r="G1897" t="s">
        <v>128</v>
      </c>
      <c r="H1897" t="s">
        <v>14</v>
      </c>
      <c r="I1897" t="s">
        <v>1935</v>
      </c>
      <c r="J1897" t="s">
        <v>1936</v>
      </c>
      <c r="K1897" s="8">
        <v>15</v>
      </c>
    </row>
    <row r="1898" spans="1:11">
      <c r="A1898" t="s">
        <v>3836</v>
      </c>
      <c r="B1898" s="15">
        <v>45777</v>
      </c>
      <c r="C1898" s="4">
        <v>45748</v>
      </c>
      <c r="D1898" t="s">
        <v>38</v>
      </c>
      <c r="E1898" t="s">
        <v>19</v>
      </c>
      <c r="F1898" t="s">
        <v>40</v>
      </c>
      <c r="G1898" t="s">
        <v>109</v>
      </c>
      <c r="H1898" t="s">
        <v>11</v>
      </c>
      <c r="I1898" t="s">
        <v>1935</v>
      </c>
      <c r="J1898" t="s">
        <v>1936</v>
      </c>
      <c r="K1898" s="8">
        <v>28</v>
      </c>
    </row>
    <row r="1899" spans="1:11">
      <c r="A1899" t="s">
        <v>3837</v>
      </c>
      <c r="B1899" s="15">
        <v>45765</v>
      </c>
      <c r="C1899" s="4">
        <v>45748</v>
      </c>
      <c r="D1899" t="s">
        <v>38</v>
      </c>
      <c r="E1899" t="s">
        <v>19</v>
      </c>
      <c r="F1899" t="s">
        <v>40</v>
      </c>
      <c r="G1899" t="s">
        <v>140</v>
      </c>
      <c r="H1899" t="s">
        <v>11</v>
      </c>
      <c r="I1899" t="s">
        <v>1935</v>
      </c>
      <c r="J1899" t="s">
        <v>1936</v>
      </c>
      <c r="K1899" s="8">
        <v>35</v>
      </c>
    </row>
    <row r="1900" spans="1:11">
      <c r="A1900" t="s">
        <v>3838</v>
      </c>
      <c r="B1900" s="15">
        <v>45761</v>
      </c>
      <c r="C1900" s="4">
        <v>45748</v>
      </c>
      <c r="D1900" t="s">
        <v>38</v>
      </c>
      <c r="E1900" t="s">
        <v>19</v>
      </c>
      <c r="F1900" t="s">
        <v>40</v>
      </c>
      <c r="G1900" t="s">
        <v>164</v>
      </c>
      <c r="H1900" t="s">
        <v>5</v>
      </c>
      <c r="I1900" t="s">
        <v>1935</v>
      </c>
      <c r="J1900" t="s">
        <v>1936</v>
      </c>
      <c r="K1900" s="8">
        <v>26</v>
      </c>
    </row>
    <row r="1901" spans="1:11">
      <c r="A1901" t="s">
        <v>3839</v>
      </c>
      <c r="B1901" s="15">
        <v>45768</v>
      </c>
      <c r="C1901" s="4">
        <v>45748</v>
      </c>
      <c r="D1901" t="s">
        <v>38</v>
      </c>
      <c r="E1901" t="s">
        <v>19</v>
      </c>
      <c r="F1901" t="s">
        <v>40</v>
      </c>
      <c r="G1901" t="s">
        <v>134</v>
      </c>
      <c r="H1901" t="s">
        <v>14</v>
      </c>
      <c r="I1901" t="s">
        <v>1935</v>
      </c>
      <c r="J1901" t="s">
        <v>1936</v>
      </c>
      <c r="K1901" s="8">
        <v>21</v>
      </c>
    </row>
    <row r="1902" spans="1:11">
      <c r="A1902" t="s">
        <v>3840</v>
      </c>
      <c r="B1902" s="15">
        <v>45774</v>
      </c>
      <c r="C1902" s="4">
        <v>45748</v>
      </c>
      <c r="D1902" t="s">
        <v>38</v>
      </c>
      <c r="E1902" t="s">
        <v>19</v>
      </c>
      <c r="F1902" t="s">
        <v>40</v>
      </c>
      <c r="G1902" t="s">
        <v>82</v>
      </c>
      <c r="H1902" t="s">
        <v>5</v>
      </c>
      <c r="I1902" t="s">
        <v>1935</v>
      </c>
      <c r="J1902" t="s">
        <v>1936</v>
      </c>
      <c r="K1902" s="8">
        <v>13</v>
      </c>
    </row>
    <row r="1903" spans="1:11">
      <c r="A1903" t="s">
        <v>3841</v>
      </c>
      <c r="B1903" s="15">
        <v>45759</v>
      </c>
      <c r="C1903" s="4">
        <v>45748</v>
      </c>
      <c r="D1903" t="s">
        <v>38</v>
      </c>
      <c r="E1903" t="s">
        <v>19</v>
      </c>
      <c r="F1903" t="s">
        <v>40</v>
      </c>
      <c r="G1903" t="s">
        <v>82</v>
      </c>
      <c r="H1903" t="s">
        <v>11</v>
      </c>
      <c r="I1903" t="s">
        <v>1935</v>
      </c>
      <c r="J1903" t="s">
        <v>1936</v>
      </c>
      <c r="K1903" s="8">
        <v>9</v>
      </c>
    </row>
    <row r="1904" spans="1:11">
      <c r="A1904" t="s">
        <v>3842</v>
      </c>
      <c r="B1904" s="15">
        <v>45757</v>
      </c>
      <c r="C1904" s="4">
        <v>45748</v>
      </c>
      <c r="D1904" t="s">
        <v>41</v>
      </c>
      <c r="E1904" t="s">
        <v>21</v>
      </c>
      <c r="F1904" t="s">
        <v>43</v>
      </c>
      <c r="G1904" t="s">
        <v>190</v>
      </c>
      <c r="H1904" t="s">
        <v>8</v>
      </c>
      <c r="I1904" t="s">
        <v>1935</v>
      </c>
      <c r="J1904" t="s">
        <v>1936</v>
      </c>
      <c r="K1904" s="8">
        <v>32</v>
      </c>
    </row>
    <row r="1905" spans="1:11">
      <c r="A1905" t="s">
        <v>3843</v>
      </c>
      <c r="B1905" s="15">
        <v>45769</v>
      </c>
      <c r="C1905" s="4">
        <v>45748</v>
      </c>
      <c r="D1905" t="s">
        <v>41</v>
      </c>
      <c r="E1905" t="s">
        <v>21</v>
      </c>
      <c r="F1905" t="s">
        <v>43</v>
      </c>
      <c r="G1905" t="s">
        <v>166</v>
      </c>
      <c r="H1905" t="s">
        <v>14</v>
      </c>
      <c r="I1905" t="s">
        <v>1935</v>
      </c>
      <c r="J1905" t="s">
        <v>1936</v>
      </c>
      <c r="K1905" s="8">
        <v>24</v>
      </c>
    </row>
    <row r="1906" spans="1:11">
      <c r="A1906" t="s">
        <v>3844</v>
      </c>
      <c r="B1906" s="15">
        <v>45760</v>
      </c>
      <c r="C1906" s="4">
        <v>45748</v>
      </c>
      <c r="D1906" t="s">
        <v>41</v>
      </c>
      <c r="E1906" t="s">
        <v>21</v>
      </c>
      <c r="F1906" t="s">
        <v>43</v>
      </c>
      <c r="G1906" t="s">
        <v>220</v>
      </c>
      <c r="H1906" t="s">
        <v>11</v>
      </c>
      <c r="I1906" t="s">
        <v>1935</v>
      </c>
      <c r="J1906" t="s">
        <v>1936</v>
      </c>
      <c r="K1906" s="8">
        <v>18</v>
      </c>
    </row>
    <row r="1907" spans="1:11">
      <c r="A1907" t="s">
        <v>3845</v>
      </c>
      <c r="B1907" s="15">
        <v>45749</v>
      </c>
      <c r="C1907" s="4">
        <v>45748</v>
      </c>
      <c r="D1907" t="s">
        <v>41</v>
      </c>
      <c r="E1907" t="s">
        <v>21</v>
      </c>
      <c r="F1907" t="s">
        <v>43</v>
      </c>
      <c r="G1907" t="s">
        <v>226</v>
      </c>
      <c r="H1907" t="s">
        <v>5</v>
      </c>
      <c r="I1907" t="s">
        <v>1935</v>
      </c>
      <c r="J1907" t="s">
        <v>1938</v>
      </c>
      <c r="K1907" s="8">
        <v>24</v>
      </c>
    </row>
    <row r="1908" spans="1:11">
      <c r="A1908" t="s">
        <v>3846</v>
      </c>
      <c r="B1908" s="15">
        <v>45755</v>
      </c>
      <c r="C1908" s="4">
        <v>45748</v>
      </c>
      <c r="D1908" t="s">
        <v>41</v>
      </c>
      <c r="E1908" t="s">
        <v>21</v>
      </c>
      <c r="F1908" t="s">
        <v>43</v>
      </c>
      <c r="G1908" t="s">
        <v>226</v>
      </c>
      <c r="H1908" t="s">
        <v>5</v>
      </c>
      <c r="I1908" t="s">
        <v>1935</v>
      </c>
      <c r="J1908" t="s">
        <v>1936</v>
      </c>
      <c r="K1908" s="8">
        <v>33</v>
      </c>
    </row>
    <row r="1909" spans="1:11">
      <c r="A1909" t="s">
        <v>3847</v>
      </c>
      <c r="B1909" s="15">
        <v>45774</v>
      </c>
      <c r="C1909" s="4">
        <v>45748</v>
      </c>
      <c r="D1909" t="s">
        <v>41</v>
      </c>
      <c r="E1909" t="s">
        <v>21</v>
      </c>
      <c r="F1909" t="s">
        <v>43</v>
      </c>
      <c r="G1909" t="s">
        <v>214</v>
      </c>
      <c r="H1909" t="s">
        <v>14</v>
      </c>
      <c r="I1909" t="s">
        <v>1935</v>
      </c>
      <c r="J1909" t="s">
        <v>1936</v>
      </c>
      <c r="K1909" s="8">
        <v>28</v>
      </c>
    </row>
    <row r="1910" spans="1:11">
      <c r="A1910" t="s">
        <v>3848</v>
      </c>
      <c r="B1910" s="15">
        <v>45775</v>
      </c>
      <c r="C1910" s="4">
        <v>45748</v>
      </c>
      <c r="D1910" t="s">
        <v>41</v>
      </c>
      <c r="E1910" t="s">
        <v>21</v>
      </c>
      <c r="F1910" t="s">
        <v>43</v>
      </c>
      <c r="G1910" t="s">
        <v>208</v>
      </c>
      <c r="H1910" t="s">
        <v>11</v>
      </c>
      <c r="I1910" t="s">
        <v>1935</v>
      </c>
      <c r="J1910" t="s">
        <v>1954</v>
      </c>
      <c r="K1910" s="8">
        <v>22</v>
      </c>
    </row>
    <row r="1911" spans="1:11">
      <c r="A1911" t="s">
        <v>3849</v>
      </c>
      <c r="B1911" s="15">
        <v>45754</v>
      </c>
      <c r="C1911" s="4">
        <v>45748</v>
      </c>
      <c r="D1911" t="s">
        <v>41</v>
      </c>
      <c r="E1911" t="s">
        <v>21</v>
      </c>
      <c r="F1911" t="s">
        <v>43</v>
      </c>
      <c r="G1911" t="s">
        <v>166</v>
      </c>
      <c r="H1911" t="s">
        <v>14</v>
      </c>
      <c r="I1911" t="s">
        <v>1935</v>
      </c>
      <c r="J1911" t="s">
        <v>1936</v>
      </c>
      <c r="K1911" s="8">
        <v>22</v>
      </c>
    </row>
    <row r="1912" spans="1:11">
      <c r="A1912" t="s">
        <v>3850</v>
      </c>
      <c r="B1912" s="15">
        <v>45777</v>
      </c>
      <c r="C1912" s="4">
        <v>45748</v>
      </c>
      <c r="D1912" t="s">
        <v>41</v>
      </c>
      <c r="E1912" t="s">
        <v>21</v>
      </c>
      <c r="F1912" t="s">
        <v>43</v>
      </c>
      <c r="G1912" t="s">
        <v>220</v>
      </c>
      <c r="H1912" t="s">
        <v>11</v>
      </c>
      <c r="I1912" t="s">
        <v>1935</v>
      </c>
      <c r="J1912" t="s">
        <v>1936</v>
      </c>
      <c r="K1912" s="8">
        <v>17</v>
      </c>
    </row>
    <row r="1913" spans="1:11">
      <c r="A1913" t="s">
        <v>3851</v>
      </c>
      <c r="B1913" s="15">
        <v>45773</v>
      </c>
      <c r="C1913" s="4">
        <v>45748</v>
      </c>
      <c r="D1913" t="s">
        <v>41</v>
      </c>
      <c r="E1913" t="s">
        <v>21</v>
      </c>
      <c r="F1913" t="s">
        <v>43</v>
      </c>
      <c r="G1913" t="s">
        <v>214</v>
      </c>
      <c r="H1913" t="s">
        <v>8</v>
      </c>
      <c r="I1913" t="s">
        <v>1995</v>
      </c>
      <c r="J1913" t="s">
        <v>1936</v>
      </c>
      <c r="K1913" s="8">
        <v>1</v>
      </c>
    </row>
    <row r="1914" spans="1:11">
      <c r="A1914" t="s">
        <v>3852</v>
      </c>
      <c r="B1914" s="15">
        <v>45761</v>
      </c>
      <c r="C1914" s="4">
        <v>45748</v>
      </c>
      <c r="D1914" t="s">
        <v>41</v>
      </c>
      <c r="E1914" t="s">
        <v>21</v>
      </c>
      <c r="F1914" t="s">
        <v>43</v>
      </c>
      <c r="G1914" t="s">
        <v>196</v>
      </c>
      <c r="H1914" t="s">
        <v>11</v>
      </c>
      <c r="I1914" t="s">
        <v>1935</v>
      </c>
      <c r="J1914" t="s">
        <v>1936</v>
      </c>
      <c r="K1914" s="8">
        <v>35</v>
      </c>
    </row>
    <row r="1915" spans="1:11">
      <c r="A1915" t="s">
        <v>3853</v>
      </c>
      <c r="B1915" s="15">
        <v>45751</v>
      </c>
      <c r="C1915" s="4">
        <v>45748</v>
      </c>
      <c r="D1915" t="s">
        <v>41</v>
      </c>
      <c r="E1915" t="s">
        <v>21</v>
      </c>
      <c r="F1915" t="s">
        <v>43</v>
      </c>
      <c r="G1915" t="s">
        <v>232</v>
      </c>
      <c r="H1915" t="s">
        <v>11</v>
      </c>
      <c r="I1915" t="s">
        <v>1942</v>
      </c>
      <c r="J1915" t="s">
        <v>1938</v>
      </c>
      <c r="K1915" s="8">
        <v>1</v>
      </c>
    </row>
    <row r="1916" spans="1:11">
      <c r="A1916" t="s">
        <v>3854</v>
      </c>
      <c r="B1916" s="15">
        <v>45758</v>
      </c>
      <c r="C1916" s="4">
        <v>45748</v>
      </c>
      <c r="D1916" t="s">
        <v>44</v>
      </c>
      <c r="E1916" t="s">
        <v>21</v>
      </c>
      <c r="F1916" t="s">
        <v>46</v>
      </c>
      <c r="G1916" t="s">
        <v>180</v>
      </c>
      <c r="H1916" t="s">
        <v>11</v>
      </c>
      <c r="I1916" t="s">
        <v>1935</v>
      </c>
      <c r="J1916" t="s">
        <v>1936</v>
      </c>
      <c r="K1916" s="8">
        <v>13</v>
      </c>
    </row>
    <row r="1917" spans="1:11">
      <c r="A1917" t="s">
        <v>3855</v>
      </c>
      <c r="B1917" s="15">
        <v>45762</v>
      </c>
      <c r="C1917" s="4">
        <v>45748</v>
      </c>
      <c r="D1917" t="s">
        <v>44</v>
      </c>
      <c r="E1917" t="s">
        <v>21</v>
      </c>
      <c r="F1917" t="s">
        <v>46</v>
      </c>
      <c r="G1917" t="s">
        <v>210</v>
      </c>
      <c r="H1917" t="s">
        <v>8</v>
      </c>
      <c r="I1917" t="s">
        <v>1935</v>
      </c>
      <c r="J1917" t="s">
        <v>1936</v>
      </c>
      <c r="K1917" s="8">
        <v>15</v>
      </c>
    </row>
    <row r="1918" spans="1:11">
      <c r="A1918" t="s">
        <v>3856</v>
      </c>
      <c r="B1918" s="15">
        <v>45763</v>
      </c>
      <c r="C1918" s="4">
        <v>45748</v>
      </c>
      <c r="D1918" t="s">
        <v>44</v>
      </c>
      <c r="E1918" t="s">
        <v>21</v>
      </c>
      <c r="F1918" t="s">
        <v>46</v>
      </c>
      <c r="G1918" t="s">
        <v>216</v>
      </c>
      <c r="H1918" t="s">
        <v>14</v>
      </c>
      <c r="I1918" t="s">
        <v>1935</v>
      </c>
      <c r="J1918" t="s">
        <v>1936</v>
      </c>
      <c r="K1918" s="8">
        <v>29</v>
      </c>
    </row>
    <row r="1919" spans="1:11">
      <c r="A1919" t="s">
        <v>3857</v>
      </c>
      <c r="B1919" s="15">
        <v>45750</v>
      </c>
      <c r="C1919" s="4">
        <v>45748</v>
      </c>
      <c r="D1919" t="s">
        <v>44</v>
      </c>
      <c r="E1919" t="s">
        <v>21</v>
      </c>
      <c r="F1919" t="s">
        <v>46</v>
      </c>
      <c r="G1919" t="s">
        <v>186</v>
      </c>
      <c r="H1919" t="s">
        <v>5</v>
      </c>
      <c r="I1919" t="s">
        <v>1935</v>
      </c>
      <c r="J1919" t="s">
        <v>1936</v>
      </c>
      <c r="K1919" s="8">
        <v>24</v>
      </c>
    </row>
    <row r="1920" spans="1:11">
      <c r="A1920" t="s">
        <v>3858</v>
      </c>
      <c r="B1920" s="15">
        <v>45766</v>
      </c>
      <c r="C1920" s="4">
        <v>45748</v>
      </c>
      <c r="D1920" t="s">
        <v>44</v>
      </c>
      <c r="E1920" t="s">
        <v>21</v>
      </c>
      <c r="F1920" t="s">
        <v>46</v>
      </c>
      <c r="G1920" t="s">
        <v>186</v>
      </c>
      <c r="H1920" t="s">
        <v>11</v>
      </c>
      <c r="I1920" t="s">
        <v>1935</v>
      </c>
      <c r="J1920" t="s">
        <v>1936</v>
      </c>
      <c r="K1920" s="8">
        <v>16</v>
      </c>
    </row>
    <row r="1921" spans="1:11">
      <c r="A1921" t="s">
        <v>3859</v>
      </c>
      <c r="B1921" s="15">
        <v>45773</v>
      </c>
      <c r="C1921" s="4">
        <v>45748</v>
      </c>
      <c r="D1921" t="s">
        <v>44</v>
      </c>
      <c r="E1921" t="s">
        <v>21</v>
      </c>
      <c r="F1921" t="s">
        <v>46</v>
      </c>
      <c r="G1921" t="s">
        <v>234</v>
      </c>
      <c r="H1921" t="s">
        <v>5</v>
      </c>
      <c r="I1921" t="s">
        <v>1935</v>
      </c>
      <c r="J1921" t="s">
        <v>1936</v>
      </c>
      <c r="K1921" s="8">
        <v>24</v>
      </c>
    </row>
    <row r="1922" spans="1:11">
      <c r="A1922" t="s">
        <v>3860</v>
      </c>
      <c r="B1922" s="15">
        <v>45772</v>
      </c>
      <c r="C1922" s="4">
        <v>45748</v>
      </c>
      <c r="D1922" t="s">
        <v>44</v>
      </c>
      <c r="E1922" t="s">
        <v>21</v>
      </c>
      <c r="F1922" t="s">
        <v>46</v>
      </c>
      <c r="G1922" t="s">
        <v>234</v>
      </c>
      <c r="H1922" t="s">
        <v>5</v>
      </c>
      <c r="I1922" t="s">
        <v>1935</v>
      </c>
      <c r="J1922" t="s">
        <v>1936</v>
      </c>
      <c r="K1922" s="8">
        <v>35</v>
      </c>
    </row>
    <row r="1923" spans="1:11">
      <c r="A1923" t="s">
        <v>3861</v>
      </c>
      <c r="B1923" s="15">
        <v>45771</v>
      </c>
      <c r="C1923" s="4">
        <v>45748</v>
      </c>
      <c r="D1923" t="s">
        <v>44</v>
      </c>
      <c r="E1923" t="s">
        <v>21</v>
      </c>
      <c r="F1923" t="s">
        <v>46</v>
      </c>
      <c r="G1923" t="s">
        <v>216</v>
      </c>
      <c r="H1923" t="s">
        <v>14</v>
      </c>
      <c r="I1923" t="s">
        <v>1935</v>
      </c>
      <c r="J1923" t="s">
        <v>1936</v>
      </c>
      <c r="K1923" s="8">
        <v>18</v>
      </c>
    </row>
    <row r="1924" spans="1:11">
      <c r="A1924" t="s">
        <v>3862</v>
      </c>
      <c r="B1924" s="15">
        <v>45776</v>
      </c>
      <c r="C1924" s="4">
        <v>45748</v>
      </c>
      <c r="D1924" t="s">
        <v>44</v>
      </c>
      <c r="E1924" t="s">
        <v>21</v>
      </c>
      <c r="F1924" t="s">
        <v>46</v>
      </c>
      <c r="G1924" t="s">
        <v>234</v>
      </c>
      <c r="H1924" t="s">
        <v>5</v>
      </c>
      <c r="I1924" t="s">
        <v>1935</v>
      </c>
      <c r="J1924" t="s">
        <v>1936</v>
      </c>
      <c r="K1924" s="8">
        <v>8</v>
      </c>
    </row>
    <row r="1925" spans="1:11">
      <c r="A1925" t="s">
        <v>3863</v>
      </c>
      <c r="B1925" s="15">
        <v>45757</v>
      </c>
      <c r="C1925" s="4">
        <v>45748</v>
      </c>
      <c r="D1925" t="s">
        <v>44</v>
      </c>
      <c r="E1925" t="s">
        <v>21</v>
      </c>
      <c r="F1925" t="s">
        <v>46</v>
      </c>
      <c r="G1925" t="s">
        <v>216</v>
      </c>
      <c r="H1925" t="s">
        <v>14</v>
      </c>
      <c r="I1925" t="s">
        <v>1935</v>
      </c>
      <c r="J1925" t="s">
        <v>1954</v>
      </c>
      <c r="K1925" s="8">
        <v>26</v>
      </c>
    </row>
    <row r="1926" spans="1:11">
      <c r="A1926" t="s">
        <v>3864</v>
      </c>
      <c r="B1926" s="15">
        <v>45751</v>
      </c>
      <c r="C1926" s="4">
        <v>45748</v>
      </c>
      <c r="D1926" t="s">
        <v>44</v>
      </c>
      <c r="E1926" t="s">
        <v>21</v>
      </c>
      <c r="F1926" t="s">
        <v>46</v>
      </c>
      <c r="G1926" t="s">
        <v>186</v>
      </c>
      <c r="H1926" t="s">
        <v>8</v>
      </c>
      <c r="I1926" t="s">
        <v>1935</v>
      </c>
      <c r="J1926" t="s">
        <v>1954</v>
      </c>
      <c r="K1926" s="8">
        <v>20</v>
      </c>
    </row>
    <row r="1927" spans="1:11">
      <c r="A1927" t="s">
        <v>3865</v>
      </c>
      <c r="B1927" s="15">
        <v>45771</v>
      </c>
      <c r="C1927" s="4">
        <v>45748</v>
      </c>
      <c r="D1927" t="s">
        <v>44</v>
      </c>
      <c r="E1927" t="s">
        <v>21</v>
      </c>
      <c r="F1927" t="s">
        <v>46</v>
      </c>
      <c r="G1927" t="s">
        <v>234</v>
      </c>
      <c r="H1927" t="s">
        <v>5</v>
      </c>
      <c r="I1927" t="s">
        <v>1935</v>
      </c>
      <c r="J1927" t="s">
        <v>1936</v>
      </c>
      <c r="K1927" s="8">
        <v>21</v>
      </c>
    </row>
    <row r="1928" spans="1:11">
      <c r="A1928" t="s">
        <v>3866</v>
      </c>
      <c r="B1928" s="15">
        <v>45752</v>
      </c>
      <c r="C1928" s="4">
        <v>45748</v>
      </c>
      <c r="D1928" t="s">
        <v>47</v>
      </c>
      <c r="E1928" t="s">
        <v>21</v>
      </c>
      <c r="F1928" t="s">
        <v>49</v>
      </c>
      <c r="G1928" t="s">
        <v>218</v>
      </c>
      <c r="H1928" t="s">
        <v>14</v>
      </c>
      <c r="I1928" t="s">
        <v>1995</v>
      </c>
      <c r="J1928" t="s">
        <v>1936</v>
      </c>
      <c r="K1928" s="8">
        <v>6</v>
      </c>
    </row>
    <row r="1929" spans="1:11">
      <c r="A1929" t="s">
        <v>3867</v>
      </c>
      <c r="B1929" s="15">
        <v>45763</v>
      </c>
      <c r="C1929" s="4">
        <v>45748</v>
      </c>
      <c r="D1929" t="s">
        <v>47</v>
      </c>
      <c r="E1929" t="s">
        <v>21</v>
      </c>
      <c r="F1929" t="s">
        <v>49</v>
      </c>
      <c r="G1929" t="s">
        <v>218</v>
      </c>
      <c r="H1929" t="s">
        <v>14</v>
      </c>
      <c r="I1929" t="s">
        <v>1935</v>
      </c>
      <c r="J1929" t="s">
        <v>1936</v>
      </c>
      <c r="K1929" s="8">
        <v>30</v>
      </c>
    </row>
    <row r="1930" spans="1:11">
      <c r="A1930" t="s">
        <v>3868</v>
      </c>
      <c r="B1930" s="15">
        <v>45774</v>
      </c>
      <c r="C1930" s="4">
        <v>45748</v>
      </c>
      <c r="D1930" t="s">
        <v>47</v>
      </c>
      <c r="E1930" t="s">
        <v>21</v>
      </c>
      <c r="F1930" t="s">
        <v>49</v>
      </c>
      <c r="G1930" t="s">
        <v>188</v>
      </c>
      <c r="H1930" t="s">
        <v>14</v>
      </c>
      <c r="I1930" t="s">
        <v>1935</v>
      </c>
      <c r="J1930" t="s">
        <v>1936</v>
      </c>
      <c r="K1930" s="8">
        <v>22</v>
      </c>
    </row>
    <row r="1931" spans="1:11">
      <c r="A1931" t="s">
        <v>3869</v>
      </c>
      <c r="B1931" s="15">
        <v>45752</v>
      </c>
      <c r="C1931" s="4">
        <v>45748</v>
      </c>
      <c r="D1931" t="s">
        <v>47</v>
      </c>
      <c r="E1931" t="s">
        <v>21</v>
      </c>
      <c r="F1931" t="s">
        <v>49</v>
      </c>
      <c r="G1931" t="s">
        <v>194</v>
      </c>
      <c r="H1931" t="s">
        <v>14</v>
      </c>
      <c r="I1931" t="s">
        <v>1942</v>
      </c>
      <c r="J1931" t="s">
        <v>1954</v>
      </c>
      <c r="K1931" s="8">
        <v>1</v>
      </c>
    </row>
    <row r="1932" spans="1:11">
      <c r="A1932" t="s">
        <v>3870</v>
      </c>
      <c r="B1932" s="15">
        <v>45757</v>
      </c>
      <c r="C1932" s="4">
        <v>45748</v>
      </c>
      <c r="D1932" t="s">
        <v>47</v>
      </c>
      <c r="E1932" t="s">
        <v>21</v>
      </c>
      <c r="F1932" t="s">
        <v>49</v>
      </c>
      <c r="G1932" t="s">
        <v>218</v>
      </c>
      <c r="H1932" t="s">
        <v>14</v>
      </c>
      <c r="I1932" t="s">
        <v>1935</v>
      </c>
      <c r="J1932" t="s">
        <v>1936</v>
      </c>
      <c r="K1932" s="8">
        <v>19</v>
      </c>
    </row>
    <row r="1933" spans="1:11">
      <c r="A1933" t="s">
        <v>3871</v>
      </c>
      <c r="B1933" s="15">
        <v>45774</v>
      </c>
      <c r="C1933" s="4">
        <v>45748</v>
      </c>
      <c r="D1933" t="s">
        <v>47</v>
      </c>
      <c r="E1933" t="s">
        <v>21</v>
      </c>
      <c r="F1933" t="s">
        <v>49</v>
      </c>
      <c r="G1933" t="s">
        <v>182</v>
      </c>
      <c r="H1933" t="s">
        <v>5</v>
      </c>
      <c r="I1933" t="s">
        <v>1995</v>
      </c>
      <c r="J1933" t="s">
        <v>1954</v>
      </c>
      <c r="K1933" s="8">
        <v>1</v>
      </c>
    </row>
    <row r="1934" spans="1:11">
      <c r="A1934" t="s">
        <v>3872</v>
      </c>
      <c r="B1934" s="15">
        <v>45770</v>
      </c>
      <c r="C1934" s="4">
        <v>45748</v>
      </c>
      <c r="D1934" t="s">
        <v>47</v>
      </c>
      <c r="E1934" t="s">
        <v>21</v>
      </c>
      <c r="F1934" t="s">
        <v>49</v>
      </c>
      <c r="G1934" t="s">
        <v>176</v>
      </c>
      <c r="H1934" t="s">
        <v>8</v>
      </c>
      <c r="I1934" t="s">
        <v>1935</v>
      </c>
      <c r="J1934" t="s">
        <v>1936</v>
      </c>
      <c r="K1934" s="8">
        <v>32</v>
      </c>
    </row>
    <row r="1935" spans="1:11">
      <c r="A1935" t="s">
        <v>3873</v>
      </c>
      <c r="B1935" s="15">
        <v>45751</v>
      </c>
      <c r="C1935" s="4">
        <v>45748</v>
      </c>
      <c r="D1935" t="s">
        <v>47</v>
      </c>
      <c r="E1935" t="s">
        <v>21</v>
      </c>
      <c r="F1935" t="s">
        <v>49</v>
      </c>
      <c r="G1935" t="s">
        <v>218</v>
      </c>
      <c r="H1935" t="s">
        <v>14</v>
      </c>
      <c r="I1935" t="s">
        <v>1935</v>
      </c>
      <c r="J1935" t="s">
        <v>1936</v>
      </c>
      <c r="K1935" s="8">
        <v>34</v>
      </c>
    </row>
    <row r="1936" spans="1:11">
      <c r="A1936" t="s">
        <v>3874</v>
      </c>
      <c r="B1936" s="15">
        <v>45775</v>
      </c>
      <c r="C1936" s="4">
        <v>45748</v>
      </c>
      <c r="D1936" t="s">
        <v>47</v>
      </c>
      <c r="E1936" t="s">
        <v>21</v>
      </c>
      <c r="F1936" t="s">
        <v>49</v>
      </c>
      <c r="G1936" t="s">
        <v>218</v>
      </c>
      <c r="H1936" t="s">
        <v>14</v>
      </c>
      <c r="I1936" t="s">
        <v>1935</v>
      </c>
      <c r="J1936" t="s">
        <v>1938</v>
      </c>
      <c r="K1936" s="8">
        <v>16</v>
      </c>
    </row>
    <row r="1937" spans="1:11">
      <c r="A1937" t="s">
        <v>3875</v>
      </c>
      <c r="B1937" s="15">
        <v>45760</v>
      </c>
      <c r="C1937" s="4">
        <v>45748</v>
      </c>
      <c r="D1937" t="s">
        <v>47</v>
      </c>
      <c r="E1937" t="s">
        <v>21</v>
      </c>
      <c r="F1937" t="s">
        <v>49</v>
      </c>
      <c r="G1937" t="s">
        <v>218</v>
      </c>
      <c r="H1937" t="s">
        <v>14</v>
      </c>
      <c r="I1937" t="s">
        <v>1935</v>
      </c>
      <c r="J1937" t="s">
        <v>1938</v>
      </c>
      <c r="K1937" s="8">
        <v>9</v>
      </c>
    </row>
    <row r="1938" spans="1:11">
      <c r="A1938" t="s">
        <v>3876</v>
      </c>
      <c r="B1938" s="15">
        <v>45774</v>
      </c>
      <c r="C1938" s="4">
        <v>45748</v>
      </c>
      <c r="D1938" t="s">
        <v>47</v>
      </c>
      <c r="E1938" t="s">
        <v>21</v>
      </c>
      <c r="F1938" t="s">
        <v>49</v>
      </c>
      <c r="G1938" t="s">
        <v>212</v>
      </c>
      <c r="H1938" t="s">
        <v>14</v>
      </c>
      <c r="I1938" t="s">
        <v>1935</v>
      </c>
      <c r="J1938" t="s">
        <v>1938</v>
      </c>
      <c r="K1938" s="8">
        <v>34</v>
      </c>
    </row>
    <row r="1939" spans="1:11">
      <c r="A1939" t="s">
        <v>3877</v>
      </c>
      <c r="B1939" s="15">
        <v>45758</v>
      </c>
      <c r="C1939" s="4">
        <v>45748</v>
      </c>
      <c r="D1939" t="s">
        <v>47</v>
      </c>
      <c r="E1939" t="s">
        <v>21</v>
      </c>
      <c r="F1939" t="s">
        <v>49</v>
      </c>
      <c r="G1939" t="s">
        <v>188</v>
      </c>
      <c r="H1939" t="s">
        <v>8</v>
      </c>
      <c r="I1939" t="s">
        <v>1935</v>
      </c>
      <c r="J1939" t="s">
        <v>1936</v>
      </c>
      <c r="K1939" s="8">
        <v>12</v>
      </c>
    </row>
    <row r="1940" spans="1:11">
      <c r="A1940" t="s">
        <v>3878</v>
      </c>
      <c r="B1940" s="15">
        <v>45750</v>
      </c>
      <c r="C1940" s="4">
        <v>45748</v>
      </c>
      <c r="D1940" t="s">
        <v>47</v>
      </c>
      <c r="E1940" t="s">
        <v>21</v>
      </c>
      <c r="F1940" t="s">
        <v>49</v>
      </c>
      <c r="G1940" t="s">
        <v>218</v>
      </c>
      <c r="H1940" t="s">
        <v>5</v>
      </c>
      <c r="I1940" t="s">
        <v>1935</v>
      </c>
      <c r="J1940" t="s">
        <v>1936</v>
      </c>
      <c r="K1940" s="8">
        <v>9</v>
      </c>
    </row>
    <row r="1941" spans="1:11">
      <c r="A1941" t="s">
        <v>3879</v>
      </c>
      <c r="B1941" s="15">
        <v>45776</v>
      </c>
      <c r="C1941" s="4">
        <v>45748</v>
      </c>
      <c r="D1941" t="s">
        <v>47</v>
      </c>
      <c r="E1941" t="s">
        <v>21</v>
      </c>
      <c r="F1941" t="s">
        <v>49</v>
      </c>
      <c r="G1941" t="s">
        <v>188</v>
      </c>
      <c r="H1941" t="s">
        <v>14</v>
      </c>
      <c r="I1941" t="s">
        <v>1935</v>
      </c>
      <c r="J1941" t="s">
        <v>1936</v>
      </c>
      <c r="K1941" s="8">
        <v>13</v>
      </c>
    </row>
    <row r="1942" spans="1:11">
      <c r="A1942" t="s">
        <v>3880</v>
      </c>
      <c r="B1942" s="15">
        <v>45759</v>
      </c>
      <c r="C1942" s="4">
        <v>45748</v>
      </c>
      <c r="D1942" t="s">
        <v>50</v>
      </c>
      <c r="E1942" t="s">
        <v>23</v>
      </c>
      <c r="F1942" t="s">
        <v>52</v>
      </c>
      <c r="G1942" t="s">
        <v>274</v>
      </c>
      <c r="H1942" t="s">
        <v>5</v>
      </c>
      <c r="I1942" t="s">
        <v>1935</v>
      </c>
      <c r="J1942" t="s">
        <v>1936</v>
      </c>
      <c r="K1942" s="8">
        <v>32</v>
      </c>
    </row>
    <row r="1943" spans="1:11">
      <c r="A1943" t="s">
        <v>3881</v>
      </c>
      <c r="B1943" s="15">
        <v>45774</v>
      </c>
      <c r="C1943" s="4">
        <v>45748</v>
      </c>
      <c r="D1943" t="s">
        <v>50</v>
      </c>
      <c r="E1943" t="s">
        <v>23</v>
      </c>
      <c r="F1943" t="s">
        <v>52</v>
      </c>
      <c r="G1943" t="s">
        <v>244</v>
      </c>
      <c r="H1943" t="s">
        <v>8</v>
      </c>
      <c r="I1943" t="s">
        <v>1935</v>
      </c>
      <c r="J1943" t="s">
        <v>1954</v>
      </c>
      <c r="K1943" s="8">
        <v>14</v>
      </c>
    </row>
    <row r="1944" spans="1:11">
      <c r="A1944" t="s">
        <v>3882</v>
      </c>
      <c r="B1944" s="15">
        <v>45772</v>
      </c>
      <c r="C1944" s="4">
        <v>45748</v>
      </c>
      <c r="D1944" t="s">
        <v>50</v>
      </c>
      <c r="E1944" t="s">
        <v>23</v>
      </c>
      <c r="F1944" t="s">
        <v>52</v>
      </c>
      <c r="G1944" t="s">
        <v>268</v>
      </c>
      <c r="H1944" t="s">
        <v>11</v>
      </c>
      <c r="I1944" t="s">
        <v>1935</v>
      </c>
      <c r="J1944" t="s">
        <v>1936</v>
      </c>
      <c r="K1944" s="8">
        <v>35</v>
      </c>
    </row>
    <row r="1945" spans="1:11">
      <c r="A1945" t="s">
        <v>3883</v>
      </c>
      <c r="B1945" s="15">
        <v>45767</v>
      </c>
      <c r="C1945" s="4">
        <v>45748</v>
      </c>
      <c r="D1945" t="s">
        <v>50</v>
      </c>
      <c r="E1945" t="s">
        <v>23</v>
      </c>
      <c r="F1945" t="s">
        <v>52</v>
      </c>
      <c r="G1945" t="s">
        <v>250</v>
      </c>
      <c r="H1945" t="s">
        <v>11</v>
      </c>
      <c r="I1945" t="s">
        <v>1942</v>
      </c>
      <c r="J1945" t="s">
        <v>1936</v>
      </c>
      <c r="K1945" s="8">
        <v>8</v>
      </c>
    </row>
    <row r="1946" spans="1:11">
      <c r="A1946" t="s">
        <v>3884</v>
      </c>
      <c r="B1946" s="15">
        <v>45748</v>
      </c>
      <c r="C1946" s="4">
        <v>45748</v>
      </c>
      <c r="D1946" t="s">
        <v>50</v>
      </c>
      <c r="E1946" t="s">
        <v>23</v>
      </c>
      <c r="F1946" t="s">
        <v>52</v>
      </c>
      <c r="G1946" t="s">
        <v>292</v>
      </c>
      <c r="H1946" t="s">
        <v>11</v>
      </c>
      <c r="I1946" t="s">
        <v>1935</v>
      </c>
      <c r="J1946" t="s">
        <v>1936</v>
      </c>
      <c r="K1946" s="8">
        <v>15</v>
      </c>
    </row>
    <row r="1947" spans="1:11">
      <c r="A1947" t="s">
        <v>3885</v>
      </c>
      <c r="B1947" s="15">
        <v>45760</v>
      </c>
      <c r="C1947" s="4">
        <v>45748</v>
      </c>
      <c r="D1947" t="s">
        <v>50</v>
      </c>
      <c r="E1947" t="s">
        <v>23</v>
      </c>
      <c r="F1947" t="s">
        <v>52</v>
      </c>
      <c r="G1947" t="s">
        <v>292</v>
      </c>
      <c r="H1947" t="s">
        <v>11</v>
      </c>
      <c r="I1947" t="s">
        <v>1935</v>
      </c>
      <c r="J1947" t="s">
        <v>1936</v>
      </c>
      <c r="K1947" s="8">
        <v>16</v>
      </c>
    </row>
    <row r="1948" spans="1:11">
      <c r="A1948" t="s">
        <v>3886</v>
      </c>
      <c r="B1948" s="15">
        <v>45761</v>
      </c>
      <c r="C1948" s="4">
        <v>45748</v>
      </c>
      <c r="D1948" t="s">
        <v>50</v>
      </c>
      <c r="E1948" t="s">
        <v>23</v>
      </c>
      <c r="F1948" t="s">
        <v>52</v>
      </c>
      <c r="G1948" t="s">
        <v>244</v>
      </c>
      <c r="H1948" t="s">
        <v>8</v>
      </c>
      <c r="I1948" t="s">
        <v>1935</v>
      </c>
      <c r="J1948" t="s">
        <v>1936</v>
      </c>
      <c r="K1948" s="8">
        <v>19</v>
      </c>
    </row>
    <row r="1949" spans="1:11">
      <c r="A1949" t="s">
        <v>3887</v>
      </c>
      <c r="B1949" s="15">
        <v>45770</v>
      </c>
      <c r="C1949" s="4">
        <v>45748</v>
      </c>
      <c r="D1949" t="s">
        <v>50</v>
      </c>
      <c r="E1949" t="s">
        <v>23</v>
      </c>
      <c r="F1949" t="s">
        <v>52</v>
      </c>
      <c r="G1949" t="s">
        <v>274</v>
      </c>
      <c r="H1949" t="s">
        <v>14</v>
      </c>
      <c r="I1949" t="s">
        <v>1935</v>
      </c>
      <c r="J1949" t="s">
        <v>1936</v>
      </c>
      <c r="K1949" s="8">
        <v>29</v>
      </c>
    </row>
    <row r="1950" spans="1:11">
      <c r="A1950" t="s">
        <v>3888</v>
      </c>
      <c r="B1950" s="15">
        <v>45775</v>
      </c>
      <c r="C1950" s="4">
        <v>45748</v>
      </c>
      <c r="D1950" t="s">
        <v>50</v>
      </c>
      <c r="E1950" t="s">
        <v>23</v>
      </c>
      <c r="F1950" t="s">
        <v>52</v>
      </c>
      <c r="G1950" t="s">
        <v>274</v>
      </c>
      <c r="H1950" t="s">
        <v>11</v>
      </c>
      <c r="I1950" t="s">
        <v>1935</v>
      </c>
      <c r="J1950" t="s">
        <v>1938</v>
      </c>
      <c r="K1950" s="8">
        <v>31</v>
      </c>
    </row>
    <row r="1951" spans="1:11">
      <c r="A1951" t="s">
        <v>3889</v>
      </c>
      <c r="B1951" s="15">
        <v>45759</v>
      </c>
      <c r="C1951" s="4">
        <v>45748</v>
      </c>
      <c r="D1951" t="s">
        <v>50</v>
      </c>
      <c r="E1951" t="s">
        <v>23</v>
      </c>
      <c r="F1951" t="s">
        <v>52</v>
      </c>
      <c r="G1951" t="s">
        <v>238</v>
      </c>
      <c r="H1951" t="s">
        <v>8</v>
      </c>
      <c r="I1951" t="s">
        <v>1935</v>
      </c>
      <c r="J1951" t="s">
        <v>1936</v>
      </c>
      <c r="K1951" s="8">
        <v>33</v>
      </c>
    </row>
    <row r="1952" spans="1:11">
      <c r="A1952" t="s">
        <v>3890</v>
      </c>
      <c r="B1952" s="15">
        <v>45776</v>
      </c>
      <c r="C1952" s="4">
        <v>45748</v>
      </c>
      <c r="D1952" t="s">
        <v>50</v>
      </c>
      <c r="E1952" t="s">
        <v>23</v>
      </c>
      <c r="F1952" t="s">
        <v>52</v>
      </c>
      <c r="G1952" t="s">
        <v>256</v>
      </c>
      <c r="H1952" t="s">
        <v>5</v>
      </c>
      <c r="I1952" t="s">
        <v>1935</v>
      </c>
      <c r="J1952" t="s">
        <v>1936</v>
      </c>
      <c r="K1952" s="8">
        <v>19</v>
      </c>
    </row>
    <row r="1953" spans="1:11">
      <c r="A1953" t="s">
        <v>3891</v>
      </c>
      <c r="B1953" s="15">
        <v>45768</v>
      </c>
      <c r="C1953" s="4">
        <v>45748</v>
      </c>
      <c r="D1953" t="s">
        <v>50</v>
      </c>
      <c r="E1953" t="s">
        <v>23</v>
      </c>
      <c r="F1953" t="s">
        <v>52</v>
      </c>
      <c r="G1953" t="s">
        <v>292</v>
      </c>
      <c r="H1953" t="s">
        <v>11</v>
      </c>
      <c r="I1953" t="s">
        <v>1935</v>
      </c>
      <c r="J1953" t="s">
        <v>1938</v>
      </c>
      <c r="K1953" s="8">
        <v>33</v>
      </c>
    </row>
    <row r="1954" spans="1:11">
      <c r="A1954" t="s">
        <v>3892</v>
      </c>
      <c r="B1954" s="15">
        <v>45767</v>
      </c>
      <c r="C1954" s="4">
        <v>45748</v>
      </c>
      <c r="D1954" t="s">
        <v>53</v>
      </c>
      <c r="E1954" t="s">
        <v>23</v>
      </c>
      <c r="F1954" t="s">
        <v>55</v>
      </c>
      <c r="G1954" t="s">
        <v>288</v>
      </c>
      <c r="H1954" t="s">
        <v>8</v>
      </c>
      <c r="I1954" t="s">
        <v>1935</v>
      </c>
      <c r="J1954" t="s">
        <v>1936</v>
      </c>
      <c r="K1954" s="8">
        <v>34</v>
      </c>
    </row>
    <row r="1955" spans="1:11">
      <c r="A1955" t="s">
        <v>3893</v>
      </c>
      <c r="B1955" s="15">
        <v>45771</v>
      </c>
      <c r="C1955" s="4">
        <v>45748</v>
      </c>
      <c r="D1955" t="s">
        <v>53</v>
      </c>
      <c r="E1955" t="s">
        <v>23</v>
      </c>
      <c r="F1955" t="s">
        <v>55</v>
      </c>
      <c r="G1955" t="s">
        <v>252</v>
      </c>
      <c r="H1955" t="s">
        <v>5</v>
      </c>
      <c r="I1955" t="s">
        <v>1935</v>
      </c>
      <c r="J1955" t="s">
        <v>1936</v>
      </c>
      <c r="K1955" s="8">
        <v>35</v>
      </c>
    </row>
    <row r="1956" spans="1:11">
      <c r="A1956" t="s">
        <v>3894</v>
      </c>
      <c r="B1956" s="15">
        <v>45759</v>
      </c>
      <c r="C1956" s="4">
        <v>45748</v>
      </c>
      <c r="D1956" t="s">
        <v>53</v>
      </c>
      <c r="E1956" t="s">
        <v>23</v>
      </c>
      <c r="F1956" t="s">
        <v>55</v>
      </c>
      <c r="G1956" t="s">
        <v>276</v>
      </c>
      <c r="H1956" t="s">
        <v>11</v>
      </c>
      <c r="I1956" t="s">
        <v>1935</v>
      </c>
      <c r="J1956" t="s">
        <v>1936</v>
      </c>
      <c r="K1956" s="8">
        <v>32</v>
      </c>
    </row>
    <row r="1957" spans="1:11">
      <c r="A1957" t="s">
        <v>3895</v>
      </c>
      <c r="B1957" s="15">
        <v>45773</v>
      </c>
      <c r="C1957" s="4">
        <v>45748</v>
      </c>
      <c r="D1957" t="s">
        <v>53</v>
      </c>
      <c r="E1957" t="s">
        <v>23</v>
      </c>
      <c r="F1957" t="s">
        <v>55</v>
      </c>
      <c r="G1957" t="s">
        <v>294</v>
      </c>
      <c r="H1957" t="s">
        <v>8</v>
      </c>
      <c r="I1957" t="s">
        <v>1935</v>
      </c>
      <c r="J1957" t="s">
        <v>1936</v>
      </c>
      <c r="K1957" s="8">
        <v>28</v>
      </c>
    </row>
    <row r="1958" spans="1:11">
      <c r="A1958" t="s">
        <v>3896</v>
      </c>
      <c r="B1958" s="15">
        <v>45761</v>
      </c>
      <c r="C1958" s="4">
        <v>45748</v>
      </c>
      <c r="D1958" t="s">
        <v>53</v>
      </c>
      <c r="E1958" t="s">
        <v>23</v>
      </c>
      <c r="F1958" t="s">
        <v>55</v>
      </c>
      <c r="G1958" t="s">
        <v>270</v>
      </c>
      <c r="H1958" t="s">
        <v>8</v>
      </c>
      <c r="I1958" t="s">
        <v>1935</v>
      </c>
      <c r="J1958" t="s">
        <v>1936</v>
      </c>
      <c r="K1958" s="8">
        <v>31</v>
      </c>
    </row>
    <row r="1959" spans="1:11">
      <c r="A1959" t="s">
        <v>3897</v>
      </c>
      <c r="B1959" s="15">
        <v>45750</v>
      </c>
      <c r="C1959" s="4">
        <v>45748</v>
      </c>
      <c r="D1959" t="s">
        <v>53</v>
      </c>
      <c r="E1959" t="s">
        <v>23</v>
      </c>
      <c r="F1959" t="s">
        <v>55</v>
      </c>
      <c r="G1959" t="s">
        <v>294</v>
      </c>
      <c r="H1959" t="s">
        <v>8</v>
      </c>
      <c r="I1959" t="s">
        <v>1935</v>
      </c>
      <c r="J1959" t="s">
        <v>1938</v>
      </c>
      <c r="K1959" s="8">
        <v>35</v>
      </c>
    </row>
    <row r="1960" spans="1:11">
      <c r="A1960" t="s">
        <v>3898</v>
      </c>
      <c r="B1960" s="15">
        <v>45753</v>
      </c>
      <c r="C1960" s="4">
        <v>45748</v>
      </c>
      <c r="D1960" t="s">
        <v>53</v>
      </c>
      <c r="E1960" t="s">
        <v>23</v>
      </c>
      <c r="F1960" t="s">
        <v>55</v>
      </c>
      <c r="G1960" t="s">
        <v>306</v>
      </c>
      <c r="H1960" t="s">
        <v>8</v>
      </c>
      <c r="I1960" t="s">
        <v>1935</v>
      </c>
      <c r="J1960" t="s">
        <v>1936</v>
      </c>
      <c r="K1960" s="8">
        <v>15</v>
      </c>
    </row>
    <row r="1961" spans="1:11">
      <c r="A1961" t="s">
        <v>3899</v>
      </c>
      <c r="B1961" s="15">
        <v>45758</v>
      </c>
      <c r="C1961" s="4">
        <v>45748</v>
      </c>
      <c r="D1961" t="s">
        <v>53</v>
      </c>
      <c r="E1961" t="s">
        <v>23</v>
      </c>
      <c r="F1961" t="s">
        <v>55</v>
      </c>
      <c r="G1961" t="s">
        <v>270</v>
      </c>
      <c r="H1961" t="s">
        <v>8</v>
      </c>
      <c r="I1961" t="s">
        <v>1995</v>
      </c>
      <c r="J1961" t="s">
        <v>1936</v>
      </c>
      <c r="K1961" s="8">
        <v>8</v>
      </c>
    </row>
    <row r="1962" spans="1:11">
      <c r="A1962" t="s">
        <v>3900</v>
      </c>
      <c r="B1962" s="15">
        <v>45777</v>
      </c>
      <c r="C1962" s="4">
        <v>45748</v>
      </c>
      <c r="D1962" t="s">
        <v>53</v>
      </c>
      <c r="E1962" t="s">
        <v>23</v>
      </c>
      <c r="F1962" t="s">
        <v>55</v>
      </c>
      <c r="G1962" t="s">
        <v>264</v>
      </c>
      <c r="H1962" t="s">
        <v>14</v>
      </c>
      <c r="I1962" t="s">
        <v>1935</v>
      </c>
      <c r="J1962" t="s">
        <v>1936</v>
      </c>
      <c r="K1962" s="8">
        <v>33</v>
      </c>
    </row>
    <row r="1963" spans="1:11">
      <c r="A1963" t="s">
        <v>3901</v>
      </c>
      <c r="B1963" s="15">
        <v>45776</v>
      </c>
      <c r="C1963" s="4">
        <v>45748</v>
      </c>
      <c r="D1963" t="s">
        <v>53</v>
      </c>
      <c r="E1963" t="s">
        <v>23</v>
      </c>
      <c r="F1963" t="s">
        <v>55</v>
      </c>
      <c r="G1963" t="s">
        <v>270</v>
      </c>
      <c r="H1963" t="s">
        <v>8</v>
      </c>
      <c r="I1963" t="s">
        <v>1942</v>
      </c>
      <c r="J1963" t="s">
        <v>1936</v>
      </c>
      <c r="K1963" s="8">
        <v>0</v>
      </c>
    </row>
    <row r="1964" spans="1:11">
      <c r="A1964" t="s">
        <v>3902</v>
      </c>
      <c r="B1964" s="15">
        <v>45765</v>
      </c>
      <c r="C1964" s="4">
        <v>45748</v>
      </c>
      <c r="D1964" t="s">
        <v>56</v>
      </c>
      <c r="E1964" t="s">
        <v>23</v>
      </c>
      <c r="F1964" t="s">
        <v>58</v>
      </c>
      <c r="G1964" t="s">
        <v>248</v>
      </c>
      <c r="H1964" t="s">
        <v>11</v>
      </c>
      <c r="I1964" t="s">
        <v>1935</v>
      </c>
      <c r="J1964" t="s">
        <v>1938</v>
      </c>
      <c r="K1964" s="8">
        <v>10</v>
      </c>
    </row>
    <row r="1965" spans="1:11">
      <c r="A1965" t="s">
        <v>3903</v>
      </c>
      <c r="B1965" s="15">
        <v>45758</v>
      </c>
      <c r="C1965" s="4">
        <v>45748</v>
      </c>
      <c r="D1965" t="s">
        <v>56</v>
      </c>
      <c r="E1965" t="s">
        <v>23</v>
      </c>
      <c r="F1965" t="s">
        <v>58</v>
      </c>
      <c r="G1965" t="s">
        <v>308</v>
      </c>
      <c r="H1965" t="s">
        <v>11</v>
      </c>
      <c r="I1965" t="s">
        <v>1935</v>
      </c>
      <c r="J1965" t="s">
        <v>1954</v>
      </c>
      <c r="K1965" s="8">
        <v>20</v>
      </c>
    </row>
    <row r="1966" spans="1:11">
      <c r="A1966" t="s">
        <v>3904</v>
      </c>
      <c r="B1966" s="15">
        <v>45760</v>
      </c>
      <c r="C1966" s="4">
        <v>45748</v>
      </c>
      <c r="D1966" t="s">
        <v>56</v>
      </c>
      <c r="E1966" t="s">
        <v>23</v>
      </c>
      <c r="F1966" t="s">
        <v>58</v>
      </c>
      <c r="G1966" t="s">
        <v>302</v>
      </c>
      <c r="H1966" t="s">
        <v>5</v>
      </c>
      <c r="I1966" t="s">
        <v>1935</v>
      </c>
      <c r="J1966" t="s">
        <v>1936</v>
      </c>
      <c r="K1966" s="8">
        <v>23</v>
      </c>
    </row>
    <row r="1967" spans="1:11">
      <c r="A1967" t="s">
        <v>3905</v>
      </c>
      <c r="B1967" s="15">
        <v>45756</v>
      </c>
      <c r="C1967" s="4">
        <v>45748</v>
      </c>
      <c r="D1967" t="s">
        <v>56</v>
      </c>
      <c r="E1967" t="s">
        <v>23</v>
      </c>
      <c r="F1967" t="s">
        <v>58</v>
      </c>
      <c r="G1967" t="s">
        <v>308</v>
      </c>
      <c r="H1967" t="s">
        <v>11</v>
      </c>
      <c r="I1967" t="s">
        <v>1935</v>
      </c>
      <c r="J1967" t="s">
        <v>1936</v>
      </c>
      <c r="K1967" s="8">
        <v>14</v>
      </c>
    </row>
    <row r="1968" spans="1:11">
      <c r="A1968" t="s">
        <v>3906</v>
      </c>
      <c r="B1968" s="15">
        <v>45775</v>
      </c>
      <c r="C1968" s="4">
        <v>45748</v>
      </c>
      <c r="D1968" t="s">
        <v>56</v>
      </c>
      <c r="E1968" t="s">
        <v>23</v>
      </c>
      <c r="F1968" t="s">
        <v>58</v>
      </c>
      <c r="G1968" t="s">
        <v>266</v>
      </c>
      <c r="H1968" t="s">
        <v>8</v>
      </c>
      <c r="I1968" t="s">
        <v>1935</v>
      </c>
      <c r="J1968" t="s">
        <v>1936</v>
      </c>
      <c r="K1968" s="8">
        <v>15</v>
      </c>
    </row>
    <row r="1969" spans="1:11">
      <c r="A1969" t="s">
        <v>3907</v>
      </c>
      <c r="B1969" s="15">
        <v>45759</v>
      </c>
      <c r="C1969" s="4">
        <v>45748</v>
      </c>
      <c r="D1969" t="s">
        <v>56</v>
      </c>
      <c r="E1969" t="s">
        <v>23</v>
      </c>
      <c r="F1969" t="s">
        <v>58</v>
      </c>
      <c r="G1969" t="s">
        <v>308</v>
      </c>
      <c r="H1969" t="s">
        <v>14</v>
      </c>
      <c r="I1969" t="s">
        <v>1935</v>
      </c>
      <c r="J1969" t="s">
        <v>1936</v>
      </c>
      <c r="K1969" s="8">
        <v>29</v>
      </c>
    </row>
    <row r="1970" spans="1:11">
      <c r="A1970" t="s">
        <v>3908</v>
      </c>
      <c r="B1970" s="15">
        <v>45762</v>
      </c>
      <c r="C1970" s="4">
        <v>45748</v>
      </c>
      <c r="D1970" t="s">
        <v>56</v>
      </c>
      <c r="E1970" t="s">
        <v>23</v>
      </c>
      <c r="F1970" t="s">
        <v>58</v>
      </c>
      <c r="G1970" t="s">
        <v>290</v>
      </c>
      <c r="H1970" t="s">
        <v>8</v>
      </c>
      <c r="I1970" t="s">
        <v>1935</v>
      </c>
      <c r="J1970" t="s">
        <v>1936</v>
      </c>
      <c r="K1970" s="8">
        <v>14</v>
      </c>
    </row>
    <row r="1971" spans="1:11">
      <c r="A1971" t="s">
        <v>3909</v>
      </c>
      <c r="B1971" s="15">
        <v>45758</v>
      </c>
      <c r="C1971" s="4">
        <v>45748</v>
      </c>
      <c r="D1971" t="s">
        <v>56</v>
      </c>
      <c r="E1971" t="s">
        <v>23</v>
      </c>
      <c r="F1971" t="s">
        <v>58</v>
      </c>
      <c r="G1971" t="s">
        <v>302</v>
      </c>
      <c r="H1971" t="s">
        <v>5</v>
      </c>
      <c r="I1971" t="s">
        <v>1935</v>
      </c>
      <c r="J1971" t="s">
        <v>1938</v>
      </c>
      <c r="K1971" s="8">
        <v>24</v>
      </c>
    </row>
    <row r="1972" spans="1:11">
      <c r="A1972" t="s">
        <v>3910</v>
      </c>
      <c r="B1972" s="15">
        <v>45772</v>
      </c>
      <c r="C1972" s="4">
        <v>45748</v>
      </c>
      <c r="D1972" t="s">
        <v>56</v>
      </c>
      <c r="E1972" t="s">
        <v>23</v>
      </c>
      <c r="F1972" t="s">
        <v>58</v>
      </c>
      <c r="G1972" t="s">
        <v>290</v>
      </c>
      <c r="H1972" t="s">
        <v>14</v>
      </c>
      <c r="I1972" t="s">
        <v>1935</v>
      </c>
      <c r="J1972" t="s">
        <v>1954</v>
      </c>
      <c r="K1972" s="8">
        <v>32</v>
      </c>
    </row>
    <row r="1973" spans="1:11">
      <c r="A1973" t="s">
        <v>3911</v>
      </c>
      <c r="B1973" s="15">
        <v>45752</v>
      </c>
      <c r="C1973" s="4">
        <v>45748</v>
      </c>
      <c r="D1973" t="s">
        <v>56</v>
      </c>
      <c r="E1973" t="s">
        <v>23</v>
      </c>
      <c r="F1973" t="s">
        <v>58</v>
      </c>
      <c r="G1973" t="s">
        <v>308</v>
      </c>
      <c r="H1973" t="s">
        <v>11</v>
      </c>
      <c r="I1973" t="s">
        <v>1935</v>
      </c>
      <c r="J1973" t="s">
        <v>1936</v>
      </c>
      <c r="K1973" s="8">
        <v>33</v>
      </c>
    </row>
    <row r="1974" spans="1:11">
      <c r="A1974" t="s">
        <v>3912</v>
      </c>
      <c r="B1974" s="15">
        <v>45750</v>
      </c>
      <c r="C1974" s="4">
        <v>45748</v>
      </c>
      <c r="D1974" t="s">
        <v>59</v>
      </c>
      <c r="E1974" t="s">
        <v>25</v>
      </c>
      <c r="F1974" t="s">
        <v>61</v>
      </c>
      <c r="G1974" t="s">
        <v>368</v>
      </c>
      <c r="H1974" t="s">
        <v>14</v>
      </c>
      <c r="I1974" t="s">
        <v>1935</v>
      </c>
      <c r="J1974" t="s">
        <v>1938</v>
      </c>
      <c r="K1974" s="8">
        <v>23</v>
      </c>
    </row>
    <row r="1975" spans="1:11">
      <c r="A1975" t="s">
        <v>3913</v>
      </c>
      <c r="B1975" s="15">
        <v>45759</v>
      </c>
      <c r="C1975" s="4">
        <v>45748</v>
      </c>
      <c r="D1975" t="s">
        <v>59</v>
      </c>
      <c r="E1975" t="s">
        <v>25</v>
      </c>
      <c r="F1975" t="s">
        <v>61</v>
      </c>
      <c r="G1975" t="s">
        <v>326</v>
      </c>
      <c r="H1975" t="s">
        <v>11</v>
      </c>
      <c r="I1975" t="s">
        <v>1935</v>
      </c>
      <c r="J1975" t="s">
        <v>1936</v>
      </c>
      <c r="K1975" s="8">
        <v>12</v>
      </c>
    </row>
    <row r="1976" spans="1:11">
      <c r="A1976" t="s">
        <v>3914</v>
      </c>
      <c r="B1976" s="15">
        <v>45750</v>
      </c>
      <c r="C1976" s="4">
        <v>45748</v>
      </c>
      <c r="D1976" t="s">
        <v>59</v>
      </c>
      <c r="E1976" t="s">
        <v>25</v>
      </c>
      <c r="F1976" t="s">
        <v>61</v>
      </c>
      <c r="G1976" t="s">
        <v>332</v>
      </c>
      <c r="H1976" t="s">
        <v>8</v>
      </c>
      <c r="I1976" t="s">
        <v>1935</v>
      </c>
      <c r="J1976" t="s">
        <v>1938</v>
      </c>
      <c r="K1976" s="8">
        <v>18</v>
      </c>
    </row>
    <row r="1977" spans="1:11">
      <c r="A1977" t="s">
        <v>3915</v>
      </c>
      <c r="B1977" s="15">
        <v>45768</v>
      </c>
      <c r="C1977" s="4">
        <v>45748</v>
      </c>
      <c r="D1977" t="s">
        <v>59</v>
      </c>
      <c r="E1977" t="s">
        <v>25</v>
      </c>
      <c r="F1977" t="s">
        <v>61</v>
      </c>
      <c r="G1977" t="s">
        <v>326</v>
      </c>
      <c r="H1977" t="s">
        <v>5</v>
      </c>
      <c r="I1977" t="s">
        <v>1935</v>
      </c>
      <c r="J1977" t="s">
        <v>1936</v>
      </c>
      <c r="K1977" s="8">
        <v>16</v>
      </c>
    </row>
    <row r="1978" spans="1:11">
      <c r="A1978" t="s">
        <v>3916</v>
      </c>
      <c r="B1978" s="15">
        <v>45748</v>
      </c>
      <c r="C1978" s="4">
        <v>45748</v>
      </c>
      <c r="D1978" t="s">
        <v>59</v>
      </c>
      <c r="E1978" t="s">
        <v>25</v>
      </c>
      <c r="F1978" t="s">
        <v>61</v>
      </c>
      <c r="G1978" t="s">
        <v>326</v>
      </c>
      <c r="H1978" t="s">
        <v>11</v>
      </c>
      <c r="I1978" t="s">
        <v>1935</v>
      </c>
      <c r="J1978" t="s">
        <v>1936</v>
      </c>
      <c r="K1978" s="8">
        <v>33</v>
      </c>
    </row>
    <row r="1979" spans="1:11">
      <c r="A1979" t="s">
        <v>3917</v>
      </c>
      <c r="B1979" s="15">
        <v>45770</v>
      </c>
      <c r="C1979" s="4">
        <v>45748</v>
      </c>
      <c r="D1979" t="s">
        <v>59</v>
      </c>
      <c r="E1979" t="s">
        <v>25</v>
      </c>
      <c r="F1979" t="s">
        <v>61</v>
      </c>
      <c r="G1979" t="s">
        <v>320</v>
      </c>
      <c r="H1979" t="s">
        <v>5</v>
      </c>
      <c r="I1979" t="s">
        <v>1935</v>
      </c>
      <c r="J1979" t="s">
        <v>1954</v>
      </c>
      <c r="K1979" s="8">
        <v>17</v>
      </c>
    </row>
    <row r="1980" spans="1:11">
      <c r="A1980" t="s">
        <v>3918</v>
      </c>
      <c r="B1980" s="15">
        <v>45771</v>
      </c>
      <c r="C1980" s="4">
        <v>45748</v>
      </c>
      <c r="D1980" t="s">
        <v>59</v>
      </c>
      <c r="E1980" t="s">
        <v>25</v>
      </c>
      <c r="F1980" t="s">
        <v>61</v>
      </c>
      <c r="G1980" t="s">
        <v>326</v>
      </c>
      <c r="H1980" t="s">
        <v>8</v>
      </c>
      <c r="I1980" t="s">
        <v>1935</v>
      </c>
      <c r="J1980" t="s">
        <v>1936</v>
      </c>
      <c r="K1980" s="8">
        <v>15</v>
      </c>
    </row>
    <row r="1981" spans="1:11">
      <c r="A1981" t="s">
        <v>3919</v>
      </c>
      <c r="B1981" s="15">
        <v>45776</v>
      </c>
      <c r="C1981" s="4">
        <v>45748</v>
      </c>
      <c r="D1981" t="s">
        <v>59</v>
      </c>
      <c r="E1981" t="s">
        <v>25</v>
      </c>
      <c r="F1981" t="s">
        <v>61</v>
      </c>
      <c r="G1981" t="s">
        <v>314</v>
      </c>
      <c r="H1981" t="s">
        <v>5</v>
      </c>
      <c r="I1981" t="s">
        <v>1935</v>
      </c>
      <c r="J1981" t="s">
        <v>1936</v>
      </c>
      <c r="K1981" s="8">
        <v>23</v>
      </c>
    </row>
    <row r="1982" spans="1:11">
      <c r="A1982" t="s">
        <v>3920</v>
      </c>
      <c r="B1982" s="15">
        <v>45758</v>
      </c>
      <c r="C1982" s="4">
        <v>45748</v>
      </c>
      <c r="D1982" t="s">
        <v>59</v>
      </c>
      <c r="E1982" t="s">
        <v>25</v>
      </c>
      <c r="F1982" t="s">
        <v>61</v>
      </c>
      <c r="G1982" t="s">
        <v>326</v>
      </c>
      <c r="H1982" t="s">
        <v>5</v>
      </c>
      <c r="I1982" t="s">
        <v>1935</v>
      </c>
      <c r="J1982" t="s">
        <v>1936</v>
      </c>
      <c r="K1982" s="8">
        <v>11</v>
      </c>
    </row>
    <row r="1983" spans="1:11">
      <c r="A1983" t="s">
        <v>3921</v>
      </c>
      <c r="B1983" s="15">
        <v>45771</v>
      </c>
      <c r="C1983" s="4">
        <v>45748</v>
      </c>
      <c r="D1983" t="s">
        <v>59</v>
      </c>
      <c r="E1983" t="s">
        <v>25</v>
      </c>
      <c r="F1983" t="s">
        <v>61</v>
      </c>
      <c r="G1983" t="s">
        <v>332</v>
      </c>
      <c r="H1983" t="s">
        <v>8</v>
      </c>
      <c r="I1983" t="s">
        <v>1942</v>
      </c>
      <c r="J1983" t="s">
        <v>1936</v>
      </c>
      <c r="K1983" s="8">
        <v>6</v>
      </c>
    </row>
    <row r="1984" spans="1:11">
      <c r="A1984" t="s">
        <v>3922</v>
      </c>
      <c r="B1984" s="15">
        <v>45755</v>
      </c>
      <c r="C1984" s="4">
        <v>45748</v>
      </c>
      <c r="D1984" t="s">
        <v>59</v>
      </c>
      <c r="E1984" t="s">
        <v>25</v>
      </c>
      <c r="F1984" t="s">
        <v>61</v>
      </c>
      <c r="G1984" t="s">
        <v>380</v>
      </c>
      <c r="H1984" t="s">
        <v>11</v>
      </c>
      <c r="I1984" t="s">
        <v>1935</v>
      </c>
      <c r="J1984" t="s">
        <v>1938</v>
      </c>
      <c r="K1984" s="8">
        <v>13</v>
      </c>
    </row>
    <row r="1985" spans="1:11">
      <c r="A1985" t="s">
        <v>3923</v>
      </c>
      <c r="B1985" s="15">
        <v>45760</v>
      </c>
      <c r="C1985" s="4">
        <v>45748</v>
      </c>
      <c r="D1985" t="s">
        <v>59</v>
      </c>
      <c r="E1985" t="s">
        <v>25</v>
      </c>
      <c r="F1985" t="s">
        <v>61</v>
      </c>
      <c r="G1985" t="s">
        <v>320</v>
      </c>
      <c r="H1985" t="s">
        <v>11</v>
      </c>
      <c r="I1985" t="s">
        <v>1935</v>
      </c>
      <c r="J1985" t="s">
        <v>1936</v>
      </c>
      <c r="K1985" s="8">
        <v>14</v>
      </c>
    </row>
    <row r="1986" spans="1:11">
      <c r="A1986" t="s">
        <v>3924</v>
      </c>
      <c r="B1986" s="15">
        <v>45750</v>
      </c>
      <c r="C1986" s="4">
        <v>45748</v>
      </c>
      <c r="D1986" t="s">
        <v>62</v>
      </c>
      <c r="E1986" t="s">
        <v>25</v>
      </c>
      <c r="F1986" t="s">
        <v>64</v>
      </c>
      <c r="G1986" t="s">
        <v>328</v>
      </c>
      <c r="H1986" t="s">
        <v>5</v>
      </c>
      <c r="I1986" t="s">
        <v>1942</v>
      </c>
      <c r="J1986" t="s">
        <v>1936</v>
      </c>
      <c r="K1986" s="8">
        <v>6</v>
      </c>
    </row>
    <row r="1987" spans="1:11">
      <c r="A1987" t="s">
        <v>3925</v>
      </c>
      <c r="B1987" s="15">
        <v>45770</v>
      </c>
      <c r="C1987" s="4">
        <v>45748</v>
      </c>
      <c r="D1987" t="s">
        <v>62</v>
      </c>
      <c r="E1987" t="s">
        <v>25</v>
      </c>
      <c r="F1987" t="s">
        <v>64</v>
      </c>
      <c r="G1987" t="s">
        <v>322</v>
      </c>
      <c r="H1987" t="s">
        <v>5</v>
      </c>
      <c r="I1987" t="s">
        <v>1935</v>
      </c>
      <c r="J1987" t="s">
        <v>1936</v>
      </c>
      <c r="K1987" s="8">
        <v>34</v>
      </c>
    </row>
    <row r="1988" spans="1:11">
      <c r="A1988" t="s">
        <v>3926</v>
      </c>
      <c r="B1988" s="15">
        <v>45748</v>
      </c>
      <c r="C1988" s="4">
        <v>45748</v>
      </c>
      <c r="D1988" t="s">
        <v>62</v>
      </c>
      <c r="E1988" t="s">
        <v>25</v>
      </c>
      <c r="F1988" t="s">
        <v>64</v>
      </c>
      <c r="G1988" t="s">
        <v>358</v>
      </c>
      <c r="H1988" t="s">
        <v>8</v>
      </c>
      <c r="I1988" t="s">
        <v>1935</v>
      </c>
      <c r="J1988" t="s">
        <v>1954</v>
      </c>
      <c r="K1988" s="8">
        <v>25</v>
      </c>
    </row>
    <row r="1989" spans="1:11">
      <c r="A1989" t="s">
        <v>3927</v>
      </c>
      <c r="B1989" s="15">
        <v>45762</v>
      </c>
      <c r="C1989" s="4">
        <v>45748</v>
      </c>
      <c r="D1989" t="s">
        <v>62</v>
      </c>
      <c r="E1989" t="s">
        <v>25</v>
      </c>
      <c r="F1989" t="s">
        <v>64</v>
      </c>
      <c r="G1989" t="s">
        <v>322</v>
      </c>
      <c r="H1989" t="s">
        <v>14</v>
      </c>
      <c r="I1989" t="s">
        <v>1935</v>
      </c>
      <c r="J1989" t="s">
        <v>1936</v>
      </c>
      <c r="K1989" s="8">
        <v>32</v>
      </c>
    </row>
    <row r="1990" spans="1:11">
      <c r="A1990" t="s">
        <v>3928</v>
      </c>
      <c r="B1990" s="15">
        <v>45756</v>
      </c>
      <c r="C1990" s="4">
        <v>45748</v>
      </c>
      <c r="D1990" t="s">
        <v>62</v>
      </c>
      <c r="E1990" t="s">
        <v>25</v>
      </c>
      <c r="F1990" t="s">
        <v>64</v>
      </c>
      <c r="G1990" t="s">
        <v>370</v>
      </c>
      <c r="H1990" t="s">
        <v>8</v>
      </c>
      <c r="I1990" t="s">
        <v>1942</v>
      </c>
      <c r="J1990" t="s">
        <v>1936</v>
      </c>
      <c r="K1990" s="8">
        <v>6</v>
      </c>
    </row>
    <row r="1991" spans="1:11">
      <c r="A1991" t="s">
        <v>3929</v>
      </c>
      <c r="B1991" s="15">
        <v>45748</v>
      </c>
      <c r="C1991" s="4">
        <v>45748</v>
      </c>
      <c r="D1991" t="s">
        <v>62</v>
      </c>
      <c r="E1991" t="s">
        <v>25</v>
      </c>
      <c r="F1991" t="s">
        <v>64</v>
      </c>
      <c r="G1991" t="s">
        <v>358</v>
      </c>
      <c r="H1991" t="s">
        <v>8</v>
      </c>
      <c r="I1991" t="s">
        <v>1935</v>
      </c>
      <c r="J1991" t="s">
        <v>1936</v>
      </c>
      <c r="K1991" s="8">
        <v>24</v>
      </c>
    </row>
    <row r="1992" spans="1:11">
      <c r="A1992" t="s">
        <v>3930</v>
      </c>
      <c r="B1992" s="15">
        <v>45767</v>
      </c>
      <c r="C1992" s="4">
        <v>45748</v>
      </c>
      <c r="D1992" t="s">
        <v>62</v>
      </c>
      <c r="E1992" t="s">
        <v>25</v>
      </c>
      <c r="F1992" t="s">
        <v>64</v>
      </c>
      <c r="G1992" t="s">
        <v>370</v>
      </c>
      <c r="H1992" t="s">
        <v>8</v>
      </c>
      <c r="I1992" t="s">
        <v>1935</v>
      </c>
      <c r="J1992" t="s">
        <v>1936</v>
      </c>
      <c r="K1992" s="8">
        <v>15</v>
      </c>
    </row>
    <row r="1993" spans="1:11">
      <c r="A1993" t="s">
        <v>3931</v>
      </c>
      <c r="B1993" s="15">
        <v>45758</v>
      </c>
      <c r="C1993" s="4">
        <v>45748</v>
      </c>
      <c r="D1993" t="s">
        <v>62</v>
      </c>
      <c r="E1993" t="s">
        <v>25</v>
      </c>
      <c r="F1993" t="s">
        <v>64</v>
      </c>
      <c r="G1993" t="s">
        <v>322</v>
      </c>
      <c r="H1993" t="s">
        <v>8</v>
      </c>
      <c r="I1993" t="s">
        <v>1935</v>
      </c>
      <c r="J1993" t="s">
        <v>1936</v>
      </c>
      <c r="K1993" s="8">
        <v>14</v>
      </c>
    </row>
    <row r="1994" spans="1:11">
      <c r="A1994" t="s">
        <v>3932</v>
      </c>
      <c r="B1994" s="15">
        <v>45757</v>
      </c>
      <c r="C1994" s="4">
        <v>45748</v>
      </c>
      <c r="D1994" t="s">
        <v>62</v>
      </c>
      <c r="E1994" t="s">
        <v>25</v>
      </c>
      <c r="F1994" t="s">
        <v>64</v>
      </c>
      <c r="G1994" t="s">
        <v>340</v>
      </c>
      <c r="H1994" t="s">
        <v>8</v>
      </c>
      <c r="I1994" t="s">
        <v>1995</v>
      </c>
      <c r="J1994" t="s">
        <v>1936</v>
      </c>
      <c r="K1994" s="8">
        <v>1</v>
      </c>
    </row>
    <row r="1995" spans="1:11">
      <c r="A1995" t="s">
        <v>3933</v>
      </c>
      <c r="B1995" s="15">
        <v>45759</v>
      </c>
      <c r="C1995" s="4">
        <v>45748</v>
      </c>
      <c r="D1995" t="s">
        <v>62</v>
      </c>
      <c r="E1995" t="s">
        <v>25</v>
      </c>
      <c r="F1995" t="s">
        <v>64</v>
      </c>
      <c r="G1995" t="s">
        <v>358</v>
      </c>
      <c r="H1995" t="s">
        <v>8</v>
      </c>
      <c r="I1995" t="s">
        <v>1935</v>
      </c>
      <c r="J1995" t="s">
        <v>1936</v>
      </c>
      <c r="K1995" s="8">
        <v>32</v>
      </c>
    </row>
    <row r="1996" spans="1:11">
      <c r="A1996" t="s">
        <v>3934</v>
      </c>
      <c r="B1996" s="15">
        <v>45749</v>
      </c>
      <c r="C1996" s="4">
        <v>45748</v>
      </c>
      <c r="D1996" t="s">
        <v>65</v>
      </c>
      <c r="E1996" t="s">
        <v>25</v>
      </c>
      <c r="F1996" t="s">
        <v>67</v>
      </c>
      <c r="G1996" t="s">
        <v>342</v>
      </c>
      <c r="H1996" t="s">
        <v>8</v>
      </c>
      <c r="I1996" t="s">
        <v>1935</v>
      </c>
      <c r="J1996" t="s">
        <v>1936</v>
      </c>
      <c r="K1996" s="8">
        <v>20</v>
      </c>
    </row>
    <row r="1997" spans="1:11">
      <c r="A1997" t="s">
        <v>3935</v>
      </c>
      <c r="B1997" s="15">
        <v>45752</v>
      </c>
      <c r="C1997" s="4">
        <v>45748</v>
      </c>
      <c r="D1997" t="s">
        <v>65</v>
      </c>
      <c r="E1997" t="s">
        <v>25</v>
      </c>
      <c r="F1997" t="s">
        <v>67</v>
      </c>
      <c r="G1997" t="s">
        <v>348</v>
      </c>
      <c r="H1997" t="s">
        <v>11</v>
      </c>
      <c r="I1997" t="s">
        <v>1935</v>
      </c>
      <c r="J1997" t="s">
        <v>1936</v>
      </c>
      <c r="K1997" s="8">
        <v>33</v>
      </c>
    </row>
    <row r="1998" spans="1:11">
      <c r="A1998" t="s">
        <v>3936</v>
      </c>
      <c r="B1998" s="15">
        <v>45753</v>
      </c>
      <c r="C1998" s="4">
        <v>45748</v>
      </c>
      <c r="D1998" t="s">
        <v>65</v>
      </c>
      <c r="E1998" t="s">
        <v>25</v>
      </c>
      <c r="F1998" t="s">
        <v>67</v>
      </c>
      <c r="G1998" t="s">
        <v>324</v>
      </c>
      <c r="H1998" t="s">
        <v>11</v>
      </c>
      <c r="I1998" t="s">
        <v>1935</v>
      </c>
      <c r="J1998" t="s">
        <v>1936</v>
      </c>
      <c r="K1998" s="8">
        <v>18</v>
      </c>
    </row>
    <row r="1999" spans="1:11">
      <c r="A1999" t="s">
        <v>3937</v>
      </c>
      <c r="B1999" s="15">
        <v>45755</v>
      </c>
      <c r="C1999" s="4">
        <v>45748</v>
      </c>
      <c r="D1999" t="s">
        <v>65</v>
      </c>
      <c r="E1999" t="s">
        <v>25</v>
      </c>
      <c r="F1999" t="s">
        <v>67</v>
      </c>
      <c r="G1999" t="s">
        <v>330</v>
      </c>
      <c r="H1999" t="s">
        <v>5</v>
      </c>
      <c r="I1999" t="s">
        <v>1935</v>
      </c>
      <c r="J1999" t="s">
        <v>1936</v>
      </c>
      <c r="K1999" s="8">
        <v>10</v>
      </c>
    </row>
    <row r="2000" spans="1:11">
      <c r="A2000" t="s">
        <v>3938</v>
      </c>
      <c r="B2000" s="15">
        <v>45762</v>
      </c>
      <c r="C2000" s="4">
        <v>45748</v>
      </c>
      <c r="D2000" t="s">
        <v>65</v>
      </c>
      <c r="E2000" t="s">
        <v>25</v>
      </c>
      <c r="F2000" t="s">
        <v>67</v>
      </c>
      <c r="G2000" t="s">
        <v>342</v>
      </c>
      <c r="H2000" t="s">
        <v>5</v>
      </c>
      <c r="I2000" t="s">
        <v>1935</v>
      </c>
      <c r="J2000" t="s">
        <v>1938</v>
      </c>
      <c r="K2000" s="8">
        <v>22</v>
      </c>
    </row>
    <row r="2001" spans="1:11">
      <c r="A2001" t="s">
        <v>3939</v>
      </c>
      <c r="B2001" s="15">
        <v>45773</v>
      </c>
      <c r="C2001" s="4">
        <v>45748</v>
      </c>
      <c r="D2001" t="s">
        <v>65</v>
      </c>
      <c r="E2001" t="s">
        <v>25</v>
      </c>
      <c r="F2001" t="s">
        <v>67</v>
      </c>
      <c r="G2001" t="s">
        <v>330</v>
      </c>
      <c r="H2001" t="s">
        <v>8</v>
      </c>
      <c r="I2001" t="s">
        <v>1935</v>
      </c>
      <c r="J2001" t="s">
        <v>1936</v>
      </c>
      <c r="K2001" s="8">
        <v>30</v>
      </c>
    </row>
    <row r="2002" spans="1:11">
      <c r="A2002" t="s">
        <v>3940</v>
      </c>
      <c r="B2002" s="15">
        <v>45764</v>
      </c>
      <c r="C2002" s="4">
        <v>45748</v>
      </c>
      <c r="D2002" t="s">
        <v>65</v>
      </c>
      <c r="E2002" t="s">
        <v>25</v>
      </c>
      <c r="F2002" t="s">
        <v>67</v>
      </c>
      <c r="G2002" t="s">
        <v>342</v>
      </c>
      <c r="H2002" t="s">
        <v>11</v>
      </c>
      <c r="I2002" t="s">
        <v>1935</v>
      </c>
      <c r="J2002" t="s">
        <v>1954</v>
      </c>
      <c r="K2002" s="8">
        <v>16</v>
      </c>
    </row>
    <row r="2003" spans="1:11">
      <c r="A2003" t="s">
        <v>3941</v>
      </c>
      <c r="B2003" s="15">
        <v>45758</v>
      </c>
      <c r="C2003" s="4">
        <v>45748</v>
      </c>
      <c r="D2003" t="s">
        <v>65</v>
      </c>
      <c r="E2003" t="s">
        <v>25</v>
      </c>
      <c r="F2003" t="s">
        <v>67</v>
      </c>
      <c r="G2003" t="s">
        <v>354</v>
      </c>
      <c r="H2003" t="s">
        <v>5</v>
      </c>
      <c r="I2003" t="s">
        <v>1935</v>
      </c>
      <c r="J2003" t="s">
        <v>1936</v>
      </c>
      <c r="K2003" s="8">
        <v>17</v>
      </c>
    </row>
    <row r="2004" spans="1:11">
      <c r="A2004" t="s">
        <v>3942</v>
      </c>
      <c r="B2004" s="15">
        <v>45764</v>
      </c>
      <c r="C2004" s="4">
        <v>45748</v>
      </c>
      <c r="D2004" t="s">
        <v>65</v>
      </c>
      <c r="E2004" t="s">
        <v>25</v>
      </c>
      <c r="F2004" t="s">
        <v>67</v>
      </c>
      <c r="G2004" t="s">
        <v>348</v>
      </c>
      <c r="H2004" t="s">
        <v>11</v>
      </c>
      <c r="I2004" t="s">
        <v>1935</v>
      </c>
      <c r="J2004" t="s">
        <v>1954</v>
      </c>
      <c r="K2004" s="8">
        <v>9</v>
      </c>
    </row>
    <row r="2005" spans="1:11">
      <c r="A2005" t="s">
        <v>3943</v>
      </c>
      <c r="B2005" s="15">
        <v>45757</v>
      </c>
      <c r="C2005" s="4">
        <v>45748</v>
      </c>
      <c r="D2005" t="s">
        <v>65</v>
      </c>
      <c r="E2005" t="s">
        <v>25</v>
      </c>
      <c r="F2005" t="s">
        <v>67</v>
      </c>
      <c r="G2005" t="s">
        <v>354</v>
      </c>
      <c r="H2005" t="s">
        <v>11</v>
      </c>
      <c r="I2005" t="s">
        <v>1935</v>
      </c>
      <c r="J2005" t="s">
        <v>1936</v>
      </c>
      <c r="K2005" s="8">
        <v>18</v>
      </c>
    </row>
    <row r="2006" spans="1:11">
      <c r="A2006" t="s">
        <v>3944</v>
      </c>
      <c r="B2006" s="15">
        <v>45758</v>
      </c>
      <c r="C2006" s="4">
        <v>45748</v>
      </c>
      <c r="D2006" t="s">
        <v>65</v>
      </c>
      <c r="E2006" t="s">
        <v>25</v>
      </c>
      <c r="F2006" t="s">
        <v>67</v>
      </c>
      <c r="G2006" t="s">
        <v>348</v>
      </c>
      <c r="H2006" t="s">
        <v>11</v>
      </c>
      <c r="I2006" t="s">
        <v>1935</v>
      </c>
      <c r="J2006" t="s">
        <v>1938</v>
      </c>
      <c r="K2006" s="8">
        <v>30</v>
      </c>
    </row>
    <row r="2007" spans="1:11">
      <c r="A2007" t="s">
        <v>3945</v>
      </c>
      <c r="B2007" s="15">
        <v>45786</v>
      </c>
      <c r="C2007" s="4">
        <v>45778</v>
      </c>
      <c r="D2007" t="s">
        <v>32</v>
      </c>
      <c r="E2007" t="s">
        <v>19</v>
      </c>
      <c r="F2007" t="s">
        <v>34</v>
      </c>
      <c r="G2007" t="s">
        <v>124</v>
      </c>
      <c r="H2007" t="s">
        <v>5</v>
      </c>
      <c r="I2007" t="s">
        <v>1935</v>
      </c>
      <c r="J2007" t="s">
        <v>1936</v>
      </c>
      <c r="K2007" s="8">
        <v>15</v>
      </c>
    </row>
    <row r="2008" spans="1:11">
      <c r="A2008" t="s">
        <v>3946</v>
      </c>
      <c r="B2008" s="15">
        <v>45786</v>
      </c>
      <c r="C2008" s="4">
        <v>45778</v>
      </c>
      <c r="D2008" t="s">
        <v>32</v>
      </c>
      <c r="E2008" t="s">
        <v>19</v>
      </c>
      <c r="F2008" t="s">
        <v>34</v>
      </c>
      <c r="G2008" t="s">
        <v>136</v>
      </c>
      <c r="H2008" t="s">
        <v>5</v>
      </c>
      <c r="I2008" t="s">
        <v>1935</v>
      </c>
      <c r="J2008" t="s">
        <v>1938</v>
      </c>
      <c r="K2008" s="8">
        <v>16</v>
      </c>
    </row>
    <row r="2009" spans="1:11">
      <c r="A2009" t="s">
        <v>3947</v>
      </c>
      <c r="B2009" s="15">
        <v>45786</v>
      </c>
      <c r="C2009" s="4">
        <v>45778</v>
      </c>
      <c r="D2009" t="s">
        <v>32</v>
      </c>
      <c r="E2009" t="s">
        <v>19</v>
      </c>
      <c r="F2009" t="s">
        <v>34</v>
      </c>
      <c r="G2009" t="s">
        <v>111</v>
      </c>
      <c r="H2009" t="s">
        <v>5</v>
      </c>
      <c r="I2009" t="s">
        <v>1942</v>
      </c>
      <c r="J2009" t="s">
        <v>1938</v>
      </c>
      <c r="K2009" s="8">
        <v>8</v>
      </c>
    </row>
    <row r="2010" spans="1:11">
      <c r="A2010" t="s">
        <v>3948</v>
      </c>
      <c r="B2010" s="15">
        <v>45806</v>
      </c>
      <c r="C2010" s="4">
        <v>45778</v>
      </c>
      <c r="D2010" t="s">
        <v>32</v>
      </c>
      <c r="E2010" t="s">
        <v>19</v>
      </c>
      <c r="F2010" t="s">
        <v>34</v>
      </c>
      <c r="G2010" t="s">
        <v>92</v>
      </c>
      <c r="H2010" t="s">
        <v>8</v>
      </c>
      <c r="I2010" t="s">
        <v>1995</v>
      </c>
      <c r="J2010" t="s">
        <v>1936</v>
      </c>
      <c r="K2010" s="8">
        <v>0</v>
      </c>
    </row>
    <row r="2011" spans="1:11">
      <c r="A2011" t="s">
        <v>3949</v>
      </c>
      <c r="B2011" s="15">
        <v>45786</v>
      </c>
      <c r="C2011" s="4">
        <v>45778</v>
      </c>
      <c r="D2011" t="s">
        <v>32</v>
      </c>
      <c r="E2011" t="s">
        <v>19</v>
      </c>
      <c r="F2011" t="s">
        <v>34</v>
      </c>
      <c r="G2011" t="s">
        <v>105</v>
      </c>
      <c r="H2011" t="s">
        <v>11</v>
      </c>
      <c r="I2011" t="s">
        <v>1935</v>
      </c>
      <c r="J2011" t="s">
        <v>1936</v>
      </c>
      <c r="K2011" s="8">
        <v>34</v>
      </c>
    </row>
    <row r="2012" spans="1:11">
      <c r="A2012" t="s">
        <v>3950</v>
      </c>
      <c r="B2012" s="15">
        <v>45789</v>
      </c>
      <c r="C2012" s="4">
        <v>45778</v>
      </c>
      <c r="D2012" t="s">
        <v>32</v>
      </c>
      <c r="E2012" t="s">
        <v>19</v>
      </c>
      <c r="F2012" t="s">
        <v>34</v>
      </c>
      <c r="G2012" t="s">
        <v>105</v>
      </c>
      <c r="H2012" t="s">
        <v>5</v>
      </c>
      <c r="I2012" t="s">
        <v>1935</v>
      </c>
      <c r="J2012" t="s">
        <v>1936</v>
      </c>
      <c r="K2012" s="8">
        <v>24</v>
      </c>
    </row>
    <row r="2013" spans="1:11">
      <c r="A2013" t="s">
        <v>3951</v>
      </c>
      <c r="B2013" s="15">
        <v>45788</v>
      </c>
      <c r="C2013" s="4">
        <v>45778</v>
      </c>
      <c r="D2013" t="s">
        <v>32</v>
      </c>
      <c r="E2013" t="s">
        <v>19</v>
      </c>
      <c r="F2013" t="s">
        <v>34</v>
      </c>
      <c r="G2013" t="s">
        <v>160</v>
      </c>
      <c r="H2013" t="s">
        <v>5</v>
      </c>
      <c r="I2013" t="s">
        <v>1935</v>
      </c>
      <c r="J2013" t="s">
        <v>1936</v>
      </c>
      <c r="K2013" s="8">
        <v>20</v>
      </c>
    </row>
    <row r="2014" spans="1:11">
      <c r="A2014" t="s">
        <v>3952</v>
      </c>
      <c r="B2014" s="15">
        <v>45805</v>
      </c>
      <c r="C2014" s="4">
        <v>45778</v>
      </c>
      <c r="D2014" t="s">
        <v>32</v>
      </c>
      <c r="E2014" t="s">
        <v>19</v>
      </c>
      <c r="F2014" t="s">
        <v>34</v>
      </c>
      <c r="G2014" t="s">
        <v>124</v>
      </c>
      <c r="H2014" t="s">
        <v>5</v>
      </c>
      <c r="I2014" t="s">
        <v>1935</v>
      </c>
      <c r="J2014" t="s">
        <v>1954</v>
      </c>
      <c r="K2014" s="8">
        <v>23</v>
      </c>
    </row>
    <row r="2015" spans="1:11">
      <c r="A2015" t="s">
        <v>3953</v>
      </c>
      <c r="B2015" s="15">
        <v>45789</v>
      </c>
      <c r="C2015" s="4">
        <v>45778</v>
      </c>
      <c r="D2015" t="s">
        <v>32</v>
      </c>
      <c r="E2015" t="s">
        <v>19</v>
      </c>
      <c r="F2015" t="s">
        <v>34</v>
      </c>
      <c r="G2015" t="s">
        <v>105</v>
      </c>
      <c r="H2015" t="s">
        <v>8</v>
      </c>
      <c r="I2015" t="s">
        <v>1935</v>
      </c>
      <c r="J2015" t="s">
        <v>1936</v>
      </c>
      <c r="K2015" s="8">
        <v>22</v>
      </c>
    </row>
    <row r="2016" spans="1:11">
      <c r="A2016" t="s">
        <v>3954</v>
      </c>
      <c r="B2016" s="15">
        <v>45797</v>
      </c>
      <c r="C2016" s="4">
        <v>45778</v>
      </c>
      <c r="D2016" t="s">
        <v>32</v>
      </c>
      <c r="E2016" t="s">
        <v>19</v>
      </c>
      <c r="F2016" t="s">
        <v>34</v>
      </c>
      <c r="G2016" t="s">
        <v>130</v>
      </c>
      <c r="H2016" t="s">
        <v>14</v>
      </c>
      <c r="I2016" t="s">
        <v>1935</v>
      </c>
      <c r="J2016" t="s">
        <v>1936</v>
      </c>
      <c r="K2016" s="8">
        <v>17</v>
      </c>
    </row>
    <row r="2017" spans="1:11">
      <c r="A2017" t="s">
        <v>3955</v>
      </c>
      <c r="B2017" s="15">
        <v>45784</v>
      </c>
      <c r="C2017" s="4">
        <v>45778</v>
      </c>
      <c r="D2017" t="s">
        <v>32</v>
      </c>
      <c r="E2017" t="s">
        <v>19</v>
      </c>
      <c r="F2017" t="s">
        <v>34</v>
      </c>
      <c r="G2017" t="s">
        <v>111</v>
      </c>
      <c r="H2017" t="s">
        <v>8</v>
      </c>
      <c r="I2017" t="s">
        <v>1935</v>
      </c>
      <c r="J2017" t="s">
        <v>1954</v>
      </c>
      <c r="K2017" s="8">
        <v>24</v>
      </c>
    </row>
    <row r="2018" spans="1:11">
      <c r="A2018" t="s">
        <v>3956</v>
      </c>
      <c r="B2018" s="15">
        <v>45781</v>
      </c>
      <c r="C2018" s="4">
        <v>45778</v>
      </c>
      <c r="D2018" t="s">
        <v>32</v>
      </c>
      <c r="E2018" t="s">
        <v>19</v>
      </c>
      <c r="F2018" t="s">
        <v>34</v>
      </c>
      <c r="G2018" t="s">
        <v>130</v>
      </c>
      <c r="H2018" t="s">
        <v>14</v>
      </c>
      <c r="I2018" t="s">
        <v>1935</v>
      </c>
      <c r="J2018" t="s">
        <v>1936</v>
      </c>
      <c r="K2018" s="8">
        <v>24</v>
      </c>
    </row>
    <row r="2019" spans="1:11">
      <c r="A2019" t="s">
        <v>3957</v>
      </c>
      <c r="B2019" s="15">
        <v>45785</v>
      </c>
      <c r="C2019" s="4">
        <v>45778</v>
      </c>
      <c r="D2019" t="s">
        <v>35</v>
      </c>
      <c r="E2019" t="s">
        <v>19</v>
      </c>
      <c r="F2019" t="s">
        <v>37</v>
      </c>
      <c r="G2019" t="s">
        <v>107</v>
      </c>
      <c r="H2019" t="s">
        <v>8</v>
      </c>
      <c r="I2019" t="s">
        <v>1935</v>
      </c>
      <c r="J2019" t="s">
        <v>1954</v>
      </c>
      <c r="K2019" s="8">
        <v>28</v>
      </c>
    </row>
    <row r="2020" spans="1:11">
      <c r="A2020" t="s">
        <v>3958</v>
      </c>
      <c r="B2020" s="15">
        <v>45791</v>
      </c>
      <c r="C2020" s="4">
        <v>45778</v>
      </c>
      <c r="D2020" t="s">
        <v>35</v>
      </c>
      <c r="E2020" t="s">
        <v>19</v>
      </c>
      <c r="F2020" t="s">
        <v>37</v>
      </c>
      <c r="G2020" t="s">
        <v>88</v>
      </c>
      <c r="H2020" t="s">
        <v>8</v>
      </c>
      <c r="I2020" t="s">
        <v>1935</v>
      </c>
      <c r="J2020" t="s">
        <v>1936</v>
      </c>
      <c r="K2020" s="8">
        <v>17</v>
      </c>
    </row>
    <row r="2021" spans="1:11">
      <c r="A2021" t="s">
        <v>3959</v>
      </c>
      <c r="B2021" s="15">
        <v>45806</v>
      </c>
      <c r="C2021" s="4">
        <v>45778</v>
      </c>
      <c r="D2021" t="s">
        <v>35</v>
      </c>
      <c r="E2021" t="s">
        <v>19</v>
      </c>
      <c r="F2021" t="s">
        <v>37</v>
      </c>
      <c r="G2021" t="s">
        <v>101</v>
      </c>
      <c r="H2021" t="s">
        <v>5</v>
      </c>
      <c r="I2021" t="s">
        <v>1935</v>
      </c>
      <c r="J2021" t="s">
        <v>1936</v>
      </c>
      <c r="K2021" s="8">
        <v>27</v>
      </c>
    </row>
    <row r="2022" spans="1:11">
      <c r="A2022" t="s">
        <v>3960</v>
      </c>
      <c r="B2022" s="15">
        <v>45795</v>
      </c>
      <c r="C2022" s="4">
        <v>45778</v>
      </c>
      <c r="D2022" t="s">
        <v>35</v>
      </c>
      <c r="E2022" t="s">
        <v>19</v>
      </c>
      <c r="F2022" t="s">
        <v>37</v>
      </c>
      <c r="G2022" t="s">
        <v>107</v>
      </c>
      <c r="H2022" t="s">
        <v>8</v>
      </c>
      <c r="I2022" t="s">
        <v>1935</v>
      </c>
      <c r="J2022" t="s">
        <v>1954</v>
      </c>
      <c r="K2022" s="8">
        <v>12</v>
      </c>
    </row>
    <row r="2023" spans="1:11">
      <c r="A2023" t="s">
        <v>3961</v>
      </c>
      <c r="B2023" s="15">
        <v>45778</v>
      </c>
      <c r="C2023" s="4">
        <v>45778</v>
      </c>
      <c r="D2023" t="s">
        <v>35</v>
      </c>
      <c r="E2023" t="s">
        <v>19</v>
      </c>
      <c r="F2023" t="s">
        <v>37</v>
      </c>
      <c r="G2023" t="s">
        <v>107</v>
      </c>
      <c r="H2023" t="s">
        <v>8</v>
      </c>
      <c r="I2023" t="s">
        <v>1935</v>
      </c>
      <c r="J2023" t="s">
        <v>1936</v>
      </c>
      <c r="K2023" s="8">
        <v>18</v>
      </c>
    </row>
    <row r="2024" spans="1:11">
      <c r="A2024" t="s">
        <v>3962</v>
      </c>
      <c r="B2024" s="15">
        <v>45804</v>
      </c>
      <c r="C2024" s="4">
        <v>45778</v>
      </c>
      <c r="D2024" t="s">
        <v>35</v>
      </c>
      <c r="E2024" t="s">
        <v>19</v>
      </c>
      <c r="F2024" t="s">
        <v>37</v>
      </c>
      <c r="G2024" t="s">
        <v>101</v>
      </c>
      <c r="H2024" t="s">
        <v>5</v>
      </c>
      <c r="I2024" t="s">
        <v>1935</v>
      </c>
      <c r="J2024" t="s">
        <v>1938</v>
      </c>
      <c r="K2024" s="8">
        <v>31</v>
      </c>
    </row>
    <row r="2025" spans="1:11">
      <c r="A2025" t="s">
        <v>3963</v>
      </c>
      <c r="B2025" s="15">
        <v>45804</v>
      </c>
      <c r="C2025" s="4">
        <v>45778</v>
      </c>
      <c r="D2025" t="s">
        <v>35</v>
      </c>
      <c r="E2025" t="s">
        <v>19</v>
      </c>
      <c r="F2025" t="s">
        <v>37</v>
      </c>
      <c r="G2025" t="s">
        <v>78</v>
      </c>
      <c r="H2025" t="s">
        <v>8</v>
      </c>
      <c r="I2025" t="s">
        <v>1935</v>
      </c>
      <c r="J2025" t="s">
        <v>1936</v>
      </c>
      <c r="K2025" s="8">
        <v>8</v>
      </c>
    </row>
    <row r="2026" spans="1:11">
      <c r="A2026" t="s">
        <v>3964</v>
      </c>
      <c r="B2026" s="15">
        <v>45798</v>
      </c>
      <c r="C2026" s="4">
        <v>45778</v>
      </c>
      <c r="D2026" t="s">
        <v>35</v>
      </c>
      <c r="E2026" t="s">
        <v>19</v>
      </c>
      <c r="F2026" t="s">
        <v>37</v>
      </c>
      <c r="G2026" t="s">
        <v>88</v>
      </c>
      <c r="H2026" t="s">
        <v>8</v>
      </c>
      <c r="I2026" t="s">
        <v>1935</v>
      </c>
      <c r="J2026" t="s">
        <v>1938</v>
      </c>
      <c r="K2026" s="8">
        <v>14</v>
      </c>
    </row>
    <row r="2027" spans="1:11">
      <c r="A2027" t="s">
        <v>3965</v>
      </c>
      <c r="B2027" s="15">
        <v>45808</v>
      </c>
      <c r="C2027" s="4">
        <v>45778</v>
      </c>
      <c r="D2027" t="s">
        <v>35</v>
      </c>
      <c r="E2027" t="s">
        <v>19</v>
      </c>
      <c r="F2027" t="s">
        <v>37</v>
      </c>
      <c r="G2027" t="s">
        <v>101</v>
      </c>
      <c r="H2027" t="s">
        <v>11</v>
      </c>
      <c r="I2027" t="s">
        <v>1935</v>
      </c>
      <c r="J2027" t="s">
        <v>1936</v>
      </c>
      <c r="K2027" s="8">
        <v>34</v>
      </c>
    </row>
    <row r="2028" spans="1:11">
      <c r="A2028" t="s">
        <v>3966</v>
      </c>
      <c r="B2028" s="15">
        <v>45794</v>
      </c>
      <c r="C2028" s="4">
        <v>45778</v>
      </c>
      <c r="D2028" t="s">
        <v>35</v>
      </c>
      <c r="E2028" t="s">
        <v>19</v>
      </c>
      <c r="F2028" t="s">
        <v>37</v>
      </c>
      <c r="G2028" t="s">
        <v>101</v>
      </c>
      <c r="H2028" t="s">
        <v>11</v>
      </c>
      <c r="I2028" t="s">
        <v>1935</v>
      </c>
      <c r="J2028" t="s">
        <v>1936</v>
      </c>
      <c r="K2028" s="8">
        <v>18</v>
      </c>
    </row>
    <row r="2029" spans="1:11">
      <c r="A2029" t="s">
        <v>3967</v>
      </c>
      <c r="B2029" s="15">
        <v>45791</v>
      </c>
      <c r="C2029" s="4">
        <v>45778</v>
      </c>
      <c r="D2029" t="s">
        <v>35</v>
      </c>
      <c r="E2029" t="s">
        <v>19</v>
      </c>
      <c r="F2029" t="s">
        <v>37</v>
      </c>
      <c r="G2029" t="s">
        <v>101</v>
      </c>
      <c r="H2029" t="s">
        <v>8</v>
      </c>
      <c r="I2029" t="s">
        <v>1935</v>
      </c>
      <c r="J2029" t="s">
        <v>1936</v>
      </c>
      <c r="K2029" s="8">
        <v>35</v>
      </c>
    </row>
    <row r="2030" spans="1:11">
      <c r="A2030" t="s">
        <v>3968</v>
      </c>
      <c r="B2030" s="15">
        <v>45808</v>
      </c>
      <c r="C2030" s="4">
        <v>45778</v>
      </c>
      <c r="D2030" t="s">
        <v>38</v>
      </c>
      <c r="E2030" t="s">
        <v>19</v>
      </c>
      <c r="F2030" t="s">
        <v>40</v>
      </c>
      <c r="G2030" t="s">
        <v>103</v>
      </c>
      <c r="H2030" t="s">
        <v>5</v>
      </c>
      <c r="I2030" t="s">
        <v>1935</v>
      </c>
      <c r="J2030" t="s">
        <v>1936</v>
      </c>
      <c r="K2030" s="8">
        <v>25</v>
      </c>
    </row>
    <row r="2031" spans="1:11">
      <c r="A2031" t="s">
        <v>3969</v>
      </c>
      <c r="B2031" s="15">
        <v>45794</v>
      </c>
      <c r="C2031" s="4">
        <v>45778</v>
      </c>
      <c r="D2031" t="s">
        <v>38</v>
      </c>
      <c r="E2031" t="s">
        <v>19</v>
      </c>
      <c r="F2031" t="s">
        <v>40</v>
      </c>
      <c r="G2031" t="s">
        <v>164</v>
      </c>
      <c r="H2031" t="s">
        <v>5</v>
      </c>
      <c r="I2031" t="s">
        <v>1942</v>
      </c>
      <c r="J2031" t="s">
        <v>1936</v>
      </c>
      <c r="K2031" s="8">
        <v>8</v>
      </c>
    </row>
    <row r="2032" spans="1:11">
      <c r="A2032" t="s">
        <v>3970</v>
      </c>
      <c r="B2032" s="15">
        <v>45800</v>
      </c>
      <c r="C2032" s="4">
        <v>45778</v>
      </c>
      <c r="D2032" t="s">
        <v>38</v>
      </c>
      <c r="E2032" t="s">
        <v>19</v>
      </c>
      <c r="F2032" t="s">
        <v>40</v>
      </c>
      <c r="G2032" t="s">
        <v>122</v>
      </c>
      <c r="H2032" t="s">
        <v>5</v>
      </c>
      <c r="I2032" t="s">
        <v>1935</v>
      </c>
      <c r="J2032" t="s">
        <v>1936</v>
      </c>
      <c r="K2032" s="8">
        <v>29</v>
      </c>
    </row>
    <row r="2033" spans="1:11">
      <c r="A2033" t="s">
        <v>3971</v>
      </c>
      <c r="B2033" s="15">
        <v>45803</v>
      </c>
      <c r="C2033" s="4">
        <v>45778</v>
      </c>
      <c r="D2033" t="s">
        <v>38</v>
      </c>
      <c r="E2033" t="s">
        <v>19</v>
      </c>
      <c r="F2033" t="s">
        <v>40</v>
      </c>
      <c r="G2033" t="s">
        <v>115</v>
      </c>
      <c r="H2033" t="s">
        <v>14</v>
      </c>
      <c r="I2033" t="s">
        <v>1935</v>
      </c>
      <c r="J2033" t="s">
        <v>1936</v>
      </c>
      <c r="K2033" s="8">
        <v>32</v>
      </c>
    </row>
    <row r="2034" spans="1:11">
      <c r="A2034" t="s">
        <v>3972</v>
      </c>
      <c r="B2034" s="15">
        <v>45807</v>
      </c>
      <c r="C2034" s="4">
        <v>45778</v>
      </c>
      <c r="D2034" t="s">
        <v>38</v>
      </c>
      <c r="E2034" t="s">
        <v>19</v>
      </c>
      <c r="F2034" t="s">
        <v>40</v>
      </c>
      <c r="G2034" t="s">
        <v>140</v>
      </c>
      <c r="H2034" t="s">
        <v>5</v>
      </c>
      <c r="I2034" t="s">
        <v>1935</v>
      </c>
      <c r="J2034" t="s">
        <v>1936</v>
      </c>
      <c r="K2034" s="8">
        <v>13</v>
      </c>
    </row>
    <row r="2035" spans="1:11">
      <c r="A2035" t="s">
        <v>3973</v>
      </c>
      <c r="B2035" s="15">
        <v>45782</v>
      </c>
      <c r="C2035" s="4">
        <v>45778</v>
      </c>
      <c r="D2035" t="s">
        <v>38</v>
      </c>
      <c r="E2035" t="s">
        <v>19</v>
      </c>
      <c r="F2035" t="s">
        <v>40</v>
      </c>
      <c r="G2035" t="s">
        <v>146</v>
      </c>
      <c r="H2035" t="s">
        <v>8</v>
      </c>
      <c r="I2035" t="s">
        <v>1935</v>
      </c>
      <c r="J2035" t="s">
        <v>1936</v>
      </c>
      <c r="K2035" s="8">
        <v>18</v>
      </c>
    </row>
    <row r="2036" spans="1:11">
      <c r="A2036" t="s">
        <v>3974</v>
      </c>
      <c r="B2036" s="15">
        <v>45791</v>
      </c>
      <c r="C2036" s="4">
        <v>45778</v>
      </c>
      <c r="D2036" t="s">
        <v>38</v>
      </c>
      <c r="E2036" t="s">
        <v>19</v>
      </c>
      <c r="F2036" t="s">
        <v>40</v>
      </c>
      <c r="G2036" t="s">
        <v>103</v>
      </c>
      <c r="H2036" t="s">
        <v>5</v>
      </c>
      <c r="I2036" t="s">
        <v>1935</v>
      </c>
      <c r="J2036" t="s">
        <v>1938</v>
      </c>
      <c r="K2036" s="8">
        <v>20</v>
      </c>
    </row>
    <row r="2037" spans="1:11">
      <c r="A2037" t="s">
        <v>3975</v>
      </c>
      <c r="B2037" s="15">
        <v>45792</v>
      </c>
      <c r="C2037" s="4">
        <v>45778</v>
      </c>
      <c r="D2037" t="s">
        <v>38</v>
      </c>
      <c r="E2037" t="s">
        <v>19</v>
      </c>
      <c r="F2037" t="s">
        <v>40</v>
      </c>
      <c r="G2037" t="s">
        <v>134</v>
      </c>
      <c r="H2037" t="s">
        <v>14</v>
      </c>
      <c r="I2037" t="s">
        <v>1935</v>
      </c>
      <c r="J2037" t="s">
        <v>1936</v>
      </c>
      <c r="K2037" s="8">
        <v>34</v>
      </c>
    </row>
    <row r="2038" spans="1:11">
      <c r="A2038" t="s">
        <v>3976</v>
      </c>
      <c r="B2038" s="15">
        <v>45788</v>
      </c>
      <c r="C2038" s="4">
        <v>45778</v>
      </c>
      <c r="D2038" t="s">
        <v>41</v>
      </c>
      <c r="E2038" t="s">
        <v>21</v>
      </c>
      <c r="F2038" t="s">
        <v>43</v>
      </c>
      <c r="G2038" t="s">
        <v>208</v>
      </c>
      <c r="H2038" t="s">
        <v>11</v>
      </c>
      <c r="I2038" t="s">
        <v>1935</v>
      </c>
      <c r="J2038" t="s">
        <v>1936</v>
      </c>
      <c r="K2038" s="8">
        <v>21</v>
      </c>
    </row>
    <row r="2039" spans="1:11">
      <c r="A2039" t="s">
        <v>3977</v>
      </c>
      <c r="B2039" s="15">
        <v>45796</v>
      </c>
      <c r="C2039" s="4">
        <v>45778</v>
      </c>
      <c r="D2039" t="s">
        <v>41</v>
      </c>
      <c r="E2039" t="s">
        <v>21</v>
      </c>
      <c r="F2039" t="s">
        <v>43</v>
      </c>
      <c r="G2039" t="s">
        <v>208</v>
      </c>
      <c r="H2039" t="s">
        <v>11</v>
      </c>
      <c r="I2039" t="s">
        <v>1935</v>
      </c>
      <c r="J2039" t="s">
        <v>1936</v>
      </c>
      <c r="K2039" s="8">
        <v>12</v>
      </c>
    </row>
    <row r="2040" spans="1:11">
      <c r="A2040" t="s">
        <v>3978</v>
      </c>
      <c r="B2040" s="15">
        <v>45803</v>
      </c>
      <c r="C2040" s="4">
        <v>45778</v>
      </c>
      <c r="D2040" t="s">
        <v>41</v>
      </c>
      <c r="E2040" t="s">
        <v>21</v>
      </c>
      <c r="F2040" t="s">
        <v>43</v>
      </c>
      <c r="G2040" t="s">
        <v>184</v>
      </c>
      <c r="H2040" t="s">
        <v>14</v>
      </c>
      <c r="I2040" t="s">
        <v>1935</v>
      </c>
      <c r="J2040" t="s">
        <v>1936</v>
      </c>
      <c r="K2040" s="8">
        <v>11</v>
      </c>
    </row>
    <row r="2041" spans="1:11">
      <c r="A2041" t="s">
        <v>3979</v>
      </c>
      <c r="B2041" s="15">
        <v>45803</v>
      </c>
      <c r="C2041" s="4">
        <v>45778</v>
      </c>
      <c r="D2041" t="s">
        <v>41</v>
      </c>
      <c r="E2041" t="s">
        <v>21</v>
      </c>
      <c r="F2041" t="s">
        <v>43</v>
      </c>
      <c r="G2041" t="s">
        <v>214</v>
      </c>
      <c r="H2041" t="s">
        <v>11</v>
      </c>
      <c r="I2041" t="s">
        <v>1935</v>
      </c>
      <c r="J2041" t="s">
        <v>1936</v>
      </c>
      <c r="K2041" s="8">
        <v>17</v>
      </c>
    </row>
    <row r="2042" spans="1:11">
      <c r="A2042" t="s">
        <v>3980</v>
      </c>
      <c r="B2042" s="15">
        <v>45808</v>
      </c>
      <c r="C2042" s="4">
        <v>45778</v>
      </c>
      <c r="D2042" t="s">
        <v>41</v>
      </c>
      <c r="E2042" t="s">
        <v>21</v>
      </c>
      <c r="F2042" t="s">
        <v>43</v>
      </c>
      <c r="G2042" t="s">
        <v>220</v>
      </c>
      <c r="H2042" t="s">
        <v>11</v>
      </c>
      <c r="I2042" t="s">
        <v>1935</v>
      </c>
      <c r="J2042" t="s">
        <v>1936</v>
      </c>
      <c r="K2042" s="8">
        <v>25</v>
      </c>
    </row>
    <row r="2043" spans="1:11">
      <c r="A2043" t="s">
        <v>3981</v>
      </c>
      <c r="B2043" s="15">
        <v>45787</v>
      </c>
      <c r="C2043" s="4">
        <v>45778</v>
      </c>
      <c r="D2043" t="s">
        <v>41</v>
      </c>
      <c r="E2043" t="s">
        <v>21</v>
      </c>
      <c r="F2043" t="s">
        <v>43</v>
      </c>
      <c r="G2043" t="s">
        <v>214</v>
      </c>
      <c r="H2043" t="s">
        <v>8</v>
      </c>
      <c r="I2043" t="s">
        <v>1935</v>
      </c>
      <c r="J2043" t="s">
        <v>1936</v>
      </c>
      <c r="K2043" s="8">
        <v>31</v>
      </c>
    </row>
    <row r="2044" spans="1:11">
      <c r="A2044" t="s">
        <v>3982</v>
      </c>
      <c r="B2044" s="15">
        <v>45795</v>
      </c>
      <c r="C2044" s="4">
        <v>45778</v>
      </c>
      <c r="D2044" t="s">
        <v>41</v>
      </c>
      <c r="E2044" t="s">
        <v>21</v>
      </c>
      <c r="F2044" t="s">
        <v>43</v>
      </c>
      <c r="G2044" t="s">
        <v>166</v>
      </c>
      <c r="H2044" t="s">
        <v>5</v>
      </c>
      <c r="I2044" t="s">
        <v>1935</v>
      </c>
      <c r="J2044" t="s">
        <v>1954</v>
      </c>
      <c r="K2044" s="8">
        <v>29</v>
      </c>
    </row>
    <row r="2045" spans="1:11">
      <c r="A2045" t="s">
        <v>3983</v>
      </c>
      <c r="B2045" s="15">
        <v>45787</v>
      </c>
      <c r="C2045" s="4">
        <v>45778</v>
      </c>
      <c r="D2045" t="s">
        <v>41</v>
      </c>
      <c r="E2045" t="s">
        <v>21</v>
      </c>
      <c r="F2045" t="s">
        <v>43</v>
      </c>
      <c r="G2045" t="s">
        <v>202</v>
      </c>
      <c r="H2045" t="s">
        <v>11</v>
      </c>
      <c r="I2045" t="s">
        <v>1935</v>
      </c>
      <c r="J2045" t="s">
        <v>1936</v>
      </c>
      <c r="K2045" s="8">
        <v>12</v>
      </c>
    </row>
    <row r="2046" spans="1:11">
      <c r="A2046" t="s">
        <v>3984</v>
      </c>
      <c r="B2046" s="15">
        <v>45787</v>
      </c>
      <c r="C2046" s="4">
        <v>45778</v>
      </c>
      <c r="D2046" t="s">
        <v>41</v>
      </c>
      <c r="E2046" t="s">
        <v>21</v>
      </c>
      <c r="F2046" t="s">
        <v>43</v>
      </c>
      <c r="G2046" t="s">
        <v>208</v>
      </c>
      <c r="H2046" t="s">
        <v>11</v>
      </c>
      <c r="I2046" t="s">
        <v>1935</v>
      </c>
      <c r="J2046" t="s">
        <v>1936</v>
      </c>
      <c r="K2046" s="8">
        <v>19</v>
      </c>
    </row>
    <row r="2047" spans="1:11">
      <c r="A2047" t="s">
        <v>3985</v>
      </c>
      <c r="B2047" s="15">
        <v>45808</v>
      </c>
      <c r="C2047" s="4">
        <v>45778</v>
      </c>
      <c r="D2047" t="s">
        <v>41</v>
      </c>
      <c r="E2047" t="s">
        <v>21</v>
      </c>
      <c r="F2047" t="s">
        <v>43</v>
      </c>
      <c r="G2047" t="s">
        <v>196</v>
      </c>
      <c r="H2047" t="s">
        <v>11</v>
      </c>
      <c r="I2047" t="s">
        <v>1935</v>
      </c>
      <c r="J2047" t="s">
        <v>1936</v>
      </c>
      <c r="K2047" s="8">
        <v>9</v>
      </c>
    </row>
    <row r="2048" spans="1:11">
      <c r="A2048" t="s">
        <v>3986</v>
      </c>
      <c r="B2048" s="15">
        <v>45803</v>
      </c>
      <c r="C2048" s="4">
        <v>45778</v>
      </c>
      <c r="D2048" t="s">
        <v>41</v>
      </c>
      <c r="E2048" t="s">
        <v>21</v>
      </c>
      <c r="F2048" t="s">
        <v>43</v>
      </c>
      <c r="G2048" t="s">
        <v>232</v>
      </c>
      <c r="H2048" t="s">
        <v>11</v>
      </c>
      <c r="I2048" t="s">
        <v>1995</v>
      </c>
      <c r="J2048" t="s">
        <v>1936</v>
      </c>
      <c r="K2048" s="8">
        <v>3</v>
      </c>
    </row>
    <row r="2049" spans="1:11">
      <c r="A2049" t="s">
        <v>3987</v>
      </c>
      <c r="B2049" s="15">
        <v>45802</v>
      </c>
      <c r="C2049" s="4">
        <v>45778</v>
      </c>
      <c r="D2049" t="s">
        <v>44</v>
      </c>
      <c r="E2049" t="s">
        <v>21</v>
      </c>
      <c r="F2049" t="s">
        <v>46</v>
      </c>
      <c r="G2049" t="s">
        <v>204</v>
      </c>
      <c r="H2049" t="s">
        <v>5</v>
      </c>
      <c r="I2049" t="s">
        <v>1935</v>
      </c>
      <c r="J2049" t="s">
        <v>1936</v>
      </c>
      <c r="K2049" s="8">
        <v>9</v>
      </c>
    </row>
    <row r="2050" spans="1:11">
      <c r="A2050" t="s">
        <v>3988</v>
      </c>
      <c r="B2050" s="15">
        <v>45787</v>
      </c>
      <c r="C2050" s="4">
        <v>45778</v>
      </c>
      <c r="D2050" t="s">
        <v>44</v>
      </c>
      <c r="E2050" t="s">
        <v>21</v>
      </c>
      <c r="F2050" t="s">
        <v>46</v>
      </c>
      <c r="G2050" t="s">
        <v>210</v>
      </c>
      <c r="H2050" t="s">
        <v>8</v>
      </c>
      <c r="I2050" t="s">
        <v>1935</v>
      </c>
      <c r="J2050" t="s">
        <v>1936</v>
      </c>
      <c r="K2050" s="8">
        <v>13</v>
      </c>
    </row>
    <row r="2051" spans="1:11">
      <c r="A2051" t="s">
        <v>3989</v>
      </c>
      <c r="B2051" s="15">
        <v>45797</v>
      </c>
      <c r="C2051" s="4">
        <v>45778</v>
      </c>
      <c r="D2051" t="s">
        <v>44</v>
      </c>
      <c r="E2051" t="s">
        <v>21</v>
      </c>
      <c r="F2051" t="s">
        <v>46</v>
      </c>
      <c r="G2051" t="s">
        <v>186</v>
      </c>
      <c r="H2051" t="s">
        <v>8</v>
      </c>
      <c r="I2051" t="s">
        <v>1935</v>
      </c>
      <c r="J2051" t="s">
        <v>1936</v>
      </c>
      <c r="K2051" s="8">
        <v>35</v>
      </c>
    </row>
    <row r="2052" spans="1:11">
      <c r="A2052" t="s">
        <v>3990</v>
      </c>
      <c r="B2052" s="15">
        <v>45807</v>
      </c>
      <c r="C2052" s="4">
        <v>45778</v>
      </c>
      <c r="D2052" t="s">
        <v>44</v>
      </c>
      <c r="E2052" t="s">
        <v>21</v>
      </c>
      <c r="F2052" t="s">
        <v>46</v>
      </c>
      <c r="G2052" t="s">
        <v>210</v>
      </c>
      <c r="H2052" t="s">
        <v>11</v>
      </c>
      <c r="I2052" t="s">
        <v>1935</v>
      </c>
      <c r="J2052" t="s">
        <v>1936</v>
      </c>
      <c r="K2052" s="8">
        <v>22</v>
      </c>
    </row>
    <row r="2053" spans="1:11">
      <c r="A2053" t="s">
        <v>3991</v>
      </c>
      <c r="B2053" s="15">
        <v>45781</v>
      </c>
      <c r="C2053" s="4">
        <v>45778</v>
      </c>
      <c r="D2053" t="s">
        <v>44</v>
      </c>
      <c r="E2053" t="s">
        <v>21</v>
      </c>
      <c r="F2053" t="s">
        <v>46</v>
      </c>
      <c r="G2053" t="s">
        <v>180</v>
      </c>
      <c r="H2053" t="s">
        <v>14</v>
      </c>
      <c r="I2053" t="s">
        <v>1942</v>
      </c>
      <c r="J2053" t="s">
        <v>1936</v>
      </c>
      <c r="K2053" s="8">
        <v>5</v>
      </c>
    </row>
    <row r="2054" spans="1:11">
      <c r="A2054" t="s">
        <v>3992</v>
      </c>
      <c r="B2054" s="15">
        <v>45797</v>
      </c>
      <c r="C2054" s="4">
        <v>45778</v>
      </c>
      <c r="D2054" t="s">
        <v>44</v>
      </c>
      <c r="E2054" t="s">
        <v>21</v>
      </c>
      <c r="F2054" t="s">
        <v>46</v>
      </c>
      <c r="G2054" t="s">
        <v>210</v>
      </c>
      <c r="H2054" t="s">
        <v>8</v>
      </c>
      <c r="I2054" t="s">
        <v>1935</v>
      </c>
      <c r="J2054" t="s">
        <v>1936</v>
      </c>
      <c r="K2054" s="8">
        <v>25</v>
      </c>
    </row>
    <row r="2055" spans="1:11">
      <c r="A2055" t="s">
        <v>3993</v>
      </c>
      <c r="B2055" s="15">
        <v>45799</v>
      </c>
      <c r="C2055" s="4">
        <v>45778</v>
      </c>
      <c r="D2055" t="s">
        <v>44</v>
      </c>
      <c r="E2055" t="s">
        <v>21</v>
      </c>
      <c r="F2055" t="s">
        <v>46</v>
      </c>
      <c r="G2055" t="s">
        <v>186</v>
      </c>
      <c r="H2055" t="s">
        <v>8</v>
      </c>
      <c r="I2055" t="s">
        <v>1935</v>
      </c>
      <c r="J2055" t="s">
        <v>1936</v>
      </c>
      <c r="K2055" s="8">
        <v>14</v>
      </c>
    </row>
    <row r="2056" spans="1:11">
      <c r="A2056" t="s">
        <v>3994</v>
      </c>
      <c r="B2056" s="15">
        <v>45798</v>
      </c>
      <c r="C2056" s="4">
        <v>45778</v>
      </c>
      <c r="D2056" t="s">
        <v>44</v>
      </c>
      <c r="E2056" t="s">
        <v>21</v>
      </c>
      <c r="F2056" t="s">
        <v>46</v>
      </c>
      <c r="G2056" t="s">
        <v>174</v>
      </c>
      <c r="H2056" t="s">
        <v>8</v>
      </c>
      <c r="I2056" t="s">
        <v>1935</v>
      </c>
      <c r="J2056" t="s">
        <v>1936</v>
      </c>
      <c r="K2056" s="8">
        <v>13</v>
      </c>
    </row>
    <row r="2057" spans="1:11">
      <c r="A2057" t="s">
        <v>3995</v>
      </c>
      <c r="B2057" s="15">
        <v>45783</v>
      </c>
      <c r="C2057" s="4">
        <v>45778</v>
      </c>
      <c r="D2057" t="s">
        <v>44</v>
      </c>
      <c r="E2057" t="s">
        <v>21</v>
      </c>
      <c r="F2057" t="s">
        <v>46</v>
      </c>
      <c r="G2057" t="s">
        <v>180</v>
      </c>
      <c r="H2057" t="s">
        <v>14</v>
      </c>
      <c r="I2057" t="s">
        <v>1935</v>
      </c>
      <c r="J2057" t="s">
        <v>1938</v>
      </c>
      <c r="K2057" s="8">
        <v>21</v>
      </c>
    </row>
    <row r="2058" spans="1:11">
      <c r="A2058" t="s">
        <v>3996</v>
      </c>
      <c r="B2058" s="15">
        <v>45800</v>
      </c>
      <c r="C2058" s="4">
        <v>45778</v>
      </c>
      <c r="D2058" t="s">
        <v>44</v>
      </c>
      <c r="E2058" t="s">
        <v>21</v>
      </c>
      <c r="F2058" t="s">
        <v>46</v>
      </c>
      <c r="G2058" t="s">
        <v>186</v>
      </c>
      <c r="H2058" t="s">
        <v>5</v>
      </c>
      <c r="I2058" t="s">
        <v>1935</v>
      </c>
      <c r="J2058" t="s">
        <v>1936</v>
      </c>
      <c r="K2058" s="8">
        <v>18</v>
      </c>
    </row>
    <row r="2059" spans="1:11">
      <c r="A2059" t="s">
        <v>3997</v>
      </c>
      <c r="B2059" s="15">
        <v>45808</v>
      </c>
      <c r="C2059" s="4">
        <v>45778</v>
      </c>
      <c r="D2059" t="s">
        <v>44</v>
      </c>
      <c r="E2059" t="s">
        <v>21</v>
      </c>
      <c r="F2059" t="s">
        <v>46</v>
      </c>
      <c r="G2059" t="s">
        <v>186</v>
      </c>
      <c r="H2059" t="s">
        <v>8</v>
      </c>
      <c r="I2059" t="s">
        <v>1935</v>
      </c>
      <c r="J2059" t="s">
        <v>1936</v>
      </c>
      <c r="K2059" s="8">
        <v>14</v>
      </c>
    </row>
    <row r="2060" spans="1:11">
      <c r="A2060" t="s">
        <v>3998</v>
      </c>
      <c r="B2060" s="15">
        <v>45808</v>
      </c>
      <c r="C2060" s="4">
        <v>45778</v>
      </c>
      <c r="D2060" t="s">
        <v>44</v>
      </c>
      <c r="E2060" t="s">
        <v>21</v>
      </c>
      <c r="F2060" t="s">
        <v>46</v>
      </c>
      <c r="G2060" t="s">
        <v>234</v>
      </c>
      <c r="H2060" t="s">
        <v>5</v>
      </c>
      <c r="I2060" t="s">
        <v>1935</v>
      </c>
      <c r="J2060" t="s">
        <v>1936</v>
      </c>
      <c r="K2060" s="8">
        <v>17</v>
      </c>
    </row>
    <row r="2061" spans="1:11">
      <c r="A2061" t="s">
        <v>3999</v>
      </c>
      <c r="B2061" s="15">
        <v>45789</v>
      </c>
      <c r="C2061" s="4">
        <v>45778</v>
      </c>
      <c r="D2061" t="s">
        <v>44</v>
      </c>
      <c r="E2061" t="s">
        <v>21</v>
      </c>
      <c r="F2061" t="s">
        <v>46</v>
      </c>
      <c r="G2061" t="s">
        <v>186</v>
      </c>
      <c r="H2061" t="s">
        <v>8</v>
      </c>
      <c r="I2061" t="s">
        <v>1942</v>
      </c>
      <c r="J2061" t="s">
        <v>1938</v>
      </c>
      <c r="K2061" s="8">
        <v>3</v>
      </c>
    </row>
    <row r="2062" spans="1:11">
      <c r="A2062" t="s">
        <v>4000</v>
      </c>
      <c r="B2062" s="15">
        <v>45790</v>
      </c>
      <c r="C2062" s="4">
        <v>45778</v>
      </c>
      <c r="D2062" t="s">
        <v>47</v>
      </c>
      <c r="E2062" t="s">
        <v>21</v>
      </c>
      <c r="F2062" t="s">
        <v>49</v>
      </c>
      <c r="G2062" t="s">
        <v>200</v>
      </c>
      <c r="H2062" t="s">
        <v>8</v>
      </c>
      <c r="I2062" t="s">
        <v>1935</v>
      </c>
      <c r="J2062" t="s">
        <v>1936</v>
      </c>
      <c r="K2062" s="8">
        <v>12</v>
      </c>
    </row>
    <row r="2063" spans="1:11">
      <c r="A2063" t="s">
        <v>4001</v>
      </c>
      <c r="B2063" s="15">
        <v>45797</v>
      </c>
      <c r="C2063" s="4">
        <v>45778</v>
      </c>
      <c r="D2063" t="s">
        <v>47</v>
      </c>
      <c r="E2063" t="s">
        <v>21</v>
      </c>
      <c r="F2063" t="s">
        <v>49</v>
      </c>
      <c r="G2063" t="s">
        <v>230</v>
      </c>
      <c r="H2063" t="s">
        <v>11</v>
      </c>
      <c r="I2063" t="s">
        <v>1935</v>
      </c>
      <c r="J2063" t="s">
        <v>1954</v>
      </c>
      <c r="K2063" s="8">
        <v>25</v>
      </c>
    </row>
    <row r="2064" spans="1:11">
      <c r="A2064" t="s">
        <v>4002</v>
      </c>
      <c r="B2064" s="15">
        <v>45783</v>
      </c>
      <c r="C2064" s="4">
        <v>45778</v>
      </c>
      <c r="D2064" t="s">
        <v>47</v>
      </c>
      <c r="E2064" t="s">
        <v>21</v>
      </c>
      <c r="F2064" t="s">
        <v>49</v>
      </c>
      <c r="G2064" t="s">
        <v>218</v>
      </c>
      <c r="H2064" t="s">
        <v>14</v>
      </c>
      <c r="I2064" t="s">
        <v>1995</v>
      </c>
      <c r="J2064" t="s">
        <v>1936</v>
      </c>
      <c r="K2064" s="8">
        <v>0</v>
      </c>
    </row>
    <row r="2065" spans="1:11">
      <c r="A2065" t="s">
        <v>4003</v>
      </c>
      <c r="B2065" s="15">
        <v>45789</v>
      </c>
      <c r="C2065" s="4">
        <v>45778</v>
      </c>
      <c r="D2065" t="s">
        <v>47</v>
      </c>
      <c r="E2065" t="s">
        <v>21</v>
      </c>
      <c r="F2065" t="s">
        <v>49</v>
      </c>
      <c r="G2065" t="s">
        <v>194</v>
      </c>
      <c r="H2065" t="s">
        <v>14</v>
      </c>
      <c r="I2065" t="s">
        <v>1935</v>
      </c>
      <c r="J2065" t="s">
        <v>1954</v>
      </c>
      <c r="K2065" s="8">
        <v>17</v>
      </c>
    </row>
    <row r="2066" spans="1:11">
      <c r="A2066" t="s">
        <v>4004</v>
      </c>
      <c r="B2066" s="15">
        <v>45789</v>
      </c>
      <c r="C2066" s="4">
        <v>45778</v>
      </c>
      <c r="D2066" t="s">
        <v>47</v>
      </c>
      <c r="E2066" t="s">
        <v>21</v>
      </c>
      <c r="F2066" t="s">
        <v>49</v>
      </c>
      <c r="G2066" t="s">
        <v>194</v>
      </c>
      <c r="H2066" t="s">
        <v>14</v>
      </c>
      <c r="I2066" t="s">
        <v>1935</v>
      </c>
      <c r="J2066" t="s">
        <v>1938</v>
      </c>
      <c r="K2066" s="8">
        <v>22</v>
      </c>
    </row>
    <row r="2067" spans="1:11">
      <c r="A2067" t="s">
        <v>4005</v>
      </c>
      <c r="B2067" s="15">
        <v>45780</v>
      </c>
      <c r="C2067" s="4">
        <v>45778</v>
      </c>
      <c r="D2067" t="s">
        <v>47</v>
      </c>
      <c r="E2067" t="s">
        <v>21</v>
      </c>
      <c r="F2067" t="s">
        <v>49</v>
      </c>
      <c r="G2067" t="s">
        <v>218</v>
      </c>
      <c r="H2067" t="s">
        <v>14</v>
      </c>
      <c r="I2067" t="s">
        <v>1935</v>
      </c>
      <c r="J2067" t="s">
        <v>1938</v>
      </c>
      <c r="K2067" s="8">
        <v>25</v>
      </c>
    </row>
    <row r="2068" spans="1:11">
      <c r="A2068" t="s">
        <v>4006</v>
      </c>
      <c r="B2068" s="15">
        <v>45803</v>
      </c>
      <c r="C2068" s="4">
        <v>45778</v>
      </c>
      <c r="D2068" t="s">
        <v>47</v>
      </c>
      <c r="E2068" t="s">
        <v>21</v>
      </c>
      <c r="F2068" t="s">
        <v>49</v>
      </c>
      <c r="G2068" t="s">
        <v>188</v>
      </c>
      <c r="H2068" t="s">
        <v>14</v>
      </c>
      <c r="I2068" t="s">
        <v>1942</v>
      </c>
      <c r="J2068" t="s">
        <v>1936</v>
      </c>
      <c r="K2068" s="8">
        <v>0</v>
      </c>
    </row>
    <row r="2069" spans="1:11">
      <c r="A2069" t="s">
        <v>4007</v>
      </c>
      <c r="B2069" s="15">
        <v>45783</v>
      </c>
      <c r="C2069" s="4">
        <v>45778</v>
      </c>
      <c r="D2069" t="s">
        <v>47</v>
      </c>
      <c r="E2069" t="s">
        <v>21</v>
      </c>
      <c r="F2069" t="s">
        <v>49</v>
      </c>
      <c r="G2069" t="s">
        <v>218</v>
      </c>
      <c r="H2069" t="s">
        <v>14</v>
      </c>
      <c r="I2069" t="s">
        <v>1935</v>
      </c>
      <c r="J2069" t="s">
        <v>1954</v>
      </c>
      <c r="K2069" s="8">
        <v>32</v>
      </c>
    </row>
    <row r="2070" spans="1:11">
      <c r="A2070" t="s">
        <v>4008</v>
      </c>
      <c r="B2070" s="15">
        <v>45794</v>
      </c>
      <c r="C2070" s="4">
        <v>45778</v>
      </c>
      <c r="D2070" t="s">
        <v>47</v>
      </c>
      <c r="E2070" t="s">
        <v>21</v>
      </c>
      <c r="F2070" t="s">
        <v>49</v>
      </c>
      <c r="G2070" t="s">
        <v>218</v>
      </c>
      <c r="H2070" t="s">
        <v>14</v>
      </c>
      <c r="I2070" t="s">
        <v>1935</v>
      </c>
      <c r="J2070" t="s">
        <v>1954</v>
      </c>
      <c r="K2070" s="8">
        <v>35</v>
      </c>
    </row>
    <row r="2071" spans="1:11">
      <c r="A2071" t="s">
        <v>4009</v>
      </c>
      <c r="B2071" s="15">
        <v>45791</v>
      </c>
      <c r="C2071" s="4">
        <v>45778</v>
      </c>
      <c r="D2071" t="s">
        <v>47</v>
      </c>
      <c r="E2071" t="s">
        <v>21</v>
      </c>
      <c r="F2071" t="s">
        <v>49</v>
      </c>
      <c r="G2071" t="s">
        <v>218</v>
      </c>
      <c r="H2071" t="s">
        <v>14</v>
      </c>
      <c r="I2071" t="s">
        <v>1935</v>
      </c>
      <c r="J2071" t="s">
        <v>1936</v>
      </c>
      <c r="K2071" s="8">
        <v>8</v>
      </c>
    </row>
    <row r="2072" spans="1:11">
      <c r="A2072" t="s">
        <v>4010</v>
      </c>
      <c r="B2072" s="15">
        <v>45802</v>
      </c>
      <c r="C2072" s="4">
        <v>45778</v>
      </c>
      <c r="D2072" t="s">
        <v>47</v>
      </c>
      <c r="E2072" t="s">
        <v>21</v>
      </c>
      <c r="F2072" t="s">
        <v>49</v>
      </c>
      <c r="G2072" t="s">
        <v>218</v>
      </c>
      <c r="H2072" t="s">
        <v>14</v>
      </c>
      <c r="I2072" t="s">
        <v>1935</v>
      </c>
      <c r="J2072" t="s">
        <v>1938</v>
      </c>
      <c r="K2072" s="8">
        <v>35</v>
      </c>
    </row>
    <row r="2073" spans="1:11">
      <c r="A2073" t="s">
        <v>4011</v>
      </c>
      <c r="B2073" s="15">
        <v>45791</v>
      </c>
      <c r="C2073" s="4">
        <v>45778</v>
      </c>
      <c r="D2073" t="s">
        <v>47</v>
      </c>
      <c r="E2073" t="s">
        <v>21</v>
      </c>
      <c r="F2073" t="s">
        <v>49</v>
      </c>
      <c r="G2073" t="s">
        <v>218</v>
      </c>
      <c r="H2073" t="s">
        <v>14</v>
      </c>
      <c r="I2073" t="s">
        <v>1935</v>
      </c>
      <c r="J2073" t="s">
        <v>1936</v>
      </c>
      <c r="K2073" s="8">
        <v>22</v>
      </c>
    </row>
    <row r="2074" spans="1:11">
      <c r="A2074" t="s">
        <v>4012</v>
      </c>
      <c r="B2074" s="15">
        <v>45779</v>
      </c>
      <c r="C2074" s="4">
        <v>45778</v>
      </c>
      <c r="D2074" t="s">
        <v>47</v>
      </c>
      <c r="E2074" t="s">
        <v>21</v>
      </c>
      <c r="F2074" t="s">
        <v>49</v>
      </c>
      <c r="G2074" t="s">
        <v>218</v>
      </c>
      <c r="H2074" t="s">
        <v>14</v>
      </c>
      <c r="I2074" t="s">
        <v>1935</v>
      </c>
      <c r="J2074" t="s">
        <v>1938</v>
      </c>
      <c r="K2074" s="8">
        <v>10</v>
      </c>
    </row>
    <row r="2075" spans="1:11">
      <c r="A2075" t="s">
        <v>4013</v>
      </c>
      <c r="B2075" s="15">
        <v>45789</v>
      </c>
      <c r="C2075" s="4">
        <v>45778</v>
      </c>
      <c r="D2075" t="s">
        <v>50</v>
      </c>
      <c r="E2075" t="s">
        <v>23</v>
      </c>
      <c r="F2075" t="s">
        <v>52</v>
      </c>
      <c r="G2075" t="s">
        <v>292</v>
      </c>
      <c r="H2075" t="s">
        <v>11</v>
      </c>
      <c r="I2075" t="s">
        <v>1935</v>
      </c>
      <c r="J2075" t="s">
        <v>1936</v>
      </c>
      <c r="K2075" s="8">
        <v>25</v>
      </c>
    </row>
    <row r="2076" spans="1:11">
      <c r="A2076" t="s">
        <v>4014</v>
      </c>
      <c r="B2076" s="15">
        <v>45789</v>
      </c>
      <c r="C2076" s="4">
        <v>45778</v>
      </c>
      <c r="D2076" t="s">
        <v>50</v>
      </c>
      <c r="E2076" t="s">
        <v>23</v>
      </c>
      <c r="F2076" t="s">
        <v>52</v>
      </c>
      <c r="G2076" t="s">
        <v>274</v>
      </c>
      <c r="H2076" t="s">
        <v>14</v>
      </c>
      <c r="I2076" t="s">
        <v>1935</v>
      </c>
      <c r="J2076" t="s">
        <v>1938</v>
      </c>
      <c r="K2076" s="8">
        <v>19</v>
      </c>
    </row>
    <row r="2077" spans="1:11">
      <c r="A2077" t="s">
        <v>4015</v>
      </c>
      <c r="B2077" s="15">
        <v>45796</v>
      </c>
      <c r="C2077" s="4">
        <v>45778</v>
      </c>
      <c r="D2077" t="s">
        <v>50</v>
      </c>
      <c r="E2077" t="s">
        <v>23</v>
      </c>
      <c r="F2077" t="s">
        <v>52</v>
      </c>
      <c r="G2077" t="s">
        <v>298</v>
      </c>
      <c r="H2077" t="s">
        <v>5</v>
      </c>
      <c r="I2077" t="s">
        <v>1935</v>
      </c>
      <c r="J2077" t="s">
        <v>1938</v>
      </c>
      <c r="K2077" s="8">
        <v>17</v>
      </c>
    </row>
    <row r="2078" spans="1:11">
      <c r="A2078" t="s">
        <v>4016</v>
      </c>
      <c r="B2078" s="15">
        <v>45795</v>
      </c>
      <c r="C2078" s="4">
        <v>45778</v>
      </c>
      <c r="D2078" t="s">
        <v>50</v>
      </c>
      <c r="E2078" t="s">
        <v>23</v>
      </c>
      <c r="F2078" t="s">
        <v>52</v>
      </c>
      <c r="G2078" t="s">
        <v>244</v>
      </c>
      <c r="H2078" t="s">
        <v>11</v>
      </c>
      <c r="I2078" t="s">
        <v>1935</v>
      </c>
      <c r="J2078" t="s">
        <v>1936</v>
      </c>
      <c r="K2078" s="8">
        <v>12</v>
      </c>
    </row>
    <row r="2079" spans="1:11">
      <c r="A2079" t="s">
        <v>4017</v>
      </c>
      <c r="B2079" s="15">
        <v>45793</v>
      </c>
      <c r="C2079" s="4">
        <v>45778</v>
      </c>
      <c r="D2079" t="s">
        <v>50</v>
      </c>
      <c r="E2079" t="s">
        <v>23</v>
      </c>
      <c r="F2079" t="s">
        <v>52</v>
      </c>
      <c r="G2079" t="s">
        <v>310</v>
      </c>
      <c r="H2079" t="s">
        <v>11</v>
      </c>
      <c r="I2079" t="s">
        <v>1935</v>
      </c>
      <c r="J2079" t="s">
        <v>1938</v>
      </c>
      <c r="K2079" s="8">
        <v>26</v>
      </c>
    </row>
    <row r="2080" spans="1:11">
      <c r="A2080" t="s">
        <v>4018</v>
      </c>
      <c r="B2080" s="15">
        <v>45785</v>
      </c>
      <c r="C2080" s="4">
        <v>45778</v>
      </c>
      <c r="D2080" t="s">
        <v>50</v>
      </c>
      <c r="E2080" t="s">
        <v>23</v>
      </c>
      <c r="F2080" t="s">
        <v>52</v>
      </c>
      <c r="G2080" t="s">
        <v>298</v>
      </c>
      <c r="H2080" t="s">
        <v>5</v>
      </c>
      <c r="I2080" t="s">
        <v>1935</v>
      </c>
      <c r="J2080" t="s">
        <v>1938</v>
      </c>
      <c r="K2080" s="8">
        <v>15</v>
      </c>
    </row>
    <row r="2081" spans="1:11">
      <c r="A2081" t="s">
        <v>4019</v>
      </c>
      <c r="B2081" s="15">
        <v>45782</v>
      </c>
      <c r="C2081" s="4">
        <v>45778</v>
      </c>
      <c r="D2081" t="s">
        <v>50</v>
      </c>
      <c r="E2081" t="s">
        <v>23</v>
      </c>
      <c r="F2081" t="s">
        <v>52</v>
      </c>
      <c r="G2081" t="s">
        <v>298</v>
      </c>
      <c r="H2081" t="s">
        <v>5</v>
      </c>
      <c r="I2081" t="s">
        <v>1935</v>
      </c>
      <c r="J2081" t="s">
        <v>1936</v>
      </c>
      <c r="K2081" s="8">
        <v>8</v>
      </c>
    </row>
    <row r="2082" spans="1:11">
      <c r="A2082" t="s">
        <v>4020</v>
      </c>
      <c r="B2082" s="15">
        <v>45802</v>
      </c>
      <c r="C2082" s="4">
        <v>45778</v>
      </c>
      <c r="D2082" t="s">
        <v>50</v>
      </c>
      <c r="E2082" t="s">
        <v>23</v>
      </c>
      <c r="F2082" t="s">
        <v>52</v>
      </c>
      <c r="G2082" t="s">
        <v>304</v>
      </c>
      <c r="H2082" t="s">
        <v>8</v>
      </c>
      <c r="I2082" t="s">
        <v>1942</v>
      </c>
      <c r="J2082" t="s">
        <v>1936</v>
      </c>
      <c r="K2082" s="8">
        <v>4</v>
      </c>
    </row>
    <row r="2083" spans="1:11">
      <c r="A2083" t="s">
        <v>4021</v>
      </c>
      <c r="B2083" s="15">
        <v>45801</v>
      </c>
      <c r="C2083" s="4">
        <v>45778</v>
      </c>
      <c r="D2083" t="s">
        <v>50</v>
      </c>
      <c r="E2083" t="s">
        <v>23</v>
      </c>
      <c r="F2083" t="s">
        <v>52</v>
      </c>
      <c r="G2083" t="s">
        <v>280</v>
      </c>
      <c r="H2083" t="s">
        <v>11</v>
      </c>
      <c r="I2083" t="s">
        <v>1935</v>
      </c>
      <c r="J2083" t="s">
        <v>1936</v>
      </c>
      <c r="K2083" s="8">
        <v>30</v>
      </c>
    </row>
    <row r="2084" spans="1:11">
      <c r="A2084" t="s">
        <v>4022</v>
      </c>
      <c r="B2084" s="15">
        <v>45808</v>
      </c>
      <c r="C2084" s="4">
        <v>45778</v>
      </c>
      <c r="D2084" t="s">
        <v>50</v>
      </c>
      <c r="E2084" t="s">
        <v>23</v>
      </c>
      <c r="F2084" t="s">
        <v>52</v>
      </c>
      <c r="G2084" t="s">
        <v>292</v>
      </c>
      <c r="H2084" t="s">
        <v>11</v>
      </c>
      <c r="I2084" t="s">
        <v>1935</v>
      </c>
      <c r="J2084" t="s">
        <v>1936</v>
      </c>
      <c r="K2084" s="8">
        <v>31</v>
      </c>
    </row>
    <row r="2085" spans="1:11">
      <c r="A2085" t="s">
        <v>4023</v>
      </c>
      <c r="B2085" s="15">
        <v>45806</v>
      </c>
      <c r="C2085" s="4">
        <v>45778</v>
      </c>
      <c r="D2085" t="s">
        <v>50</v>
      </c>
      <c r="E2085" t="s">
        <v>23</v>
      </c>
      <c r="F2085" t="s">
        <v>52</v>
      </c>
      <c r="G2085" t="s">
        <v>268</v>
      </c>
      <c r="H2085" t="s">
        <v>8</v>
      </c>
      <c r="I2085" t="s">
        <v>1935</v>
      </c>
      <c r="J2085" t="s">
        <v>1936</v>
      </c>
      <c r="K2085" s="8">
        <v>32</v>
      </c>
    </row>
    <row r="2086" spans="1:11">
      <c r="A2086" t="s">
        <v>4024</v>
      </c>
      <c r="B2086" s="15">
        <v>45780</v>
      </c>
      <c r="C2086" s="4">
        <v>45778</v>
      </c>
      <c r="D2086" t="s">
        <v>50</v>
      </c>
      <c r="E2086" t="s">
        <v>23</v>
      </c>
      <c r="F2086" t="s">
        <v>52</v>
      </c>
      <c r="G2086" t="s">
        <v>292</v>
      </c>
      <c r="H2086" t="s">
        <v>11</v>
      </c>
      <c r="I2086" t="s">
        <v>1935</v>
      </c>
      <c r="J2086" t="s">
        <v>1938</v>
      </c>
      <c r="K2086" s="8">
        <v>28</v>
      </c>
    </row>
    <row r="2087" spans="1:11">
      <c r="A2087" t="s">
        <v>4025</v>
      </c>
      <c r="B2087" s="15">
        <v>45783</v>
      </c>
      <c r="C2087" s="4">
        <v>45778</v>
      </c>
      <c r="D2087" t="s">
        <v>53</v>
      </c>
      <c r="E2087" t="s">
        <v>23</v>
      </c>
      <c r="F2087" t="s">
        <v>55</v>
      </c>
      <c r="G2087" t="s">
        <v>306</v>
      </c>
      <c r="H2087" t="s">
        <v>8</v>
      </c>
      <c r="I2087" t="s">
        <v>1935</v>
      </c>
      <c r="J2087" t="s">
        <v>1936</v>
      </c>
      <c r="K2087" s="8">
        <v>33</v>
      </c>
    </row>
    <row r="2088" spans="1:11">
      <c r="A2088" t="s">
        <v>4026</v>
      </c>
      <c r="B2088" s="15">
        <v>45787</v>
      </c>
      <c r="C2088" s="4">
        <v>45778</v>
      </c>
      <c r="D2088" t="s">
        <v>53</v>
      </c>
      <c r="E2088" t="s">
        <v>23</v>
      </c>
      <c r="F2088" t="s">
        <v>55</v>
      </c>
      <c r="G2088" t="s">
        <v>276</v>
      </c>
      <c r="H2088" t="s">
        <v>14</v>
      </c>
      <c r="I2088" t="s">
        <v>1935</v>
      </c>
      <c r="J2088" t="s">
        <v>1938</v>
      </c>
      <c r="K2088" s="8">
        <v>27</v>
      </c>
    </row>
    <row r="2089" spans="1:11">
      <c r="A2089" t="s">
        <v>4027</v>
      </c>
      <c r="B2089" s="15">
        <v>45794</v>
      </c>
      <c r="C2089" s="4">
        <v>45778</v>
      </c>
      <c r="D2089" t="s">
        <v>53</v>
      </c>
      <c r="E2089" t="s">
        <v>23</v>
      </c>
      <c r="F2089" t="s">
        <v>55</v>
      </c>
      <c r="G2089" t="s">
        <v>240</v>
      </c>
      <c r="H2089" t="s">
        <v>5</v>
      </c>
      <c r="I2089" t="s">
        <v>1935</v>
      </c>
      <c r="J2089" t="s">
        <v>1936</v>
      </c>
      <c r="K2089" s="8">
        <v>13</v>
      </c>
    </row>
    <row r="2090" spans="1:11">
      <c r="A2090" t="s">
        <v>4028</v>
      </c>
      <c r="B2090" s="15">
        <v>45781</v>
      </c>
      <c r="C2090" s="4">
        <v>45778</v>
      </c>
      <c r="D2090" t="s">
        <v>53</v>
      </c>
      <c r="E2090" t="s">
        <v>23</v>
      </c>
      <c r="F2090" t="s">
        <v>55</v>
      </c>
      <c r="G2090" t="s">
        <v>252</v>
      </c>
      <c r="H2090" t="s">
        <v>5</v>
      </c>
      <c r="I2090" t="s">
        <v>1942</v>
      </c>
      <c r="J2090" t="s">
        <v>1936</v>
      </c>
      <c r="K2090" s="8">
        <v>3</v>
      </c>
    </row>
    <row r="2091" spans="1:11">
      <c r="A2091" t="s">
        <v>4029</v>
      </c>
      <c r="B2091" s="15">
        <v>45790</v>
      </c>
      <c r="C2091" s="4">
        <v>45778</v>
      </c>
      <c r="D2091" t="s">
        <v>53</v>
      </c>
      <c r="E2091" t="s">
        <v>23</v>
      </c>
      <c r="F2091" t="s">
        <v>55</v>
      </c>
      <c r="G2091" t="s">
        <v>264</v>
      </c>
      <c r="H2091" t="s">
        <v>14</v>
      </c>
      <c r="I2091" t="s">
        <v>1935</v>
      </c>
      <c r="J2091" t="s">
        <v>1936</v>
      </c>
      <c r="K2091" s="8">
        <v>31</v>
      </c>
    </row>
    <row r="2092" spans="1:11">
      <c r="A2092" t="s">
        <v>4030</v>
      </c>
      <c r="B2092" s="15">
        <v>45806</v>
      </c>
      <c r="C2092" s="4">
        <v>45778</v>
      </c>
      <c r="D2092" t="s">
        <v>53</v>
      </c>
      <c r="E2092" t="s">
        <v>23</v>
      </c>
      <c r="F2092" t="s">
        <v>55</v>
      </c>
      <c r="G2092" t="s">
        <v>276</v>
      </c>
      <c r="H2092" t="s">
        <v>11</v>
      </c>
      <c r="I2092" t="s">
        <v>1935</v>
      </c>
      <c r="J2092" t="s">
        <v>1936</v>
      </c>
      <c r="K2092" s="8">
        <v>13</v>
      </c>
    </row>
    <row r="2093" spans="1:11">
      <c r="A2093" t="s">
        <v>4031</v>
      </c>
      <c r="B2093" s="15">
        <v>45784</v>
      </c>
      <c r="C2093" s="4">
        <v>45778</v>
      </c>
      <c r="D2093" t="s">
        <v>53</v>
      </c>
      <c r="E2093" t="s">
        <v>23</v>
      </c>
      <c r="F2093" t="s">
        <v>55</v>
      </c>
      <c r="G2093" t="s">
        <v>270</v>
      </c>
      <c r="H2093" t="s">
        <v>8</v>
      </c>
      <c r="I2093" t="s">
        <v>1935</v>
      </c>
      <c r="J2093" t="s">
        <v>1936</v>
      </c>
      <c r="K2093" s="8">
        <v>19</v>
      </c>
    </row>
    <row r="2094" spans="1:11">
      <c r="A2094" t="s">
        <v>4032</v>
      </c>
      <c r="B2094" s="15">
        <v>45799</v>
      </c>
      <c r="C2094" s="4">
        <v>45778</v>
      </c>
      <c r="D2094" t="s">
        <v>53</v>
      </c>
      <c r="E2094" t="s">
        <v>23</v>
      </c>
      <c r="F2094" t="s">
        <v>55</v>
      </c>
      <c r="G2094" t="s">
        <v>264</v>
      </c>
      <c r="H2094" t="s">
        <v>14</v>
      </c>
      <c r="I2094" t="s">
        <v>1935</v>
      </c>
      <c r="J2094" t="s">
        <v>1936</v>
      </c>
      <c r="K2094" s="8">
        <v>31</v>
      </c>
    </row>
    <row r="2095" spans="1:11">
      <c r="A2095" t="s">
        <v>4033</v>
      </c>
      <c r="B2095" s="15">
        <v>45785</v>
      </c>
      <c r="C2095" s="4">
        <v>45778</v>
      </c>
      <c r="D2095" t="s">
        <v>53</v>
      </c>
      <c r="E2095" t="s">
        <v>23</v>
      </c>
      <c r="F2095" t="s">
        <v>55</v>
      </c>
      <c r="G2095" t="s">
        <v>312</v>
      </c>
      <c r="H2095" t="s">
        <v>5</v>
      </c>
      <c r="I2095" t="s">
        <v>1935</v>
      </c>
      <c r="J2095" t="s">
        <v>1938</v>
      </c>
      <c r="K2095" s="8">
        <v>26</v>
      </c>
    </row>
    <row r="2096" spans="1:11">
      <c r="A2096" t="s">
        <v>4034</v>
      </c>
      <c r="B2096" s="15">
        <v>45794</v>
      </c>
      <c r="C2096" s="4">
        <v>45778</v>
      </c>
      <c r="D2096" t="s">
        <v>53</v>
      </c>
      <c r="E2096" t="s">
        <v>23</v>
      </c>
      <c r="F2096" t="s">
        <v>55</v>
      </c>
      <c r="G2096" t="s">
        <v>276</v>
      </c>
      <c r="H2096" t="s">
        <v>5</v>
      </c>
      <c r="I2096" t="s">
        <v>1935</v>
      </c>
      <c r="J2096" t="s">
        <v>1936</v>
      </c>
      <c r="K2096" s="8">
        <v>31</v>
      </c>
    </row>
    <row r="2097" spans="1:11">
      <c r="A2097" t="s">
        <v>4035</v>
      </c>
      <c r="B2097" s="15">
        <v>45788</v>
      </c>
      <c r="C2097" s="4">
        <v>45778</v>
      </c>
      <c r="D2097" t="s">
        <v>53</v>
      </c>
      <c r="E2097" t="s">
        <v>23</v>
      </c>
      <c r="F2097" t="s">
        <v>55</v>
      </c>
      <c r="G2097" t="s">
        <v>294</v>
      </c>
      <c r="H2097" t="s">
        <v>8</v>
      </c>
      <c r="I2097" t="s">
        <v>1935</v>
      </c>
      <c r="J2097" t="s">
        <v>1936</v>
      </c>
      <c r="K2097" s="8">
        <v>19</v>
      </c>
    </row>
    <row r="2098" spans="1:11">
      <c r="A2098" t="s">
        <v>4036</v>
      </c>
      <c r="B2098" s="15">
        <v>45785</v>
      </c>
      <c r="C2098" s="4">
        <v>45778</v>
      </c>
      <c r="D2098" t="s">
        <v>56</v>
      </c>
      <c r="E2098" t="s">
        <v>23</v>
      </c>
      <c r="F2098" t="s">
        <v>58</v>
      </c>
      <c r="G2098" t="s">
        <v>278</v>
      </c>
      <c r="H2098" t="s">
        <v>14</v>
      </c>
      <c r="I2098" t="s">
        <v>1995</v>
      </c>
      <c r="J2098" t="s">
        <v>1936</v>
      </c>
      <c r="K2098" s="8">
        <v>3</v>
      </c>
    </row>
    <row r="2099" spans="1:11">
      <c r="A2099" t="s">
        <v>4037</v>
      </c>
      <c r="B2099" s="15">
        <v>45807</v>
      </c>
      <c r="C2099" s="4">
        <v>45778</v>
      </c>
      <c r="D2099" t="s">
        <v>56</v>
      </c>
      <c r="E2099" t="s">
        <v>23</v>
      </c>
      <c r="F2099" t="s">
        <v>58</v>
      </c>
      <c r="G2099" t="s">
        <v>266</v>
      </c>
      <c r="H2099" t="s">
        <v>5</v>
      </c>
      <c r="I2099" t="s">
        <v>1935</v>
      </c>
      <c r="J2099" t="s">
        <v>1936</v>
      </c>
      <c r="K2099" s="8">
        <v>18</v>
      </c>
    </row>
    <row r="2100" spans="1:11">
      <c r="A2100" t="s">
        <v>4038</v>
      </c>
      <c r="B2100" s="15">
        <v>45790</v>
      </c>
      <c r="C2100" s="4">
        <v>45778</v>
      </c>
      <c r="D2100" t="s">
        <v>56</v>
      </c>
      <c r="E2100" t="s">
        <v>23</v>
      </c>
      <c r="F2100" t="s">
        <v>58</v>
      </c>
      <c r="G2100" t="s">
        <v>260</v>
      </c>
      <c r="H2100" t="s">
        <v>8</v>
      </c>
      <c r="I2100" t="s">
        <v>1935</v>
      </c>
      <c r="J2100" t="s">
        <v>1936</v>
      </c>
      <c r="K2100" s="8">
        <v>23</v>
      </c>
    </row>
    <row r="2101" spans="1:11">
      <c r="A2101" t="s">
        <v>4039</v>
      </c>
      <c r="B2101" s="15">
        <v>45805</v>
      </c>
      <c r="C2101" s="4">
        <v>45778</v>
      </c>
      <c r="D2101" t="s">
        <v>56</v>
      </c>
      <c r="E2101" t="s">
        <v>23</v>
      </c>
      <c r="F2101" t="s">
        <v>58</v>
      </c>
      <c r="G2101" t="s">
        <v>290</v>
      </c>
      <c r="H2101" t="s">
        <v>14</v>
      </c>
      <c r="I2101" t="s">
        <v>1935</v>
      </c>
      <c r="J2101" t="s">
        <v>1938</v>
      </c>
      <c r="K2101" s="8">
        <v>23</v>
      </c>
    </row>
    <row r="2102" spans="1:11">
      <c r="A2102" t="s">
        <v>4040</v>
      </c>
      <c r="B2102" s="15">
        <v>45782</v>
      </c>
      <c r="C2102" s="4">
        <v>45778</v>
      </c>
      <c r="D2102" t="s">
        <v>56</v>
      </c>
      <c r="E2102" t="s">
        <v>23</v>
      </c>
      <c r="F2102" t="s">
        <v>58</v>
      </c>
      <c r="G2102" t="s">
        <v>290</v>
      </c>
      <c r="H2102" t="s">
        <v>11</v>
      </c>
      <c r="I2102" t="s">
        <v>1935</v>
      </c>
      <c r="J2102" t="s">
        <v>1936</v>
      </c>
      <c r="K2102" s="8">
        <v>21</v>
      </c>
    </row>
    <row r="2103" spans="1:11">
      <c r="A2103" t="s">
        <v>4041</v>
      </c>
      <c r="B2103" s="15">
        <v>45787</v>
      </c>
      <c r="C2103" s="4">
        <v>45778</v>
      </c>
      <c r="D2103" t="s">
        <v>56</v>
      </c>
      <c r="E2103" t="s">
        <v>23</v>
      </c>
      <c r="F2103" t="s">
        <v>58</v>
      </c>
      <c r="G2103" t="s">
        <v>302</v>
      </c>
      <c r="H2103" t="s">
        <v>5</v>
      </c>
      <c r="I2103" t="s">
        <v>1935</v>
      </c>
      <c r="J2103" t="s">
        <v>1936</v>
      </c>
      <c r="K2103" s="8">
        <v>13</v>
      </c>
    </row>
    <row r="2104" spans="1:11">
      <c r="A2104" t="s">
        <v>4042</v>
      </c>
      <c r="B2104" s="15">
        <v>45780</v>
      </c>
      <c r="C2104" s="4">
        <v>45778</v>
      </c>
      <c r="D2104" t="s">
        <v>56</v>
      </c>
      <c r="E2104" t="s">
        <v>23</v>
      </c>
      <c r="F2104" t="s">
        <v>58</v>
      </c>
      <c r="G2104" t="s">
        <v>242</v>
      </c>
      <c r="H2104" t="s">
        <v>8</v>
      </c>
      <c r="I2104" t="s">
        <v>1935</v>
      </c>
      <c r="J2104" t="s">
        <v>1954</v>
      </c>
      <c r="K2104" s="8">
        <v>31</v>
      </c>
    </row>
    <row r="2105" spans="1:11">
      <c r="A2105" t="s">
        <v>4043</v>
      </c>
      <c r="B2105" s="15">
        <v>45803</v>
      </c>
      <c r="C2105" s="4">
        <v>45778</v>
      </c>
      <c r="D2105" t="s">
        <v>56</v>
      </c>
      <c r="E2105" t="s">
        <v>23</v>
      </c>
      <c r="F2105" t="s">
        <v>58</v>
      </c>
      <c r="G2105" t="s">
        <v>284</v>
      </c>
      <c r="H2105" t="s">
        <v>14</v>
      </c>
      <c r="I2105" t="s">
        <v>1935</v>
      </c>
      <c r="J2105" t="s">
        <v>1936</v>
      </c>
      <c r="K2105" s="8">
        <v>19</v>
      </c>
    </row>
    <row r="2106" spans="1:11">
      <c r="A2106" t="s">
        <v>4044</v>
      </c>
      <c r="B2106" s="15">
        <v>45781</v>
      </c>
      <c r="C2106" s="4">
        <v>45778</v>
      </c>
      <c r="D2106" t="s">
        <v>56</v>
      </c>
      <c r="E2106" t="s">
        <v>23</v>
      </c>
      <c r="F2106" t="s">
        <v>58</v>
      </c>
      <c r="G2106" t="s">
        <v>266</v>
      </c>
      <c r="H2106" t="s">
        <v>8</v>
      </c>
      <c r="I2106" t="s">
        <v>1935</v>
      </c>
      <c r="J2106" t="s">
        <v>1938</v>
      </c>
      <c r="K2106" s="8">
        <v>12</v>
      </c>
    </row>
    <row r="2107" spans="1:11">
      <c r="A2107" t="s">
        <v>4045</v>
      </c>
      <c r="B2107" s="15">
        <v>45806</v>
      </c>
      <c r="C2107" s="4">
        <v>45778</v>
      </c>
      <c r="D2107" t="s">
        <v>59</v>
      </c>
      <c r="E2107" t="s">
        <v>25</v>
      </c>
      <c r="F2107" t="s">
        <v>61</v>
      </c>
      <c r="G2107" t="s">
        <v>356</v>
      </c>
      <c r="H2107" t="s">
        <v>8</v>
      </c>
      <c r="I2107" t="s">
        <v>1935</v>
      </c>
      <c r="J2107" t="s">
        <v>1936</v>
      </c>
      <c r="K2107" s="8">
        <v>35</v>
      </c>
    </row>
    <row r="2108" spans="1:11">
      <c r="A2108" t="s">
        <v>4046</v>
      </c>
      <c r="B2108" s="15">
        <v>45787</v>
      </c>
      <c r="C2108" s="4">
        <v>45778</v>
      </c>
      <c r="D2108" t="s">
        <v>59</v>
      </c>
      <c r="E2108" t="s">
        <v>25</v>
      </c>
      <c r="F2108" t="s">
        <v>61</v>
      </c>
      <c r="G2108" t="s">
        <v>314</v>
      </c>
      <c r="H2108" t="s">
        <v>14</v>
      </c>
      <c r="I2108" t="s">
        <v>1935</v>
      </c>
      <c r="J2108" t="s">
        <v>1938</v>
      </c>
      <c r="K2108" s="8">
        <v>30</v>
      </c>
    </row>
    <row r="2109" spans="1:11">
      <c r="A2109" t="s">
        <v>4047</v>
      </c>
      <c r="B2109" s="15">
        <v>45807</v>
      </c>
      <c r="C2109" s="4">
        <v>45778</v>
      </c>
      <c r="D2109" t="s">
        <v>59</v>
      </c>
      <c r="E2109" t="s">
        <v>25</v>
      </c>
      <c r="F2109" t="s">
        <v>61</v>
      </c>
      <c r="G2109" t="s">
        <v>320</v>
      </c>
      <c r="H2109" t="s">
        <v>14</v>
      </c>
      <c r="I2109" t="s">
        <v>1935</v>
      </c>
      <c r="J2109" t="s">
        <v>1936</v>
      </c>
      <c r="K2109" s="8">
        <v>19</v>
      </c>
    </row>
    <row r="2110" spans="1:11">
      <c r="A2110" t="s">
        <v>4048</v>
      </c>
      <c r="B2110" s="15">
        <v>45778</v>
      </c>
      <c r="C2110" s="4">
        <v>45778</v>
      </c>
      <c r="D2110" t="s">
        <v>59</v>
      </c>
      <c r="E2110" t="s">
        <v>25</v>
      </c>
      <c r="F2110" t="s">
        <v>61</v>
      </c>
      <c r="G2110" t="s">
        <v>314</v>
      </c>
      <c r="H2110" t="s">
        <v>8</v>
      </c>
      <c r="I2110" t="s">
        <v>1935</v>
      </c>
      <c r="J2110" t="s">
        <v>1954</v>
      </c>
      <c r="K2110" s="8">
        <v>31</v>
      </c>
    </row>
    <row r="2111" spans="1:11">
      <c r="A2111" t="s">
        <v>4049</v>
      </c>
      <c r="B2111" s="15">
        <v>45802</v>
      </c>
      <c r="C2111" s="4">
        <v>45778</v>
      </c>
      <c r="D2111" t="s">
        <v>59</v>
      </c>
      <c r="E2111" t="s">
        <v>25</v>
      </c>
      <c r="F2111" t="s">
        <v>61</v>
      </c>
      <c r="G2111" t="s">
        <v>374</v>
      </c>
      <c r="H2111" t="s">
        <v>8</v>
      </c>
      <c r="I2111" t="s">
        <v>1995</v>
      </c>
      <c r="J2111" t="s">
        <v>1938</v>
      </c>
      <c r="K2111" s="8">
        <v>6</v>
      </c>
    </row>
    <row r="2112" spans="1:11">
      <c r="A2112" t="s">
        <v>4050</v>
      </c>
      <c r="B2112" s="15">
        <v>45785</v>
      </c>
      <c r="C2112" s="4">
        <v>45778</v>
      </c>
      <c r="D2112" t="s">
        <v>59</v>
      </c>
      <c r="E2112" t="s">
        <v>25</v>
      </c>
      <c r="F2112" t="s">
        <v>61</v>
      </c>
      <c r="G2112" t="s">
        <v>356</v>
      </c>
      <c r="H2112" t="s">
        <v>8</v>
      </c>
      <c r="I2112" t="s">
        <v>1935</v>
      </c>
      <c r="J2112" t="s">
        <v>1936</v>
      </c>
      <c r="K2112" s="8">
        <v>28</v>
      </c>
    </row>
    <row r="2113" spans="1:11">
      <c r="A2113" t="s">
        <v>4051</v>
      </c>
      <c r="B2113" s="15">
        <v>45808</v>
      </c>
      <c r="C2113" s="4">
        <v>45778</v>
      </c>
      <c r="D2113" t="s">
        <v>59</v>
      </c>
      <c r="E2113" t="s">
        <v>25</v>
      </c>
      <c r="F2113" t="s">
        <v>61</v>
      </c>
      <c r="G2113" t="s">
        <v>332</v>
      </c>
      <c r="H2113" t="s">
        <v>8</v>
      </c>
      <c r="I2113" t="s">
        <v>1995</v>
      </c>
      <c r="J2113" t="s">
        <v>1936</v>
      </c>
      <c r="K2113" s="8">
        <v>4</v>
      </c>
    </row>
    <row r="2114" spans="1:11">
      <c r="A2114" t="s">
        <v>4052</v>
      </c>
      <c r="B2114" s="15">
        <v>45782</v>
      </c>
      <c r="C2114" s="4">
        <v>45778</v>
      </c>
      <c r="D2114" t="s">
        <v>59</v>
      </c>
      <c r="E2114" t="s">
        <v>25</v>
      </c>
      <c r="F2114" t="s">
        <v>61</v>
      </c>
      <c r="G2114" t="s">
        <v>326</v>
      </c>
      <c r="H2114" t="s">
        <v>5</v>
      </c>
      <c r="I2114" t="s">
        <v>1935</v>
      </c>
      <c r="J2114" t="s">
        <v>1936</v>
      </c>
      <c r="K2114" s="8">
        <v>18</v>
      </c>
    </row>
    <row r="2115" spans="1:11">
      <c r="A2115" t="s">
        <v>4053</v>
      </c>
      <c r="B2115" s="15">
        <v>45781</v>
      </c>
      <c r="C2115" s="4">
        <v>45778</v>
      </c>
      <c r="D2115" t="s">
        <v>59</v>
      </c>
      <c r="E2115" t="s">
        <v>25</v>
      </c>
      <c r="F2115" t="s">
        <v>61</v>
      </c>
      <c r="G2115" t="s">
        <v>374</v>
      </c>
      <c r="H2115" t="s">
        <v>8</v>
      </c>
      <c r="I2115" t="s">
        <v>1935</v>
      </c>
      <c r="J2115" t="s">
        <v>1954</v>
      </c>
      <c r="K2115" s="8">
        <v>31</v>
      </c>
    </row>
    <row r="2116" spans="1:11">
      <c r="A2116" t="s">
        <v>4054</v>
      </c>
      <c r="B2116" s="15">
        <v>45794</v>
      </c>
      <c r="C2116" s="4">
        <v>45778</v>
      </c>
      <c r="D2116" t="s">
        <v>59</v>
      </c>
      <c r="E2116" t="s">
        <v>25</v>
      </c>
      <c r="F2116" t="s">
        <v>61</v>
      </c>
      <c r="G2116" t="s">
        <v>314</v>
      </c>
      <c r="H2116" t="s">
        <v>8</v>
      </c>
      <c r="I2116" t="s">
        <v>1935</v>
      </c>
      <c r="J2116" t="s">
        <v>1936</v>
      </c>
      <c r="K2116" s="8">
        <v>11</v>
      </c>
    </row>
    <row r="2117" spans="1:11">
      <c r="A2117" t="s">
        <v>4055</v>
      </c>
      <c r="B2117" s="15">
        <v>45801</v>
      </c>
      <c r="C2117" s="4">
        <v>45778</v>
      </c>
      <c r="D2117" t="s">
        <v>62</v>
      </c>
      <c r="E2117" t="s">
        <v>25</v>
      </c>
      <c r="F2117" t="s">
        <v>64</v>
      </c>
      <c r="G2117" t="s">
        <v>370</v>
      </c>
      <c r="H2117" t="s">
        <v>8</v>
      </c>
      <c r="I2117" t="s">
        <v>1935</v>
      </c>
      <c r="J2117" t="s">
        <v>1954</v>
      </c>
      <c r="K2117" s="8">
        <v>33</v>
      </c>
    </row>
    <row r="2118" spans="1:11">
      <c r="A2118" t="s">
        <v>4056</v>
      </c>
      <c r="B2118" s="15">
        <v>45789</v>
      </c>
      <c r="C2118" s="4">
        <v>45778</v>
      </c>
      <c r="D2118" t="s">
        <v>62</v>
      </c>
      <c r="E2118" t="s">
        <v>25</v>
      </c>
      <c r="F2118" t="s">
        <v>64</v>
      </c>
      <c r="G2118" t="s">
        <v>328</v>
      </c>
      <c r="H2118" t="s">
        <v>5</v>
      </c>
      <c r="I2118" t="s">
        <v>1935</v>
      </c>
      <c r="J2118" t="s">
        <v>1936</v>
      </c>
      <c r="K2118" s="8">
        <v>9</v>
      </c>
    </row>
    <row r="2119" spans="1:11">
      <c r="A2119" t="s">
        <v>4057</v>
      </c>
      <c r="B2119" s="15">
        <v>45782</v>
      </c>
      <c r="C2119" s="4">
        <v>45778</v>
      </c>
      <c r="D2119" t="s">
        <v>62</v>
      </c>
      <c r="E2119" t="s">
        <v>25</v>
      </c>
      <c r="F2119" t="s">
        <v>64</v>
      </c>
      <c r="G2119" t="s">
        <v>370</v>
      </c>
      <c r="H2119" t="s">
        <v>5</v>
      </c>
      <c r="I2119" t="s">
        <v>1935</v>
      </c>
      <c r="J2119" t="s">
        <v>1936</v>
      </c>
      <c r="K2119" s="8">
        <v>26</v>
      </c>
    </row>
    <row r="2120" spans="1:11">
      <c r="A2120" t="s">
        <v>4058</v>
      </c>
      <c r="B2120" s="15">
        <v>45799</v>
      </c>
      <c r="C2120" s="4">
        <v>45778</v>
      </c>
      <c r="D2120" t="s">
        <v>62</v>
      </c>
      <c r="E2120" t="s">
        <v>25</v>
      </c>
      <c r="F2120" t="s">
        <v>64</v>
      </c>
      <c r="G2120" t="s">
        <v>328</v>
      </c>
      <c r="H2120" t="s">
        <v>5</v>
      </c>
      <c r="I2120" t="s">
        <v>1935</v>
      </c>
      <c r="J2120" t="s">
        <v>1936</v>
      </c>
      <c r="K2120" s="8">
        <v>35</v>
      </c>
    </row>
    <row r="2121" spans="1:11">
      <c r="A2121" t="s">
        <v>4059</v>
      </c>
      <c r="B2121" s="15">
        <v>45779</v>
      </c>
      <c r="C2121" s="4">
        <v>45778</v>
      </c>
      <c r="D2121" t="s">
        <v>62</v>
      </c>
      <c r="E2121" t="s">
        <v>25</v>
      </c>
      <c r="F2121" t="s">
        <v>64</v>
      </c>
      <c r="G2121" t="s">
        <v>370</v>
      </c>
      <c r="H2121" t="s">
        <v>5</v>
      </c>
      <c r="I2121" t="s">
        <v>1935</v>
      </c>
      <c r="J2121" t="s">
        <v>1936</v>
      </c>
      <c r="K2121" s="8">
        <v>33</v>
      </c>
    </row>
    <row r="2122" spans="1:11">
      <c r="A2122" t="s">
        <v>4060</v>
      </c>
      <c r="B2122" s="15">
        <v>45795</v>
      </c>
      <c r="C2122" s="4">
        <v>45778</v>
      </c>
      <c r="D2122" t="s">
        <v>62</v>
      </c>
      <c r="E2122" t="s">
        <v>25</v>
      </c>
      <c r="F2122" t="s">
        <v>64</v>
      </c>
      <c r="G2122" t="s">
        <v>346</v>
      </c>
      <c r="H2122" t="s">
        <v>14</v>
      </c>
      <c r="I2122" t="s">
        <v>1935</v>
      </c>
      <c r="J2122" t="s">
        <v>1936</v>
      </c>
      <c r="K2122" s="8">
        <v>9</v>
      </c>
    </row>
    <row r="2123" spans="1:11">
      <c r="A2123" t="s">
        <v>4061</v>
      </c>
      <c r="B2123" s="15">
        <v>45803</v>
      </c>
      <c r="C2123" s="4">
        <v>45778</v>
      </c>
      <c r="D2123" t="s">
        <v>62</v>
      </c>
      <c r="E2123" t="s">
        <v>25</v>
      </c>
      <c r="F2123" t="s">
        <v>64</v>
      </c>
      <c r="G2123" t="s">
        <v>346</v>
      </c>
      <c r="H2123" t="s">
        <v>11</v>
      </c>
      <c r="I2123" t="s">
        <v>1935</v>
      </c>
      <c r="J2123" t="s">
        <v>1938</v>
      </c>
      <c r="K2123" s="8">
        <v>20</v>
      </c>
    </row>
    <row r="2124" spans="1:11">
      <c r="A2124" t="s">
        <v>4062</v>
      </c>
      <c r="B2124" s="15">
        <v>45798</v>
      </c>
      <c r="C2124" s="4">
        <v>45778</v>
      </c>
      <c r="D2124" t="s">
        <v>62</v>
      </c>
      <c r="E2124" t="s">
        <v>25</v>
      </c>
      <c r="F2124" t="s">
        <v>64</v>
      </c>
      <c r="G2124" t="s">
        <v>364</v>
      </c>
      <c r="H2124" t="s">
        <v>14</v>
      </c>
      <c r="I2124" t="s">
        <v>1935</v>
      </c>
      <c r="J2124" t="s">
        <v>1936</v>
      </c>
      <c r="K2124" s="8">
        <v>8</v>
      </c>
    </row>
    <row r="2125" spans="1:11">
      <c r="A2125" t="s">
        <v>4063</v>
      </c>
      <c r="B2125" s="15">
        <v>45778</v>
      </c>
      <c r="C2125" s="4">
        <v>45778</v>
      </c>
      <c r="D2125" t="s">
        <v>62</v>
      </c>
      <c r="E2125" t="s">
        <v>25</v>
      </c>
      <c r="F2125" t="s">
        <v>64</v>
      </c>
      <c r="G2125" t="s">
        <v>370</v>
      </c>
      <c r="H2125" t="s">
        <v>11</v>
      </c>
      <c r="I2125" t="s">
        <v>1935</v>
      </c>
      <c r="J2125" t="s">
        <v>1936</v>
      </c>
      <c r="K2125" s="8">
        <v>25</v>
      </c>
    </row>
    <row r="2126" spans="1:11">
      <c r="A2126" t="s">
        <v>4064</v>
      </c>
      <c r="B2126" s="15">
        <v>45802</v>
      </c>
      <c r="C2126" s="4">
        <v>45778</v>
      </c>
      <c r="D2126" t="s">
        <v>65</v>
      </c>
      <c r="E2126" t="s">
        <v>25</v>
      </c>
      <c r="F2126" t="s">
        <v>67</v>
      </c>
      <c r="G2126" t="s">
        <v>318</v>
      </c>
      <c r="H2126" t="s">
        <v>14</v>
      </c>
      <c r="I2126" t="s">
        <v>1935</v>
      </c>
      <c r="J2126" t="s">
        <v>1936</v>
      </c>
      <c r="K2126" s="8">
        <v>24</v>
      </c>
    </row>
    <row r="2127" spans="1:11">
      <c r="A2127" t="s">
        <v>4065</v>
      </c>
      <c r="B2127" s="15">
        <v>45786</v>
      </c>
      <c r="C2127" s="4">
        <v>45778</v>
      </c>
      <c r="D2127" t="s">
        <v>65</v>
      </c>
      <c r="E2127" t="s">
        <v>25</v>
      </c>
      <c r="F2127" t="s">
        <v>67</v>
      </c>
      <c r="G2127" t="s">
        <v>330</v>
      </c>
      <c r="H2127" t="s">
        <v>8</v>
      </c>
      <c r="I2127" t="s">
        <v>1935</v>
      </c>
      <c r="J2127" t="s">
        <v>1936</v>
      </c>
      <c r="K2127" s="8">
        <v>26</v>
      </c>
    </row>
    <row r="2128" spans="1:11">
      <c r="A2128" t="s">
        <v>4066</v>
      </c>
      <c r="B2128" s="15">
        <v>45786</v>
      </c>
      <c r="C2128" s="4">
        <v>45778</v>
      </c>
      <c r="D2128" t="s">
        <v>65</v>
      </c>
      <c r="E2128" t="s">
        <v>25</v>
      </c>
      <c r="F2128" t="s">
        <v>67</v>
      </c>
      <c r="G2128" t="s">
        <v>354</v>
      </c>
      <c r="H2128" t="s">
        <v>5</v>
      </c>
      <c r="I2128" t="s">
        <v>1935</v>
      </c>
      <c r="J2128" t="s">
        <v>1936</v>
      </c>
      <c r="K2128" s="8">
        <v>21</v>
      </c>
    </row>
    <row r="2129" spans="1:11">
      <c r="A2129" t="s">
        <v>4067</v>
      </c>
      <c r="B2129" s="15">
        <v>45790</v>
      </c>
      <c r="C2129" s="4">
        <v>45778</v>
      </c>
      <c r="D2129" t="s">
        <v>65</v>
      </c>
      <c r="E2129" t="s">
        <v>25</v>
      </c>
      <c r="F2129" t="s">
        <v>67</v>
      </c>
      <c r="G2129" t="s">
        <v>348</v>
      </c>
      <c r="H2129" t="s">
        <v>11</v>
      </c>
      <c r="I2129" t="s">
        <v>1935</v>
      </c>
      <c r="J2129" t="s">
        <v>1936</v>
      </c>
      <c r="K2129" s="8">
        <v>17</v>
      </c>
    </row>
    <row r="2130" spans="1:11">
      <c r="A2130" t="s">
        <v>4068</v>
      </c>
      <c r="B2130" s="15">
        <v>45795</v>
      </c>
      <c r="C2130" s="4">
        <v>45778</v>
      </c>
      <c r="D2130" t="s">
        <v>65</v>
      </c>
      <c r="E2130" t="s">
        <v>25</v>
      </c>
      <c r="F2130" t="s">
        <v>67</v>
      </c>
      <c r="G2130" t="s">
        <v>318</v>
      </c>
      <c r="H2130" t="s">
        <v>14</v>
      </c>
      <c r="I2130" t="s">
        <v>1935</v>
      </c>
      <c r="J2130" t="s">
        <v>1936</v>
      </c>
      <c r="K2130" s="8">
        <v>15</v>
      </c>
    </row>
    <row r="2131" spans="1:11">
      <c r="A2131" t="s">
        <v>4069</v>
      </c>
      <c r="B2131" s="15">
        <v>45793</v>
      </c>
      <c r="C2131" s="4">
        <v>45778</v>
      </c>
      <c r="D2131" t="s">
        <v>65</v>
      </c>
      <c r="E2131" t="s">
        <v>25</v>
      </c>
      <c r="F2131" t="s">
        <v>67</v>
      </c>
      <c r="G2131" t="s">
        <v>342</v>
      </c>
      <c r="H2131" t="s">
        <v>11</v>
      </c>
      <c r="I2131" t="s">
        <v>1935</v>
      </c>
      <c r="J2131" t="s">
        <v>1936</v>
      </c>
      <c r="K2131" s="8">
        <v>26</v>
      </c>
    </row>
    <row r="2132" spans="1:11">
      <c r="A2132" t="s">
        <v>4070</v>
      </c>
      <c r="B2132" s="15">
        <v>45783</v>
      </c>
      <c r="C2132" s="4">
        <v>45778</v>
      </c>
      <c r="D2132" t="s">
        <v>65</v>
      </c>
      <c r="E2132" t="s">
        <v>25</v>
      </c>
      <c r="F2132" t="s">
        <v>67</v>
      </c>
      <c r="G2132" t="s">
        <v>348</v>
      </c>
      <c r="H2132" t="s">
        <v>11</v>
      </c>
      <c r="I2132" t="s">
        <v>1935</v>
      </c>
      <c r="J2132" t="s">
        <v>1936</v>
      </c>
      <c r="K2132" s="8">
        <v>25</v>
      </c>
    </row>
    <row r="2133" spans="1:11">
      <c r="A2133" t="s">
        <v>4071</v>
      </c>
      <c r="B2133" s="15">
        <v>45803</v>
      </c>
      <c r="C2133" s="4">
        <v>45778</v>
      </c>
      <c r="D2133" t="s">
        <v>65</v>
      </c>
      <c r="E2133" t="s">
        <v>25</v>
      </c>
      <c r="F2133" t="s">
        <v>67</v>
      </c>
      <c r="G2133" t="s">
        <v>348</v>
      </c>
      <c r="H2133" t="s">
        <v>11</v>
      </c>
      <c r="I2133" t="s">
        <v>1935</v>
      </c>
      <c r="J2133" t="s">
        <v>1936</v>
      </c>
      <c r="K2133" s="8">
        <v>17</v>
      </c>
    </row>
    <row r="2134" spans="1:11">
      <c r="A2134" t="s">
        <v>4072</v>
      </c>
      <c r="B2134" s="15">
        <v>45805</v>
      </c>
      <c r="C2134" s="4">
        <v>45778</v>
      </c>
      <c r="D2134" t="s">
        <v>65</v>
      </c>
      <c r="E2134" t="s">
        <v>25</v>
      </c>
      <c r="F2134" t="s">
        <v>67</v>
      </c>
      <c r="G2134" t="s">
        <v>354</v>
      </c>
      <c r="H2134" t="s">
        <v>14</v>
      </c>
      <c r="I2134" t="s">
        <v>1935</v>
      </c>
      <c r="J2134" t="s">
        <v>1936</v>
      </c>
      <c r="K2134" s="8">
        <v>22</v>
      </c>
    </row>
    <row r="2135" spans="1:11">
      <c r="A2135" t="s">
        <v>4073</v>
      </c>
      <c r="B2135" s="15">
        <v>45806</v>
      </c>
      <c r="C2135" s="4">
        <v>45778</v>
      </c>
      <c r="D2135" t="s">
        <v>65</v>
      </c>
      <c r="E2135" t="s">
        <v>25</v>
      </c>
      <c r="F2135" t="s">
        <v>67</v>
      </c>
      <c r="G2135" t="s">
        <v>354</v>
      </c>
      <c r="H2135" t="s">
        <v>14</v>
      </c>
      <c r="I2135" t="s">
        <v>1935</v>
      </c>
      <c r="J2135" t="s">
        <v>1936</v>
      </c>
      <c r="K2135" s="8">
        <v>26</v>
      </c>
    </row>
    <row r="2136" spans="1:11">
      <c r="A2136" t="s">
        <v>4074</v>
      </c>
      <c r="B2136" s="15">
        <v>45804</v>
      </c>
      <c r="C2136" s="4">
        <v>45778</v>
      </c>
      <c r="D2136" t="s">
        <v>65</v>
      </c>
      <c r="E2136" t="s">
        <v>25</v>
      </c>
      <c r="F2136" t="s">
        <v>67</v>
      </c>
      <c r="G2136" t="s">
        <v>342</v>
      </c>
      <c r="H2136" t="s">
        <v>5</v>
      </c>
      <c r="I2136" t="s">
        <v>1935</v>
      </c>
      <c r="J2136" t="s">
        <v>1938</v>
      </c>
      <c r="K2136" s="8">
        <v>17</v>
      </c>
    </row>
    <row r="2137" spans="1:11">
      <c r="A2137" t="s">
        <v>4075</v>
      </c>
      <c r="B2137" s="15">
        <v>45808</v>
      </c>
      <c r="C2137" s="4">
        <v>45778</v>
      </c>
      <c r="D2137" t="s">
        <v>65</v>
      </c>
      <c r="E2137" t="s">
        <v>25</v>
      </c>
      <c r="F2137" t="s">
        <v>67</v>
      </c>
      <c r="G2137" t="s">
        <v>378</v>
      </c>
      <c r="H2137" t="s">
        <v>8</v>
      </c>
      <c r="I2137" t="s">
        <v>1935</v>
      </c>
      <c r="J2137" t="s">
        <v>1936</v>
      </c>
      <c r="K2137" s="8">
        <v>21</v>
      </c>
    </row>
    <row r="2138" spans="1:11">
      <c r="A2138" t="s">
        <v>4076</v>
      </c>
      <c r="B2138" s="15">
        <v>45785</v>
      </c>
      <c r="C2138" s="4">
        <v>45778</v>
      </c>
      <c r="D2138" t="s">
        <v>65</v>
      </c>
      <c r="E2138" t="s">
        <v>25</v>
      </c>
      <c r="F2138" t="s">
        <v>67</v>
      </c>
      <c r="G2138" t="s">
        <v>348</v>
      </c>
      <c r="H2138" t="s">
        <v>11</v>
      </c>
      <c r="I2138" t="s">
        <v>1935</v>
      </c>
      <c r="J2138" t="s">
        <v>1954</v>
      </c>
      <c r="K2138" s="8">
        <v>16</v>
      </c>
    </row>
    <row r="2139" spans="1:11">
      <c r="A2139" t="s">
        <v>4077</v>
      </c>
      <c r="B2139" s="15">
        <v>45779</v>
      </c>
      <c r="C2139" s="4">
        <v>45778</v>
      </c>
      <c r="D2139" t="s">
        <v>65</v>
      </c>
      <c r="E2139" t="s">
        <v>25</v>
      </c>
      <c r="F2139" t="s">
        <v>67</v>
      </c>
      <c r="G2139" t="s">
        <v>318</v>
      </c>
      <c r="H2139" t="s">
        <v>14</v>
      </c>
      <c r="I2139" t="s">
        <v>1935</v>
      </c>
      <c r="J2139" t="s">
        <v>1936</v>
      </c>
      <c r="K2139" s="8">
        <v>29</v>
      </c>
    </row>
    <row r="2140" spans="1:11">
      <c r="A2140" t="s">
        <v>4078</v>
      </c>
      <c r="B2140" s="15">
        <v>45836</v>
      </c>
      <c r="C2140" s="4">
        <v>45809</v>
      </c>
      <c r="D2140" t="s">
        <v>32</v>
      </c>
      <c r="E2140" t="s">
        <v>19</v>
      </c>
      <c r="F2140" t="s">
        <v>34</v>
      </c>
      <c r="G2140" t="s">
        <v>105</v>
      </c>
      <c r="H2140" t="s">
        <v>8</v>
      </c>
      <c r="I2140" t="s">
        <v>1935</v>
      </c>
      <c r="J2140" t="s">
        <v>1936</v>
      </c>
      <c r="K2140" s="8">
        <v>31</v>
      </c>
    </row>
    <row r="2141" spans="1:11">
      <c r="A2141" t="s">
        <v>4079</v>
      </c>
      <c r="B2141" s="15">
        <v>45828</v>
      </c>
      <c r="C2141" s="4">
        <v>45809</v>
      </c>
      <c r="D2141" t="s">
        <v>32</v>
      </c>
      <c r="E2141" t="s">
        <v>19</v>
      </c>
      <c r="F2141" t="s">
        <v>34</v>
      </c>
      <c r="G2141" t="s">
        <v>92</v>
      </c>
      <c r="H2141" t="s">
        <v>8</v>
      </c>
      <c r="I2141" t="s">
        <v>1935</v>
      </c>
      <c r="J2141" t="s">
        <v>1936</v>
      </c>
      <c r="K2141" s="8">
        <v>12</v>
      </c>
    </row>
    <row r="2142" spans="1:11">
      <c r="A2142" t="s">
        <v>4080</v>
      </c>
      <c r="B2142" s="15">
        <v>45823</v>
      </c>
      <c r="C2142" s="4">
        <v>45809</v>
      </c>
      <c r="D2142" t="s">
        <v>32</v>
      </c>
      <c r="E2142" t="s">
        <v>19</v>
      </c>
      <c r="F2142" t="s">
        <v>34</v>
      </c>
      <c r="G2142" t="s">
        <v>124</v>
      </c>
      <c r="H2142" t="s">
        <v>11</v>
      </c>
      <c r="I2142" t="s">
        <v>1935</v>
      </c>
      <c r="J2142" t="s">
        <v>1938</v>
      </c>
      <c r="K2142" s="8">
        <v>22</v>
      </c>
    </row>
    <row r="2143" spans="1:11">
      <c r="A2143" t="s">
        <v>4081</v>
      </c>
      <c r="B2143" s="15">
        <v>45833</v>
      </c>
      <c r="C2143" s="4">
        <v>45809</v>
      </c>
      <c r="D2143" t="s">
        <v>32</v>
      </c>
      <c r="E2143" t="s">
        <v>19</v>
      </c>
      <c r="F2143" t="s">
        <v>34</v>
      </c>
      <c r="G2143" t="s">
        <v>154</v>
      </c>
      <c r="H2143" t="s">
        <v>14</v>
      </c>
      <c r="I2143" t="s">
        <v>1935</v>
      </c>
      <c r="J2143" t="s">
        <v>1936</v>
      </c>
      <c r="K2143" s="8">
        <v>12</v>
      </c>
    </row>
    <row r="2144" spans="1:11">
      <c r="A2144" t="s">
        <v>4082</v>
      </c>
      <c r="B2144" s="15">
        <v>45831</v>
      </c>
      <c r="C2144" s="4">
        <v>45809</v>
      </c>
      <c r="D2144" t="s">
        <v>32</v>
      </c>
      <c r="E2144" t="s">
        <v>19</v>
      </c>
      <c r="F2144" t="s">
        <v>34</v>
      </c>
      <c r="G2144" t="s">
        <v>124</v>
      </c>
      <c r="H2144" t="s">
        <v>8</v>
      </c>
      <c r="I2144" t="s">
        <v>1935</v>
      </c>
      <c r="J2144" t="s">
        <v>1936</v>
      </c>
      <c r="K2144" s="8">
        <v>28</v>
      </c>
    </row>
    <row r="2145" spans="1:11">
      <c r="A2145" t="s">
        <v>4083</v>
      </c>
      <c r="B2145" s="15">
        <v>45817</v>
      </c>
      <c r="C2145" s="4">
        <v>45809</v>
      </c>
      <c r="D2145" t="s">
        <v>32</v>
      </c>
      <c r="E2145" t="s">
        <v>19</v>
      </c>
      <c r="F2145" t="s">
        <v>34</v>
      </c>
      <c r="G2145" t="s">
        <v>99</v>
      </c>
      <c r="H2145" t="s">
        <v>14</v>
      </c>
      <c r="I2145" t="s">
        <v>1935</v>
      </c>
      <c r="J2145" t="s">
        <v>1936</v>
      </c>
      <c r="K2145" s="8">
        <v>25</v>
      </c>
    </row>
    <row r="2146" spans="1:11">
      <c r="A2146" t="s">
        <v>4084</v>
      </c>
      <c r="B2146" s="15">
        <v>45824</v>
      </c>
      <c r="C2146" s="4">
        <v>45809</v>
      </c>
      <c r="D2146" t="s">
        <v>32</v>
      </c>
      <c r="E2146" t="s">
        <v>19</v>
      </c>
      <c r="F2146" t="s">
        <v>34</v>
      </c>
      <c r="G2146" t="s">
        <v>130</v>
      </c>
      <c r="H2146" t="s">
        <v>14</v>
      </c>
      <c r="I2146" t="s">
        <v>1935</v>
      </c>
      <c r="J2146" t="s">
        <v>1936</v>
      </c>
      <c r="K2146" s="8">
        <v>8</v>
      </c>
    </row>
    <row r="2147" spans="1:11">
      <c r="A2147" t="s">
        <v>4085</v>
      </c>
      <c r="B2147" s="15">
        <v>45823</v>
      </c>
      <c r="C2147" s="4">
        <v>45809</v>
      </c>
      <c r="D2147" t="s">
        <v>32</v>
      </c>
      <c r="E2147" t="s">
        <v>19</v>
      </c>
      <c r="F2147" t="s">
        <v>34</v>
      </c>
      <c r="G2147" t="s">
        <v>124</v>
      </c>
      <c r="H2147" t="s">
        <v>8</v>
      </c>
      <c r="I2147" t="s">
        <v>1935</v>
      </c>
      <c r="J2147" t="s">
        <v>1936</v>
      </c>
      <c r="K2147" s="8">
        <v>15</v>
      </c>
    </row>
    <row r="2148" spans="1:11">
      <c r="A2148" t="s">
        <v>4086</v>
      </c>
      <c r="B2148" s="15">
        <v>45815</v>
      </c>
      <c r="C2148" s="4">
        <v>45809</v>
      </c>
      <c r="D2148" t="s">
        <v>32</v>
      </c>
      <c r="E2148" t="s">
        <v>19</v>
      </c>
      <c r="F2148" t="s">
        <v>34</v>
      </c>
      <c r="G2148" t="s">
        <v>160</v>
      </c>
      <c r="H2148" t="s">
        <v>5</v>
      </c>
      <c r="I2148" t="s">
        <v>1935</v>
      </c>
      <c r="J2148" t="s">
        <v>1936</v>
      </c>
      <c r="K2148" s="8">
        <v>22</v>
      </c>
    </row>
    <row r="2149" spans="1:11">
      <c r="A2149" t="s">
        <v>4087</v>
      </c>
      <c r="B2149" s="15">
        <v>45837</v>
      </c>
      <c r="C2149" s="4">
        <v>45809</v>
      </c>
      <c r="D2149" t="s">
        <v>32</v>
      </c>
      <c r="E2149" t="s">
        <v>19</v>
      </c>
      <c r="F2149" t="s">
        <v>34</v>
      </c>
      <c r="G2149" t="s">
        <v>130</v>
      </c>
      <c r="H2149" t="s">
        <v>14</v>
      </c>
      <c r="I2149" t="s">
        <v>1942</v>
      </c>
      <c r="J2149" t="s">
        <v>1936</v>
      </c>
      <c r="K2149" s="8">
        <v>7</v>
      </c>
    </row>
    <row r="2150" spans="1:11">
      <c r="A2150" t="s">
        <v>4088</v>
      </c>
      <c r="B2150" s="15">
        <v>45812</v>
      </c>
      <c r="C2150" s="4">
        <v>45809</v>
      </c>
      <c r="D2150" t="s">
        <v>32</v>
      </c>
      <c r="E2150" t="s">
        <v>19</v>
      </c>
      <c r="F2150" t="s">
        <v>34</v>
      </c>
      <c r="G2150" t="s">
        <v>99</v>
      </c>
      <c r="H2150" t="s">
        <v>11</v>
      </c>
      <c r="I2150" t="s">
        <v>1935</v>
      </c>
      <c r="J2150" t="s">
        <v>1936</v>
      </c>
      <c r="K2150" s="8">
        <v>28</v>
      </c>
    </row>
    <row r="2151" spans="1:11">
      <c r="A2151" t="s">
        <v>4089</v>
      </c>
      <c r="B2151" s="15">
        <v>45816</v>
      </c>
      <c r="C2151" s="4">
        <v>45809</v>
      </c>
      <c r="D2151" t="s">
        <v>35</v>
      </c>
      <c r="E2151" t="s">
        <v>19</v>
      </c>
      <c r="F2151" t="s">
        <v>37</v>
      </c>
      <c r="G2151" t="s">
        <v>107</v>
      </c>
      <c r="H2151" t="s">
        <v>8</v>
      </c>
      <c r="I2151" t="s">
        <v>1935</v>
      </c>
      <c r="J2151" t="s">
        <v>1936</v>
      </c>
      <c r="K2151" s="8">
        <v>24</v>
      </c>
    </row>
    <row r="2152" spans="1:11">
      <c r="A2152" t="s">
        <v>4090</v>
      </c>
      <c r="B2152" s="15">
        <v>45812</v>
      </c>
      <c r="C2152" s="4">
        <v>45809</v>
      </c>
      <c r="D2152" t="s">
        <v>35</v>
      </c>
      <c r="E2152" t="s">
        <v>19</v>
      </c>
      <c r="F2152" t="s">
        <v>37</v>
      </c>
      <c r="G2152" t="s">
        <v>107</v>
      </c>
      <c r="H2152" t="s">
        <v>8</v>
      </c>
      <c r="I2152" t="s">
        <v>1935</v>
      </c>
      <c r="J2152" t="s">
        <v>1936</v>
      </c>
      <c r="K2152" s="8">
        <v>32</v>
      </c>
    </row>
    <row r="2153" spans="1:11">
      <c r="A2153" t="s">
        <v>4091</v>
      </c>
      <c r="B2153" s="15">
        <v>45827</v>
      </c>
      <c r="C2153" s="4">
        <v>45809</v>
      </c>
      <c r="D2153" t="s">
        <v>35</v>
      </c>
      <c r="E2153" t="s">
        <v>19</v>
      </c>
      <c r="F2153" t="s">
        <v>37</v>
      </c>
      <c r="G2153" t="s">
        <v>88</v>
      </c>
      <c r="H2153" t="s">
        <v>8</v>
      </c>
      <c r="I2153" t="s">
        <v>1935</v>
      </c>
      <c r="J2153" t="s">
        <v>1936</v>
      </c>
      <c r="K2153" s="8">
        <v>27</v>
      </c>
    </row>
    <row r="2154" spans="1:11">
      <c r="A2154" t="s">
        <v>4092</v>
      </c>
      <c r="B2154" s="15">
        <v>45822</v>
      </c>
      <c r="C2154" s="4">
        <v>45809</v>
      </c>
      <c r="D2154" t="s">
        <v>35</v>
      </c>
      <c r="E2154" t="s">
        <v>19</v>
      </c>
      <c r="F2154" t="s">
        <v>37</v>
      </c>
      <c r="G2154" t="s">
        <v>107</v>
      </c>
      <c r="H2154" t="s">
        <v>8</v>
      </c>
      <c r="I2154" t="s">
        <v>1935</v>
      </c>
      <c r="J2154" t="s">
        <v>1936</v>
      </c>
      <c r="K2154" s="8">
        <v>22</v>
      </c>
    </row>
    <row r="2155" spans="1:11">
      <c r="A2155" t="s">
        <v>4093</v>
      </c>
      <c r="B2155" s="15">
        <v>45821</v>
      </c>
      <c r="C2155" s="4">
        <v>45809</v>
      </c>
      <c r="D2155" t="s">
        <v>35</v>
      </c>
      <c r="E2155" t="s">
        <v>19</v>
      </c>
      <c r="F2155" t="s">
        <v>37</v>
      </c>
      <c r="G2155" t="s">
        <v>107</v>
      </c>
      <c r="H2155" t="s">
        <v>8</v>
      </c>
      <c r="I2155" t="s">
        <v>1942</v>
      </c>
      <c r="J2155" t="s">
        <v>1936</v>
      </c>
      <c r="K2155" s="8">
        <v>7</v>
      </c>
    </row>
    <row r="2156" spans="1:11">
      <c r="A2156" t="s">
        <v>4094</v>
      </c>
      <c r="B2156" s="15">
        <v>45820</v>
      </c>
      <c r="C2156" s="4">
        <v>45809</v>
      </c>
      <c r="D2156" t="s">
        <v>35</v>
      </c>
      <c r="E2156" t="s">
        <v>19</v>
      </c>
      <c r="F2156" t="s">
        <v>37</v>
      </c>
      <c r="G2156" t="s">
        <v>88</v>
      </c>
      <c r="H2156" t="s">
        <v>8</v>
      </c>
      <c r="I2156" t="s">
        <v>1935</v>
      </c>
      <c r="J2156" t="s">
        <v>1954</v>
      </c>
      <c r="K2156" s="8">
        <v>30</v>
      </c>
    </row>
    <row r="2157" spans="1:11">
      <c r="A2157" t="s">
        <v>4095</v>
      </c>
      <c r="B2157" s="15">
        <v>45810</v>
      </c>
      <c r="C2157" s="4">
        <v>45809</v>
      </c>
      <c r="D2157" t="s">
        <v>35</v>
      </c>
      <c r="E2157" t="s">
        <v>19</v>
      </c>
      <c r="F2157" t="s">
        <v>37</v>
      </c>
      <c r="G2157" t="s">
        <v>107</v>
      </c>
      <c r="H2157" t="s">
        <v>8</v>
      </c>
      <c r="I2157" t="s">
        <v>1935</v>
      </c>
      <c r="J2157" t="s">
        <v>1938</v>
      </c>
      <c r="K2157" s="8">
        <v>10</v>
      </c>
    </row>
    <row r="2158" spans="1:11">
      <c r="A2158" t="s">
        <v>4096</v>
      </c>
      <c r="B2158" s="15">
        <v>45829</v>
      </c>
      <c r="C2158" s="4">
        <v>45809</v>
      </c>
      <c r="D2158" t="s">
        <v>35</v>
      </c>
      <c r="E2158" t="s">
        <v>19</v>
      </c>
      <c r="F2158" t="s">
        <v>37</v>
      </c>
      <c r="G2158" t="s">
        <v>107</v>
      </c>
      <c r="H2158" t="s">
        <v>8</v>
      </c>
      <c r="I2158" t="s">
        <v>1935</v>
      </c>
      <c r="J2158" t="s">
        <v>1938</v>
      </c>
      <c r="K2158" s="8">
        <v>19</v>
      </c>
    </row>
    <row r="2159" spans="1:11">
      <c r="A2159" t="s">
        <v>4097</v>
      </c>
      <c r="B2159" s="15">
        <v>45825</v>
      </c>
      <c r="C2159" s="4">
        <v>45809</v>
      </c>
      <c r="D2159" t="s">
        <v>35</v>
      </c>
      <c r="E2159" t="s">
        <v>19</v>
      </c>
      <c r="F2159" t="s">
        <v>37</v>
      </c>
      <c r="G2159" t="s">
        <v>78</v>
      </c>
      <c r="H2159" t="s">
        <v>8</v>
      </c>
      <c r="I2159" t="s">
        <v>1935</v>
      </c>
      <c r="J2159" t="s">
        <v>1936</v>
      </c>
      <c r="K2159" s="8">
        <v>16</v>
      </c>
    </row>
    <row r="2160" spans="1:11">
      <c r="A2160" t="s">
        <v>4098</v>
      </c>
      <c r="B2160" s="15">
        <v>45809</v>
      </c>
      <c r="C2160" s="4">
        <v>45809</v>
      </c>
      <c r="D2160" t="s">
        <v>38</v>
      </c>
      <c r="E2160" t="s">
        <v>19</v>
      </c>
      <c r="F2160" t="s">
        <v>40</v>
      </c>
      <c r="G2160" t="s">
        <v>96</v>
      </c>
      <c r="H2160" t="s">
        <v>11</v>
      </c>
      <c r="I2160" t="s">
        <v>1935</v>
      </c>
      <c r="J2160" t="s">
        <v>1938</v>
      </c>
      <c r="K2160" s="8">
        <v>20</v>
      </c>
    </row>
    <row r="2161" spans="1:11">
      <c r="A2161" t="s">
        <v>4099</v>
      </c>
      <c r="B2161" s="15">
        <v>45818</v>
      </c>
      <c r="C2161" s="4">
        <v>45809</v>
      </c>
      <c r="D2161" t="s">
        <v>38</v>
      </c>
      <c r="E2161" t="s">
        <v>19</v>
      </c>
      <c r="F2161" t="s">
        <v>40</v>
      </c>
      <c r="G2161" t="s">
        <v>82</v>
      </c>
      <c r="H2161" t="s">
        <v>11</v>
      </c>
      <c r="I2161" t="s">
        <v>1935</v>
      </c>
      <c r="J2161" t="s">
        <v>1936</v>
      </c>
      <c r="K2161" s="8">
        <v>11</v>
      </c>
    </row>
    <row r="2162" spans="1:11">
      <c r="A2162" t="s">
        <v>4100</v>
      </c>
      <c r="B2162" s="15">
        <v>45833</v>
      </c>
      <c r="C2162" s="4">
        <v>45809</v>
      </c>
      <c r="D2162" t="s">
        <v>38</v>
      </c>
      <c r="E2162" t="s">
        <v>19</v>
      </c>
      <c r="F2162" t="s">
        <v>40</v>
      </c>
      <c r="G2162" t="s">
        <v>140</v>
      </c>
      <c r="H2162" t="s">
        <v>11</v>
      </c>
      <c r="I2162" t="s">
        <v>1935</v>
      </c>
      <c r="J2162" t="s">
        <v>1936</v>
      </c>
      <c r="K2162" s="8">
        <v>15</v>
      </c>
    </row>
    <row r="2163" spans="1:11">
      <c r="A2163" t="s">
        <v>4101</v>
      </c>
      <c r="B2163" s="15">
        <v>45829</v>
      </c>
      <c r="C2163" s="4">
        <v>45809</v>
      </c>
      <c r="D2163" t="s">
        <v>38</v>
      </c>
      <c r="E2163" t="s">
        <v>19</v>
      </c>
      <c r="F2163" t="s">
        <v>40</v>
      </c>
      <c r="G2163" t="s">
        <v>103</v>
      </c>
      <c r="H2163" t="s">
        <v>5</v>
      </c>
      <c r="I2163" t="s">
        <v>1935</v>
      </c>
      <c r="J2163" t="s">
        <v>1936</v>
      </c>
      <c r="K2163" s="8">
        <v>22</v>
      </c>
    </row>
    <row r="2164" spans="1:11">
      <c r="A2164" t="s">
        <v>4102</v>
      </c>
      <c r="B2164" s="15">
        <v>45831</v>
      </c>
      <c r="C2164" s="4">
        <v>45809</v>
      </c>
      <c r="D2164" t="s">
        <v>38</v>
      </c>
      <c r="E2164" t="s">
        <v>19</v>
      </c>
      <c r="F2164" t="s">
        <v>40</v>
      </c>
      <c r="G2164" t="s">
        <v>82</v>
      </c>
      <c r="H2164" t="s">
        <v>5</v>
      </c>
      <c r="I2164" t="s">
        <v>1942</v>
      </c>
      <c r="J2164" t="s">
        <v>1936</v>
      </c>
      <c r="K2164" s="8">
        <v>8</v>
      </c>
    </row>
    <row r="2165" spans="1:11">
      <c r="A2165" t="s">
        <v>4103</v>
      </c>
      <c r="B2165" s="15">
        <v>45823</v>
      </c>
      <c r="C2165" s="4">
        <v>45809</v>
      </c>
      <c r="D2165" t="s">
        <v>38</v>
      </c>
      <c r="E2165" t="s">
        <v>19</v>
      </c>
      <c r="F2165" t="s">
        <v>40</v>
      </c>
      <c r="G2165" t="s">
        <v>96</v>
      </c>
      <c r="H2165" t="s">
        <v>11</v>
      </c>
      <c r="I2165" t="s">
        <v>1935</v>
      </c>
      <c r="J2165" t="s">
        <v>1938</v>
      </c>
      <c r="K2165" s="8">
        <v>27</v>
      </c>
    </row>
    <row r="2166" spans="1:11">
      <c r="A2166" t="s">
        <v>4104</v>
      </c>
      <c r="B2166" s="15">
        <v>45820</v>
      </c>
      <c r="C2166" s="4">
        <v>45809</v>
      </c>
      <c r="D2166" t="s">
        <v>38</v>
      </c>
      <c r="E2166" t="s">
        <v>19</v>
      </c>
      <c r="F2166" t="s">
        <v>40</v>
      </c>
      <c r="G2166" t="s">
        <v>158</v>
      </c>
      <c r="H2166" t="s">
        <v>14</v>
      </c>
      <c r="I2166" t="s">
        <v>1935</v>
      </c>
      <c r="J2166" t="s">
        <v>1936</v>
      </c>
      <c r="K2166" s="8">
        <v>32</v>
      </c>
    </row>
    <row r="2167" spans="1:11">
      <c r="A2167" t="s">
        <v>4105</v>
      </c>
      <c r="B2167" s="15">
        <v>45826</v>
      </c>
      <c r="C2167" s="4">
        <v>45809</v>
      </c>
      <c r="D2167" t="s">
        <v>38</v>
      </c>
      <c r="E2167" t="s">
        <v>19</v>
      </c>
      <c r="F2167" t="s">
        <v>40</v>
      </c>
      <c r="G2167" t="s">
        <v>82</v>
      </c>
      <c r="H2167" t="s">
        <v>5</v>
      </c>
      <c r="I2167" t="s">
        <v>1935</v>
      </c>
      <c r="J2167" t="s">
        <v>1938</v>
      </c>
      <c r="K2167" s="8">
        <v>18</v>
      </c>
    </row>
    <row r="2168" spans="1:11">
      <c r="A2168" t="s">
        <v>4106</v>
      </c>
      <c r="B2168" s="15">
        <v>45818</v>
      </c>
      <c r="C2168" s="4">
        <v>45809</v>
      </c>
      <c r="D2168" t="s">
        <v>38</v>
      </c>
      <c r="E2168" t="s">
        <v>19</v>
      </c>
      <c r="F2168" t="s">
        <v>40</v>
      </c>
      <c r="G2168" t="s">
        <v>128</v>
      </c>
      <c r="H2168" t="s">
        <v>11</v>
      </c>
      <c r="I2168" t="s">
        <v>1935</v>
      </c>
      <c r="J2168" t="s">
        <v>1938</v>
      </c>
      <c r="K2168" s="8">
        <v>9</v>
      </c>
    </row>
    <row r="2169" spans="1:11">
      <c r="A2169" t="s">
        <v>4107</v>
      </c>
      <c r="B2169" s="15">
        <v>45835</v>
      </c>
      <c r="C2169" s="4">
        <v>45809</v>
      </c>
      <c r="D2169" t="s">
        <v>38</v>
      </c>
      <c r="E2169" t="s">
        <v>19</v>
      </c>
      <c r="F2169" t="s">
        <v>40</v>
      </c>
      <c r="G2169" t="s">
        <v>146</v>
      </c>
      <c r="H2169" t="s">
        <v>8</v>
      </c>
      <c r="I2169" t="s">
        <v>1935</v>
      </c>
      <c r="J2169" t="s">
        <v>1936</v>
      </c>
      <c r="K2169" s="8">
        <v>8</v>
      </c>
    </row>
    <row r="2170" spans="1:11">
      <c r="A2170" t="s">
        <v>4108</v>
      </c>
      <c r="B2170" s="15">
        <v>45838</v>
      </c>
      <c r="C2170" s="4">
        <v>45809</v>
      </c>
      <c r="D2170" t="s">
        <v>38</v>
      </c>
      <c r="E2170" t="s">
        <v>19</v>
      </c>
      <c r="F2170" t="s">
        <v>40</v>
      </c>
      <c r="G2170" t="s">
        <v>82</v>
      </c>
      <c r="H2170" t="s">
        <v>8</v>
      </c>
      <c r="I2170" t="s">
        <v>1942</v>
      </c>
      <c r="J2170" t="s">
        <v>1954</v>
      </c>
      <c r="K2170" s="8">
        <v>6</v>
      </c>
    </row>
    <row r="2171" spans="1:11">
      <c r="A2171" t="s">
        <v>4109</v>
      </c>
      <c r="B2171" s="15">
        <v>45826</v>
      </c>
      <c r="C2171" s="4">
        <v>45809</v>
      </c>
      <c r="D2171" t="s">
        <v>41</v>
      </c>
      <c r="E2171" t="s">
        <v>21</v>
      </c>
      <c r="F2171" t="s">
        <v>43</v>
      </c>
      <c r="G2171" t="s">
        <v>196</v>
      </c>
      <c r="H2171" t="s">
        <v>8</v>
      </c>
      <c r="I2171" t="s">
        <v>1935</v>
      </c>
      <c r="J2171" t="s">
        <v>1936</v>
      </c>
      <c r="K2171" s="8">
        <v>25</v>
      </c>
    </row>
    <row r="2172" spans="1:11">
      <c r="A2172" t="s">
        <v>4110</v>
      </c>
      <c r="B2172" s="15">
        <v>45818</v>
      </c>
      <c r="C2172" s="4">
        <v>45809</v>
      </c>
      <c r="D2172" t="s">
        <v>41</v>
      </c>
      <c r="E2172" t="s">
        <v>21</v>
      </c>
      <c r="F2172" t="s">
        <v>43</v>
      </c>
      <c r="G2172" t="s">
        <v>226</v>
      </c>
      <c r="H2172" t="s">
        <v>5</v>
      </c>
      <c r="I2172" t="s">
        <v>1935</v>
      </c>
      <c r="J2172" t="s">
        <v>1936</v>
      </c>
      <c r="K2172" s="8">
        <v>18</v>
      </c>
    </row>
    <row r="2173" spans="1:11">
      <c r="A2173" t="s">
        <v>4111</v>
      </c>
      <c r="B2173" s="15">
        <v>45810</v>
      </c>
      <c r="C2173" s="4">
        <v>45809</v>
      </c>
      <c r="D2173" t="s">
        <v>41</v>
      </c>
      <c r="E2173" t="s">
        <v>21</v>
      </c>
      <c r="F2173" t="s">
        <v>43</v>
      </c>
      <c r="G2173" t="s">
        <v>190</v>
      </c>
      <c r="H2173" t="s">
        <v>11</v>
      </c>
      <c r="I2173" t="s">
        <v>1935</v>
      </c>
      <c r="J2173" t="s">
        <v>1936</v>
      </c>
      <c r="K2173" s="8">
        <v>13</v>
      </c>
    </row>
    <row r="2174" spans="1:11">
      <c r="A2174" t="s">
        <v>4112</v>
      </c>
      <c r="B2174" s="15">
        <v>45825</v>
      </c>
      <c r="C2174" s="4">
        <v>45809</v>
      </c>
      <c r="D2174" t="s">
        <v>41</v>
      </c>
      <c r="E2174" t="s">
        <v>21</v>
      </c>
      <c r="F2174" t="s">
        <v>43</v>
      </c>
      <c r="G2174" t="s">
        <v>190</v>
      </c>
      <c r="H2174" t="s">
        <v>5</v>
      </c>
      <c r="I2174" t="s">
        <v>1935</v>
      </c>
      <c r="J2174" t="s">
        <v>1936</v>
      </c>
      <c r="K2174" s="8">
        <v>14</v>
      </c>
    </row>
    <row r="2175" spans="1:11">
      <c r="A2175" t="s">
        <v>4113</v>
      </c>
      <c r="B2175" s="15">
        <v>45815</v>
      </c>
      <c r="C2175" s="4">
        <v>45809</v>
      </c>
      <c r="D2175" t="s">
        <v>41</v>
      </c>
      <c r="E2175" t="s">
        <v>21</v>
      </c>
      <c r="F2175" t="s">
        <v>43</v>
      </c>
      <c r="G2175" t="s">
        <v>220</v>
      </c>
      <c r="H2175" t="s">
        <v>11</v>
      </c>
      <c r="I2175" t="s">
        <v>1935</v>
      </c>
      <c r="J2175" t="s">
        <v>1936</v>
      </c>
      <c r="K2175" s="8">
        <v>29</v>
      </c>
    </row>
    <row r="2176" spans="1:11">
      <c r="A2176" t="s">
        <v>4114</v>
      </c>
      <c r="B2176" s="15">
        <v>45824</v>
      </c>
      <c r="C2176" s="4">
        <v>45809</v>
      </c>
      <c r="D2176" t="s">
        <v>41</v>
      </c>
      <c r="E2176" t="s">
        <v>21</v>
      </c>
      <c r="F2176" t="s">
        <v>43</v>
      </c>
      <c r="G2176" t="s">
        <v>166</v>
      </c>
      <c r="H2176" t="s">
        <v>14</v>
      </c>
      <c r="I2176" t="s">
        <v>1935</v>
      </c>
      <c r="J2176" t="s">
        <v>1936</v>
      </c>
      <c r="K2176" s="8">
        <v>26</v>
      </c>
    </row>
    <row r="2177" spans="1:11">
      <c r="A2177" t="s">
        <v>4115</v>
      </c>
      <c r="B2177" s="15">
        <v>45831</v>
      </c>
      <c r="C2177" s="4">
        <v>45809</v>
      </c>
      <c r="D2177" t="s">
        <v>41</v>
      </c>
      <c r="E2177" t="s">
        <v>21</v>
      </c>
      <c r="F2177" t="s">
        <v>43</v>
      </c>
      <c r="G2177" t="s">
        <v>214</v>
      </c>
      <c r="H2177" t="s">
        <v>11</v>
      </c>
      <c r="I2177" t="s">
        <v>1935</v>
      </c>
      <c r="J2177" t="s">
        <v>1936</v>
      </c>
      <c r="K2177" s="8">
        <v>35</v>
      </c>
    </row>
    <row r="2178" spans="1:11">
      <c r="A2178" t="s">
        <v>4116</v>
      </c>
      <c r="B2178" s="15">
        <v>45835</v>
      </c>
      <c r="C2178" s="4">
        <v>45809</v>
      </c>
      <c r="D2178" t="s">
        <v>41</v>
      </c>
      <c r="E2178" t="s">
        <v>21</v>
      </c>
      <c r="F2178" t="s">
        <v>43</v>
      </c>
      <c r="G2178" t="s">
        <v>184</v>
      </c>
      <c r="H2178" t="s">
        <v>5</v>
      </c>
      <c r="I2178" t="s">
        <v>1935</v>
      </c>
      <c r="J2178" t="s">
        <v>1936</v>
      </c>
      <c r="K2178" s="8">
        <v>27</v>
      </c>
    </row>
    <row r="2179" spans="1:11">
      <c r="A2179" t="s">
        <v>4117</v>
      </c>
      <c r="B2179" s="15">
        <v>45831</v>
      </c>
      <c r="C2179" s="4">
        <v>45809</v>
      </c>
      <c r="D2179" t="s">
        <v>41</v>
      </c>
      <c r="E2179" t="s">
        <v>21</v>
      </c>
      <c r="F2179" t="s">
        <v>43</v>
      </c>
      <c r="G2179" t="s">
        <v>208</v>
      </c>
      <c r="H2179" t="s">
        <v>14</v>
      </c>
      <c r="I2179" t="s">
        <v>1935</v>
      </c>
      <c r="J2179" t="s">
        <v>1954</v>
      </c>
      <c r="K2179" s="8">
        <v>16</v>
      </c>
    </row>
    <row r="2180" spans="1:11">
      <c r="A2180" t="s">
        <v>4118</v>
      </c>
      <c r="B2180" s="15">
        <v>45811</v>
      </c>
      <c r="C2180" s="4">
        <v>45809</v>
      </c>
      <c r="D2180" t="s">
        <v>41</v>
      </c>
      <c r="E2180" t="s">
        <v>21</v>
      </c>
      <c r="F2180" t="s">
        <v>43</v>
      </c>
      <c r="G2180" t="s">
        <v>232</v>
      </c>
      <c r="H2180" t="s">
        <v>11</v>
      </c>
      <c r="I2180" t="s">
        <v>1935</v>
      </c>
      <c r="J2180" t="s">
        <v>1936</v>
      </c>
      <c r="K2180" s="8">
        <v>14</v>
      </c>
    </row>
    <row r="2181" spans="1:11">
      <c r="A2181" t="s">
        <v>4119</v>
      </c>
      <c r="B2181" s="15">
        <v>45812</v>
      </c>
      <c r="C2181" s="4">
        <v>45809</v>
      </c>
      <c r="D2181" t="s">
        <v>41</v>
      </c>
      <c r="E2181" t="s">
        <v>21</v>
      </c>
      <c r="F2181" t="s">
        <v>43</v>
      </c>
      <c r="G2181" t="s">
        <v>208</v>
      </c>
      <c r="H2181" t="s">
        <v>11</v>
      </c>
      <c r="I2181" t="s">
        <v>1935</v>
      </c>
      <c r="J2181" t="s">
        <v>1936</v>
      </c>
      <c r="K2181" s="8">
        <v>26</v>
      </c>
    </row>
    <row r="2182" spans="1:11">
      <c r="A2182" t="s">
        <v>4120</v>
      </c>
      <c r="B2182" s="15">
        <v>45809</v>
      </c>
      <c r="C2182" s="4">
        <v>45809</v>
      </c>
      <c r="D2182" t="s">
        <v>41</v>
      </c>
      <c r="E2182" t="s">
        <v>21</v>
      </c>
      <c r="F2182" t="s">
        <v>43</v>
      </c>
      <c r="G2182" t="s">
        <v>166</v>
      </c>
      <c r="H2182" t="s">
        <v>14</v>
      </c>
      <c r="I2182" t="s">
        <v>1935</v>
      </c>
      <c r="J2182" t="s">
        <v>1938</v>
      </c>
      <c r="K2182" s="8">
        <v>18</v>
      </c>
    </row>
    <row r="2183" spans="1:11">
      <c r="A2183" t="s">
        <v>4121</v>
      </c>
      <c r="B2183" s="15">
        <v>45834</v>
      </c>
      <c r="C2183" s="4">
        <v>45809</v>
      </c>
      <c r="D2183" t="s">
        <v>44</v>
      </c>
      <c r="E2183" t="s">
        <v>21</v>
      </c>
      <c r="F2183" t="s">
        <v>46</v>
      </c>
      <c r="G2183" t="s">
        <v>180</v>
      </c>
      <c r="H2183" t="s">
        <v>5</v>
      </c>
      <c r="I2183" t="s">
        <v>1935</v>
      </c>
      <c r="J2183" t="s">
        <v>1936</v>
      </c>
      <c r="K2183" s="8">
        <v>19</v>
      </c>
    </row>
    <row r="2184" spans="1:11">
      <c r="A2184" t="s">
        <v>4122</v>
      </c>
      <c r="B2184" s="15">
        <v>45836</v>
      </c>
      <c r="C2184" s="4">
        <v>45809</v>
      </c>
      <c r="D2184" t="s">
        <v>44</v>
      </c>
      <c r="E2184" t="s">
        <v>21</v>
      </c>
      <c r="F2184" t="s">
        <v>46</v>
      </c>
      <c r="G2184" t="s">
        <v>210</v>
      </c>
      <c r="H2184" t="s">
        <v>5</v>
      </c>
      <c r="I2184" t="s">
        <v>1935</v>
      </c>
      <c r="J2184" t="s">
        <v>1936</v>
      </c>
      <c r="K2184" s="8">
        <v>26</v>
      </c>
    </row>
    <row r="2185" spans="1:11">
      <c r="A2185" t="s">
        <v>4123</v>
      </c>
      <c r="B2185" s="15">
        <v>45837</v>
      </c>
      <c r="C2185" s="4">
        <v>45809</v>
      </c>
      <c r="D2185" t="s">
        <v>44</v>
      </c>
      <c r="E2185" t="s">
        <v>21</v>
      </c>
      <c r="F2185" t="s">
        <v>46</v>
      </c>
      <c r="G2185" t="s">
        <v>216</v>
      </c>
      <c r="H2185" t="s">
        <v>14</v>
      </c>
      <c r="I2185" t="s">
        <v>1935</v>
      </c>
      <c r="J2185" t="s">
        <v>1936</v>
      </c>
      <c r="K2185" s="8">
        <v>29</v>
      </c>
    </row>
    <row r="2186" spans="1:11">
      <c r="A2186" t="s">
        <v>4124</v>
      </c>
      <c r="B2186" s="15">
        <v>45826</v>
      </c>
      <c r="C2186" s="4">
        <v>45809</v>
      </c>
      <c r="D2186" t="s">
        <v>44</v>
      </c>
      <c r="E2186" t="s">
        <v>21</v>
      </c>
      <c r="F2186" t="s">
        <v>46</v>
      </c>
      <c r="G2186" t="s">
        <v>210</v>
      </c>
      <c r="H2186" t="s">
        <v>11</v>
      </c>
      <c r="I2186" t="s">
        <v>1935</v>
      </c>
      <c r="J2186" t="s">
        <v>1936</v>
      </c>
      <c r="K2186" s="8">
        <v>24</v>
      </c>
    </row>
    <row r="2187" spans="1:11">
      <c r="A2187" t="s">
        <v>4125</v>
      </c>
      <c r="B2187" s="15">
        <v>45812</v>
      </c>
      <c r="C2187" s="4">
        <v>45809</v>
      </c>
      <c r="D2187" t="s">
        <v>44</v>
      </c>
      <c r="E2187" t="s">
        <v>21</v>
      </c>
      <c r="F2187" t="s">
        <v>46</v>
      </c>
      <c r="G2187" t="s">
        <v>186</v>
      </c>
      <c r="H2187" t="s">
        <v>8</v>
      </c>
      <c r="I2187" t="s">
        <v>1935</v>
      </c>
      <c r="J2187" t="s">
        <v>1938</v>
      </c>
      <c r="K2187" s="8">
        <v>12</v>
      </c>
    </row>
    <row r="2188" spans="1:11">
      <c r="A2188" t="s">
        <v>4126</v>
      </c>
      <c r="B2188" s="15">
        <v>45816</v>
      </c>
      <c r="C2188" s="4">
        <v>45809</v>
      </c>
      <c r="D2188" t="s">
        <v>44</v>
      </c>
      <c r="E2188" t="s">
        <v>21</v>
      </c>
      <c r="F2188" t="s">
        <v>46</v>
      </c>
      <c r="G2188" t="s">
        <v>174</v>
      </c>
      <c r="H2188" t="s">
        <v>5</v>
      </c>
      <c r="I2188" t="s">
        <v>1935</v>
      </c>
      <c r="J2188" t="s">
        <v>1936</v>
      </c>
      <c r="K2188" s="8">
        <v>25</v>
      </c>
    </row>
    <row r="2189" spans="1:11">
      <c r="A2189" t="s">
        <v>4127</v>
      </c>
      <c r="B2189" s="15">
        <v>45832</v>
      </c>
      <c r="C2189" s="4">
        <v>45809</v>
      </c>
      <c r="D2189" t="s">
        <v>44</v>
      </c>
      <c r="E2189" t="s">
        <v>21</v>
      </c>
      <c r="F2189" t="s">
        <v>46</v>
      </c>
      <c r="G2189" t="s">
        <v>186</v>
      </c>
      <c r="H2189" t="s">
        <v>11</v>
      </c>
      <c r="I2189" t="s">
        <v>1935</v>
      </c>
      <c r="J2189" t="s">
        <v>1936</v>
      </c>
      <c r="K2189" s="8">
        <v>16</v>
      </c>
    </row>
    <row r="2190" spans="1:11">
      <c r="A2190" t="s">
        <v>4128</v>
      </c>
      <c r="B2190" s="15">
        <v>45813</v>
      </c>
      <c r="C2190" s="4">
        <v>45809</v>
      </c>
      <c r="D2190" t="s">
        <v>44</v>
      </c>
      <c r="E2190" t="s">
        <v>21</v>
      </c>
      <c r="F2190" t="s">
        <v>46</v>
      </c>
      <c r="G2190" t="s">
        <v>234</v>
      </c>
      <c r="H2190" t="s">
        <v>5</v>
      </c>
      <c r="I2190" t="s">
        <v>1935</v>
      </c>
      <c r="J2190" t="s">
        <v>1936</v>
      </c>
      <c r="K2190" s="8">
        <v>29</v>
      </c>
    </row>
    <row r="2191" spans="1:11">
      <c r="A2191" t="s">
        <v>4129</v>
      </c>
      <c r="B2191" s="15">
        <v>45810</v>
      </c>
      <c r="C2191" s="4">
        <v>45809</v>
      </c>
      <c r="D2191" t="s">
        <v>44</v>
      </c>
      <c r="E2191" t="s">
        <v>21</v>
      </c>
      <c r="F2191" t="s">
        <v>46</v>
      </c>
      <c r="G2191" t="s">
        <v>186</v>
      </c>
      <c r="H2191" t="s">
        <v>5</v>
      </c>
      <c r="I2191" t="s">
        <v>1942</v>
      </c>
      <c r="J2191" t="s">
        <v>1936</v>
      </c>
      <c r="K2191" s="8">
        <v>7</v>
      </c>
    </row>
    <row r="2192" spans="1:11">
      <c r="A2192" t="s">
        <v>4130</v>
      </c>
      <c r="B2192" s="15">
        <v>45833</v>
      </c>
      <c r="C2192" s="4">
        <v>45809</v>
      </c>
      <c r="D2192" t="s">
        <v>44</v>
      </c>
      <c r="E2192" t="s">
        <v>21</v>
      </c>
      <c r="F2192" t="s">
        <v>46</v>
      </c>
      <c r="G2192" t="s">
        <v>180</v>
      </c>
      <c r="H2192" t="s">
        <v>14</v>
      </c>
      <c r="I2192" t="s">
        <v>1935</v>
      </c>
      <c r="J2192" t="s">
        <v>1954</v>
      </c>
      <c r="K2192" s="8">
        <v>18</v>
      </c>
    </row>
    <row r="2193" spans="1:11">
      <c r="A2193" t="s">
        <v>4131</v>
      </c>
      <c r="B2193" s="15">
        <v>45821</v>
      </c>
      <c r="C2193" s="4">
        <v>45809</v>
      </c>
      <c r="D2193" t="s">
        <v>44</v>
      </c>
      <c r="E2193" t="s">
        <v>21</v>
      </c>
      <c r="F2193" t="s">
        <v>46</v>
      </c>
      <c r="G2193" t="s">
        <v>216</v>
      </c>
      <c r="H2193" t="s">
        <v>14</v>
      </c>
      <c r="I2193" t="s">
        <v>1935</v>
      </c>
      <c r="J2193" t="s">
        <v>1936</v>
      </c>
      <c r="K2193" s="8">
        <v>16</v>
      </c>
    </row>
    <row r="2194" spans="1:11">
      <c r="A2194" t="s">
        <v>4132</v>
      </c>
      <c r="B2194" s="15">
        <v>45831</v>
      </c>
      <c r="C2194" s="4">
        <v>45809</v>
      </c>
      <c r="D2194" t="s">
        <v>44</v>
      </c>
      <c r="E2194" t="s">
        <v>21</v>
      </c>
      <c r="F2194" t="s">
        <v>46</v>
      </c>
      <c r="G2194" t="s">
        <v>216</v>
      </c>
      <c r="H2194" t="s">
        <v>14</v>
      </c>
      <c r="I2194" t="s">
        <v>1935</v>
      </c>
      <c r="J2194" t="s">
        <v>1936</v>
      </c>
      <c r="K2194" s="8">
        <v>25</v>
      </c>
    </row>
    <row r="2195" spans="1:11">
      <c r="A2195" t="s">
        <v>4133</v>
      </c>
      <c r="B2195" s="15">
        <v>45834</v>
      </c>
      <c r="C2195" s="4">
        <v>45809</v>
      </c>
      <c r="D2195" t="s">
        <v>47</v>
      </c>
      <c r="E2195" t="s">
        <v>21</v>
      </c>
      <c r="F2195" t="s">
        <v>49</v>
      </c>
      <c r="G2195" t="s">
        <v>212</v>
      </c>
      <c r="H2195" t="s">
        <v>14</v>
      </c>
      <c r="I2195" t="s">
        <v>1935</v>
      </c>
      <c r="J2195" t="s">
        <v>1938</v>
      </c>
      <c r="K2195" s="8">
        <v>21</v>
      </c>
    </row>
    <row r="2196" spans="1:11">
      <c r="A2196" t="s">
        <v>4134</v>
      </c>
      <c r="B2196" s="15">
        <v>45836</v>
      </c>
      <c r="C2196" s="4">
        <v>45809</v>
      </c>
      <c r="D2196" t="s">
        <v>47</v>
      </c>
      <c r="E2196" t="s">
        <v>21</v>
      </c>
      <c r="F2196" t="s">
        <v>49</v>
      </c>
      <c r="G2196" t="s">
        <v>218</v>
      </c>
      <c r="H2196" t="s">
        <v>14</v>
      </c>
      <c r="I2196" t="s">
        <v>1942</v>
      </c>
      <c r="J2196" t="s">
        <v>1936</v>
      </c>
      <c r="K2196" s="8">
        <v>3</v>
      </c>
    </row>
    <row r="2197" spans="1:11">
      <c r="A2197" t="s">
        <v>4135</v>
      </c>
      <c r="B2197" s="15">
        <v>45817</v>
      </c>
      <c r="C2197" s="4">
        <v>45809</v>
      </c>
      <c r="D2197" t="s">
        <v>47</v>
      </c>
      <c r="E2197" t="s">
        <v>21</v>
      </c>
      <c r="F2197" t="s">
        <v>49</v>
      </c>
      <c r="G2197" t="s">
        <v>194</v>
      </c>
      <c r="H2197" t="s">
        <v>14</v>
      </c>
      <c r="I2197" t="s">
        <v>1935</v>
      </c>
      <c r="J2197" t="s">
        <v>1936</v>
      </c>
      <c r="K2197" s="8">
        <v>9</v>
      </c>
    </row>
    <row r="2198" spans="1:11">
      <c r="A2198" t="s">
        <v>4136</v>
      </c>
      <c r="B2198" s="15">
        <v>45838</v>
      </c>
      <c r="C2198" s="4">
        <v>45809</v>
      </c>
      <c r="D2198" t="s">
        <v>47</v>
      </c>
      <c r="E2198" t="s">
        <v>21</v>
      </c>
      <c r="F2198" t="s">
        <v>49</v>
      </c>
      <c r="G2198" t="s">
        <v>194</v>
      </c>
      <c r="H2198" t="s">
        <v>14</v>
      </c>
      <c r="I2198" t="s">
        <v>1935</v>
      </c>
      <c r="J2198" t="s">
        <v>1954</v>
      </c>
      <c r="K2198" s="8">
        <v>32</v>
      </c>
    </row>
    <row r="2199" spans="1:11">
      <c r="A2199" t="s">
        <v>4137</v>
      </c>
      <c r="B2199" s="15">
        <v>45826</v>
      </c>
      <c r="C2199" s="4">
        <v>45809</v>
      </c>
      <c r="D2199" t="s">
        <v>47</v>
      </c>
      <c r="E2199" t="s">
        <v>21</v>
      </c>
      <c r="F2199" t="s">
        <v>49</v>
      </c>
      <c r="G2199" t="s">
        <v>176</v>
      </c>
      <c r="H2199" t="s">
        <v>8</v>
      </c>
      <c r="I2199" t="s">
        <v>1935</v>
      </c>
      <c r="J2199" t="s">
        <v>1936</v>
      </c>
      <c r="K2199" s="8">
        <v>30</v>
      </c>
    </row>
    <row r="2200" spans="1:11">
      <c r="A2200" t="s">
        <v>4138</v>
      </c>
      <c r="B2200" s="15">
        <v>45814</v>
      </c>
      <c r="C2200" s="4">
        <v>45809</v>
      </c>
      <c r="D2200" t="s">
        <v>47</v>
      </c>
      <c r="E2200" t="s">
        <v>21</v>
      </c>
      <c r="F2200" t="s">
        <v>49</v>
      </c>
      <c r="G2200" t="s">
        <v>218</v>
      </c>
      <c r="H2200" t="s">
        <v>14</v>
      </c>
      <c r="I2200" t="s">
        <v>1935</v>
      </c>
      <c r="J2200" t="s">
        <v>1936</v>
      </c>
      <c r="K2200" s="8">
        <v>33</v>
      </c>
    </row>
    <row r="2201" spans="1:11">
      <c r="A2201" t="s">
        <v>4139</v>
      </c>
      <c r="B2201" s="15">
        <v>45810</v>
      </c>
      <c r="C2201" s="4">
        <v>45809</v>
      </c>
      <c r="D2201" t="s">
        <v>47</v>
      </c>
      <c r="E2201" t="s">
        <v>21</v>
      </c>
      <c r="F2201" t="s">
        <v>49</v>
      </c>
      <c r="G2201" t="s">
        <v>218</v>
      </c>
      <c r="H2201" t="s">
        <v>14</v>
      </c>
      <c r="I2201" t="s">
        <v>1935</v>
      </c>
      <c r="J2201" t="s">
        <v>1936</v>
      </c>
      <c r="K2201" s="8">
        <v>20</v>
      </c>
    </row>
    <row r="2202" spans="1:11">
      <c r="A2202" t="s">
        <v>4140</v>
      </c>
      <c r="B2202" s="15">
        <v>45833</v>
      </c>
      <c r="C2202" s="4">
        <v>45809</v>
      </c>
      <c r="D2202" t="s">
        <v>47</v>
      </c>
      <c r="E2202" t="s">
        <v>21</v>
      </c>
      <c r="F2202" t="s">
        <v>49</v>
      </c>
      <c r="G2202" t="s">
        <v>218</v>
      </c>
      <c r="H2202" t="s">
        <v>14</v>
      </c>
      <c r="I2202" t="s">
        <v>1935</v>
      </c>
      <c r="J2202" t="s">
        <v>1954</v>
      </c>
      <c r="K2202" s="8">
        <v>25</v>
      </c>
    </row>
    <row r="2203" spans="1:11">
      <c r="A2203" t="s">
        <v>4141</v>
      </c>
      <c r="B2203" s="15">
        <v>45833</v>
      </c>
      <c r="C2203" s="4">
        <v>45809</v>
      </c>
      <c r="D2203" t="s">
        <v>47</v>
      </c>
      <c r="E2203" t="s">
        <v>21</v>
      </c>
      <c r="F2203" t="s">
        <v>49</v>
      </c>
      <c r="G2203" t="s">
        <v>230</v>
      </c>
      <c r="H2203" t="s">
        <v>14</v>
      </c>
      <c r="I2203" t="s">
        <v>1935</v>
      </c>
      <c r="J2203" t="s">
        <v>1936</v>
      </c>
      <c r="K2203" s="8">
        <v>33</v>
      </c>
    </row>
    <row r="2204" spans="1:11">
      <c r="A2204" t="s">
        <v>4142</v>
      </c>
      <c r="B2204" s="15">
        <v>45835</v>
      </c>
      <c r="C2204" s="4">
        <v>45809</v>
      </c>
      <c r="D2204" t="s">
        <v>47</v>
      </c>
      <c r="E2204" t="s">
        <v>21</v>
      </c>
      <c r="F2204" t="s">
        <v>49</v>
      </c>
      <c r="G2204" t="s">
        <v>230</v>
      </c>
      <c r="H2204" t="s">
        <v>5</v>
      </c>
      <c r="I2204" t="s">
        <v>1935</v>
      </c>
      <c r="J2204" t="s">
        <v>1936</v>
      </c>
      <c r="K2204" s="8">
        <v>26</v>
      </c>
    </row>
    <row r="2205" spans="1:11">
      <c r="A2205" t="s">
        <v>4143</v>
      </c>
      <c r="B2205" s="15">
        <v>45826</v>
      </c>
      <c r="C2205" s="4">
        <v>45809</v>
      </c>
      <c r="D2205" t="s">
        <v>50</v>
      </c>
      <c r="E2205" t="s">
        <v>23</v>
      </c>
      <c r="F2205" t="s">
        <v>52</v>
      </c>
      <c r="G2205" t="s">
        <v>298</v>
      </c>
      <c r="H2205" t="s">
        <v>5</v>
      </c>
      <c r="I2205" t="s">
        <v>1935</v>
      </c>
      <c r="J2205" t="s">
        <v>1936</v>
      </c>
      <c r="K2205" s="8">
        <v>14</v>
      </c>
    </row>
    <row r="2206" spans="1:11">
      <c r="A2206" t="s">
        <v>4144</v>
      </c>
      <c r="B2206" s="15">
        <v>45816</v>
      </c>
      <c r="C2206" s="4">
        <v>45809</v>
      </c>
      <c r="D2206" t="s">
        <v>50</v>
      </c>
      <c r="E2206" t="s">
        <v>23</v>
      </c>
      <c r="F2206" t="s">
        <v>52</v>
      </c>
      <c r="G2206" t="s">
        <v>274</v>
      </c>
      <c r="H2206" t="s">
        <v>5</v>
      </c>
      <c r="I2206" t="s">
        <v>1935</v>
      </c>
      <c r="J2206" t="s">
        <v>1954</v>
      </c>
      <c r="K2206" s="8">
        <v>34</v>
      </c>
    </row>
    <row r="2207" spans="1:11">
      <c r="A2207" t="s">
        <v>4145</v>
      </c>
      <c r="B2207" s="15">
        <v>45830</v>
      </c>
      <c r="C2207" s="4">
        <v>45809</v>
      </c>
      <c r="D2207" t="s">
        <v>50</v>
      </c>
      <c r="E2207" t="s">
        <v>23</v>
      </c>
      <c r="F2207" t="s">
        <v>52</v>
      </c>
      <c r="G2207" t="s">
        <v>298</v>
      </c>
      <c r="H2207" t="s">
        <v>5</v>
      </c>
      <c r="I2207" t="s">
        <v>1935</v>
      </c>
      <c r="J2207" t="s">
        <v>1936</v>
      </c>
      <c r="K2207" s="8">
        <v>10</v>
      </c>
    </row>
    <row r="2208" spans="1:11">
      <c r="A2208" t="s">
        <v>4146</v>
      </c>
      <c r="B2208" s="15">
        <v>45812</v>
      </c>
      <c r="C2208" s="4">
        <v>45809</v>
      </c>
      <c r="D2208" t="s">
        <v>50</v>
      </c>
      <c r="E2208" t="s">
        <v>23</v>
      </c>
      <c r="F2208" t="s">
        <v>52</v>
      </c>
      <c r="G2208" t="s">
        <v>268</v>
      </c>
      <c r="H2208" t="s">
        <v>5</v>
      </c>
      <c r="I2208" t="s">
        <v>1935</v>
      </c>
      <c r="J2208" t="s">
        <v>1936</v>
      </c>
      <c r="K2208" s="8">
        <v>13</v>
      </c>
    </row>
    <row r="2209" spans="1:11">
      <c r="A2209" t="s">
        <v>4147</v>
      </c>
      <c r="B2209" s="15">
        <v>45831</v>
      </c>
      <c r="C2209" s="4">
        <v>45809</v>
      </c>
      <c r="D2209" t="s">
        <v>50</v>
      </c>
      <c r="E2209" t="s">
        <v>23</v>
      </c>
      <c r="F2209" t="s">
        <v>52</v>
      </c>
      <c r="G2209" t="s">
        <v>298</v>
      </c>
      <c r="H2209" t="s">
        <v>5</v>
      </c>
      <c r="I2209" t="s">
        <v>1935</v>
      </c>
      <c r="J2209" t="s">
        <v>1936</v>
      </c>
      <c r="K2209" s="8">
        <v>17</v>
      </c>
    </row>
    <row r="2210" spans="1:11">
      <c r="A2210" t="s">
        <v>4148</v>
      </c>
      <c r="B2210" s="15">
        <v>45827</v>
      </c>
      <c r="C2210" s="4">
        <v>45809</v>
      </c>
      <c r="D2210" t="s">
        <v>50</v>
      </c>
      <c r="E2210" t="s">
        <v>23</v>
      </c>
      <c r="F2210" t="s">
        <v>52</v>
      </c>
      <c r="G2210" t="s">
        <v>268</v>
      </c>
      <c r="H2210" t="s">
        <v>11</v>
      </c>
      <c r="I2210" t="s">
        <v>1935</v>
      </c>
      <c r="J2210" t="s">
        <v>1936</v>
      </c>
      <c r="K2210" s="8">
        <v>14</v>
      </c>
    </row>
    <row r="2211" spans="1:11">
      <c r="A2211" t="s">
        <v>4149</v>
      </c>
      <c r="B2211" s="15">
        <v>45820</v>
      </c>
      <c r="C2211" s="4">
        <v>45809</v>
      </c>
      <c r="D2211" t="s">
        <v>50</v>
      </c>
      <c r="E2211" t="s">
        <v>23</v>
      </c>
      <c r="F2211" t="s">
        <v>52</v>
      </c>
      <c r="G2211" t="s">
        <v>238</v>
      </c>
      <c r="H2211" t="s">
        <v>8</v>
      </c>
      <c r="I2211" t="s">
        <v>1935</v>
      </c>
      <c r="J2211" t="s">
        <v>1954</v>
      </c>
      <c r="K2211" s="8">
        <v>23</v>
      </c>
    </row>
    <row r="2212" spans="1:11">
      <c r="A2212" t="s">
        <v>4150</v>
      </c>
      <c r="B2212" s="15">
        <v>45837</v>
      </c>
      <c r="C2212" s="4">
        <v>45809</v>
      </c>
      <c r="D2212" t="s">
        <v>50</v>
      </c>
      <c r="E2212" t="s">
        <v>23</v>
      </c>
      <c r="F2212" t="s">
        <v>52</v>
      </c>
      <c r="G2212" t="s">
        <v>238</v>
      </c>
      <c r="H2212" t="s">
        <v>8</v>
      </c>
      <c r="I2212" t="s">
        <v>1935</v>
      </c>
      <c r="J2212" t="s">
        <v>1938</v>
      </c>
      <c r="K2212" s="8">
        <v>22</v>
      </c>
    </row>
    <row r="2213" spans="1:11">
      <c r="A2213" t="s">
        <v>4151</v>
      </c>
      <c r="B2213" s="15">
        <v>45811</v>
      </c>
      <c r="C2213" s="4">
        <v>45809</v>
      </c>
      <c r="D2213" t="s">
        <v>50</v>
      </c>
      <c r="E2213" t="s">
        <v>23</v>
      </c>
      <c r="F2213" t="s">
        <v>52</v>
      </c>
      <c r="G2213" t="s">
        <v>280</v>
      </c>
      <c r="H2213" t="s">
        <v>11</v>
      </c>
      <c r="I2213" t="s">
        <v>1935</v>
      </c>
      <c r="J2213" t="s">
        <v>1936</v>
      </c>
      <c r="K2213" s="8">
        <v>24</v>
      </c>
    </row>
    <row r="2214" spans="1:11">
      <c r="A2214" t="s">
        <v>4152</v>
      </c>
      <c r="B2214" s="15">
        <v>45830</v>
      </c>
      <c r="C2214" s="4">
        <v>45809</v>
      </c>
      <c r="D2214" t="s">
        <v>53</v>
      </c>
      <c r="E2214" t="s">
        <v>23</v>
      </c>
      <c r="F2214" t="s">
        <v>55</v>
      </c>
      <c r="G2214" t="s">
        <v>294</v>
      </c>
      <c r="H2214" t="s">
        <v>8</v>
      </c>
      <c r="I2214" t="s">
        <v>1935</v>
      </c>
      <c r="J2214" t="s">
        <v>1936</v>
      </c>
      <c r="K2214" s="8">
        <v>11</v>
      </c>
    </row>
    <row r="2215" spans="1:11">
      <c r="A2215" t="s">
        <v>4153</v>
      </c>
      <c r="B2215" s="15">
        <v>45809</v>
      </c>
      <c r="C2215" s="4">
        <v>45809</v>
      </c>
      <c r="D2215" t="s">
        <v>53</v>
      </c>
      <c r="E2215" t="s">
        <v>23</v>
      </c>
      <c r="F2215" t="s">
        <v>55</v>
      </c>
      <c r="G2215" t="s">
        <v>306</v>
      </c>
      <c r="H2215" t="s">
        <v>8</v>
      </c>
      <c r="I2215" t="s">
        <v>1935</v>
      </c>
      <c r="J2215" t="s">
        <v>1954</v>
      </c>
      <c r="K2215" s="8">
        <v>32</v>
      </c>
    </row>
    <row r="2216" spans="1:11">
      <c r="A2216" t="s">
        <v>4154</v>
      </c>
      <c r="B2216" s="15">
        <v>45824</v>
      </c>
      <c r="C2216" s="4">
        <v>45809</v>
      </c>
      <c r="D2216" t="s">
        <v>53</v>
      </c>
      <c r="E2216" t="s">
        <v>23</v>
      </c>
      <c r="F2216" t="s">
        <v>55</v>
      </c>
      <c r="G2216" t="s">
        <v>306</v>
      </c>
      <c r="H2216" t="s">
        <v>5</v>
      </c>
      <c r="I2216" t="s">
        <v>1935</v>
      </c>
      <c r="J2216" t="s">
        <v>1954</v>
      </c>
      <c r="K2216" s="8">
        <v>34</v>
      </c>
    </row>
    <row r="2217" spans="1:11">
      <c r="A2217" t="s">
        <v>4155</v>
      </c>
      <c r="B2217" s="15">
        <v>45810</v>
      </c>
      <c r="C2217" s="4">
        <v>45809</v>
      </c>
      <c r="D2217" t="s">
        <v>53</v>
      </c>
      <c r="E2217" t="s">
        <v>23</v>
      </c>
      <c r="F2217" t="s">
        <v>55</v>
      </c>
      <c r="G2217" t="s">
        <v>288</v>
      </c>
      <c r="H2217" t="s">
        <v>8</v>
      </c>
      <c r="I2217" t="s">
        <v>1935</v>
      </c>
      <c r="J2217" t="s">
        <v>1936</v>
      </c>
      <c r="K2217" s="8">
        <v>26</v>
      </c>
    </row>
    <row r="2218" spans="1:11">
      <c r="A2218" t="s">
        <v>4156</v>
      </c>
      <c r="B2218" s="15">
        <v>45838</v>
      </c>
      <c r="C2218" s="4">
        <v>45809</v>
      </c>
      <c r="D2218" t="s">
        <v>53</v>
      </c>
      <c r="E2218" t="s">
        <v>23</v>
      </c>
      <c r="F2218" t="s">
        <v>55</v>
      </c>
      <c r="G2218" t="s">
        <v>240</v>
      </c>
      <c r="H2218" t="s">
        <v>14</v>
      </c>
      <c r="I2218" t="s">
        <v>1935</v>
      </c>
      <c r="J2218" t="s">
        <v>1936</v>
      </c>
      <c r="K2218" s="8">
        <v>20</v>
      </c>
    </row>
    <row r="2219" spans="1:11">
      <c r="A2219" t="s">
        <v>4157</v>
      </c>
      <c r="B2219" s="15">
        <v>45827</v>
      </c>
      <c r="C2219" s="4">
        <v>45809</v>
      </c>
      <c r="D2219" t="s">
        <v>53</v>
      </c>
      <c r="E2219" t="s">
        <v>23</v>
      </c>
      <c r="F2219" t="s">
        <v>55</v>
      </c>
      <c r="G2219" t="s">
        <v>312</v>
      </c>
      <c r="H2219" t="s">
        <v>5</v>
      </c>
      <c r="I2219" t="s">
        <v>1935</v>
      </c>
      <c r="J2219" t="s">
        <v>1938</v>
      </c>
      <c r="K2219" s="8">
        <v>10</v>
      </c>
    </row>
    <row r="2220" spans="1:11">
      <c r="A2220" t="s">
        <v>4158</v>
      </c>
      <c r="B2220" s="15">
        <v>45817</v>
      </c>
      <c r="C2220" s="4">
        <v>45809</v>
      </c>
      <c r="D2220" t="s">
        <v>53</v>
      </c>
      <c r="E2220" t="s">
        <v>23</v>
      </c>
      <c r="F2220" t="s">
        <v>55</v>
      </c>
      <c r="G2220" t="s">
        <v>240</v>
      </c>
      <c r="H2220" t="s">
        <v>14</v>
      </c>
      <c r="I2220" t="s">
        <v>1935</v>
      </c>
      <c r="J2220" t="s">
        <v>1936</v>
      </c>
      <c r="K2220" s="8">
        <v>8</v>
      </c>
    </row>
    <row r="2221" spans="1:11">
      <c r="A2221" t="s">
        <v>4159</v>
      </c>
      <c r="B2221" s="15">
        <v>45825</v>
      </c>
      <c r="C2221" s="4">
        <v>45809</v>
      </c>
      <c r="D2221" t="s">
        <v>53</v>
      </c>
      <c r="E2221" t="s">
        <v>23</v>
      </c>
      <c r="F2221" t="s">
        <v>55</v>
      </c>
      <c r="G2221" t="s">
        <v>264</v>
      </c>
      <c r="H2221" t="s">
        <v>14</v>
      </c>
      <c r="I2221" t="s">
        <v>1935</v>
      </c>
      <c r="J2221" t="s">
        <v>1936</v>
      </c>
      <c r="K2221" s="8">
        <v>31</v>
      </c>
    </row>
    <row r="2222" spans="1:11">
      <c r="A2222" t="s">
        <v>4160</v>
      </c>
      <c r="B2222" s="15">
        <v>45821</v>
      </c>
      <c r="C2222" s="4">
        <v>45809</v>
      </c>
      <c r="D2222" t="s">
        <v>53</v>
      </c>
      <c r="E2222" t="s">
        <v>23</v>
      </c>
      <c r="F2222" t="s">
        <v>55</v>
      </c>
      <c r="G2222" t="s">
        <v>240</v>
      </c>
      <c r="H2222" t="s">
        <v>14</v>
      </c>
      <c r="I2222" t="s">
        <v>1935</v>
      </c>
      <c r="J2222" t="s">
        <v>1936</v>
      </c>
      <c r="K2222" s="8">
        <v>26</v>
      </c>
    </row>
    <row r="2223" spans="1:11">
      <c r="A2223" t="s">
        <v>4161</v>
      </c>
      <c r="B2223" s="15">
        <v>45811</v>
      </c>
      <c r="C2223" s="4">
        <v>45809</v>
      </c>
      <c r="D2223" t="s">
        <v>53</v>
      </c>
      <c r="E2223" t="s">
        <v>23</v>
      </c>
      <c r="F2223" t="s">
        <v>55</v>
      </c>
      <c r="G2223" t="s">
        <v>246</v>
      </c>
      <c r="H2223" t="s">
        <v>14</v>
      </c>
      <c r="I2223" t="s">
        <v>1935</v>
      </c>
      <c r="J2223" t="s">
        <v>1938</v>
      </c>
      <c r="K2223" s="8">
        <v>10</v>
      </c>
    </row>
    <row r="2224" spans="1:11">
      <c r="A2224" t="s">
        <v>4162</v>
      </c>
      <c r="B2224" s="15">
        <v>45823</v>
      </c>
      <c r="C2224" s="4">
        <v>45809</v>
      </c>
      <c r="D2224" t="s">
        <v>53</v>
      </c>
      <c r="E2224" t="s">
        <v>23</v>
      </c>
      <c r="F2224" t="s">
        <v>55</v>
      </c>
      <c r="G2224" t="s">
        <v>276</v>
      </c>
      <c r="H2224" t="s">
        <v>11</v>
      </c>
      <c r="I2224" t="s">
        <v>1935</v>
      </c>
      <c r="J2224" t="s">
        <v>1936</v>
      </c>
      <c r="K2224" s="8">
        <v>8</v>
      </c>
    </row>
    <row r="2225" spans="1:11">
      <c r="A2225" t="s">
        <v>4163</v>
      </c>
      <c r="B2225" s="15">
        <v>45822</v>
      </c>
      <c r="C2225" s="4">
        <v>45809</v>
      </c>
      <c r="D2225" t="s">
        <v>56</v>
      </c>
      <c r="E2225" t="s">
        <v>23</v>
      </c>
      <c r="F2225" t="s">
        <v>58</v>
      </c>
      <c r="G2225" t="s">
        <v>266</v>
      </c>
      <c r="H2225" t="s">
        <v>8</v>
      </c>
      <c r="I2225" t="s">
        <v>1935</v>
      </c>
      <c r="J2225" t="s">
        <v>1936</v>
      </c>
      <c r="K2225" s="8">
        <v>13</v>
      </c>
    </row>
    <row r="2226" spans="1:11">
      <c r="A2226" t="s">
        <v>4164</v>
      </c>
      <c r="B2226" s="15">
        <v>45821</v>
      </c>
      <c r="C2226" s="4">
        <v>45809</v>
      </c>
      <c r="D2226" t="s">
        <v>56</v>
      </c>
      <c r="E2226" t="s">
        <v>23</v>
      </c>
      <c r="F2226" t="s">
        <v>58</v>
      </c>
      <c r="G2226" t="s">
        <v>302</v>
      </c>
      <c r="H2226" t="s">
        <v>5</v>
      </c>
      <c r="I2226" t="s">
        <v>1935</v>
      </c>
      <c r="J2226" t="s">
        <v>1938</v>
      </c>
      <c r="K2226" s="8">
        <v>31</v>
      </c>
    </row>
    <row r="2227" spans="1:11">
      <c r="A2227" t="s">
        <v>4165</v>
      </c>
      <c r="B2227" s="15">
        <v>45828</v>
      </c>
      <c r="C2227" s="4">
        <v>45809</v>
      </c>
      <c r="D2227" t="s">
        <v>56</v>
      </c>
      <c r="E2227" t="s">
        <v>23</v>
      </c>
      <c r="F2227" t="s">
        <v>58</v>
      </c>
      <c r="G2227" t="s">
        <v>302</v>
      </c>
      <c r="H2227" t="s">
        <v>5</v>
      </c>
      <c r="I2227" t="s">
        <v>1935</v>
      </c>
      <c r="J2227" t="s">
        <v>1936</v>
      </c>
      <c r="K2227" s="8">
        <v>30</v>
      </c>
    </row>
    <row r="2228" spans="1:11">
      <c r="A2228" t="s">
        <v>4166</v>
      </c>
      <c r="B2228" s="15">
        <v>45837</v>
      </c>
      <c r="C2228" s="4">
        <v>45809</v>
      </c>
      <c r="D2228" t="s">
        <v>56</v>
      </c>
      <c r="E2228" t="s">
        <v>23</v>
      </c>
      <c r="F2228" t="s">
        <v>58</v>
      </c>
      <c r="G2228" t="s">
        <v>260</v>
      </c>
      <c r="H2228" t="s">
        <v>14</v>
      </c>
      <c r="I2228" t="s">
        <v>1935</v>
      </c>
      <c r="J2228" t="s">
        <v>1936</v>
      </c>
      <c r="K2228" s="8">
        <v>34</v>
      </c>
    </row>
    <row r="2229" spans="1:11">
      <c r="A2229" t="s">
        <v>4167</v>
      </c>
      <c r="B2229" s="15">
        <v>45831</v>
      </c>
      <c r="C2229" s="4">
        <v>45809</v>
      </c>
      <c r="D2229" t="s">
        <v>56</v>
      </c>
      <c r="E2229" t="s">
        <v>23</v>
      </c>
      <c r="F2229" t="s">
        <v>58</v>
      </c>
      <c r="G2229" t="s">
        <v>260</v>
      </c>
      <c r="H2229" t="s">
        <v>11</v>
      </c>
      <c r="I2229" t="s">
        <v>1935</v>
      </c>
      <c r="J2229" t="s">
        <v>1938</v>
      </c>
      <c r="K2229" s="8">
        <v>35</v>
      </c>
    </row>
    <row r="2230" spans="1:11">
      <c r="A2230" t="s">
        <v>4168</v>
      </c>
      <c r="B2230" s="15">
        <v>45811</v>
      </c>
      <c r="C2230" s="4">
        <v>45809</v>
      </c>
      <c r="D2230" t="s">
        <v>56</v>
      </c>
      <c r="E2230" t="s">
        <v>23</v>
      </c>
      <c r="F2230" t="s">
        <v>58</v>
      </c>
      <c r="G2230" t="s">
        <v>260</v>
      </c>
      <c r="H2230" t="s">
        <v>5</v>
      </c>
      <c r="I2230" t="s">
        <v>1935</v>
      </c>
      <c r="J2230" t="s">
        <v>1936</v>
      </c>
      <c r="K2230" s="8">
        <v>34</v>
      </c>
    </row>
    <row r="2231" spans="1:11">
      <c r="A2231" t="s">
        <v>4169</v>
      </c>
      <c r="B2231" s="15">
        <v>45821</v>
      </c>
      <c r="C2231" s="4">
        <v>45809</v>
      </c>
      <c r="D2231" t="s">
        <v>56</v>
      </c>
      <c r="E2231" t="s">
        <v>23</v>
      </c>
      <c r="F2231" t="s">
        <v>58</v>
      </c>
      <c r="G2231" t="s">
        <v>296</v>
      </c>
      <c r="H2231" t="s">
        <v>5</v>
      </c>
      <c r="I2231" t="s">
        <v>1935</v>
      </c>
      <c r="J2231" t="s">
        <v>1936</v>
      </c>
      <c r="K2231" s="8">
        <v>24</v>
      </c>
    </row>
    <row r="2232" spans="1:11">
      <c r="A2232" t="s">
        <v>4170</v>
      </c>
      <c r="B2232" s="15">
        <v>45831</v>
      </c>
      <c r="C2232" s="4">
        <v>45809</v>
      </c>
      <c r="D2232" t="s">
        <v>56</v>
      </c>
      <c r="E2232" t="s">
        <v>23</v>
      </c>
      <c r="F2232" t="s">
        <v>58</v>
      </c>
      <c r="G2232" t="s">
        <v>242</v>
      </c>
      <c r="H2232" t="s">
        <v>5</v>
      </c>
      <c r="I2232" t="s">
        <v>1935</v>
      </c>
      <c r="J2232" t="s">
        <v>1936</v>
      </c>
      <c r="K2232" s="8">
        <v>22</v>
      </c>
    </row>
    <row r="2233" spans="1:11">
      <c r="A2233" t="s">
        <v>4171</v>
      </c>
      <c r="B2233" s="15">
        <v>45824</v>
      </c>
      <c r="C2233" s="4">
        <v>45809</v>
      </c>
      <c r="D2233" t="s">
        <v>56</v>
      </c>
      <c r="E2233" t="s">
        <v>23</v>
      </c>
      <c r="F2233" t="s">
        <v>58</v>
      </c>
      <c r="G2233" t="s">
        <v>254</v>
      </c>
      <c r="H2233" t="s">
        <v>5</v>
      </c>
      <c r="I2233" t="s">
        <v>1935</v>
      </c>
      <c r="J2233" t="s">
        <v>1936</v>
      </c>
      <c r="K2233" s="8">
        <v>35</v>
      </c>
    </row>
    <row r="2234" spans="1:11">
      <c r="A2234" t="s">
        <v>4172</v>
      </c>
      <c r="B2234" s="15">
        <v>45833</v>
      </c>
      <c r="C2234" s="4">
        <v>45809</v>
      </c>
      <c r="D2234" t="s">
        <v>56</v>
      </c>
      <c r="E2234" t="s">
        <v>23</v>
      </c>
      <c r="F2234" t="s">
        <v>58</v>
      </c>
      <c r="G2234" t="s">
        <v>260</v>
      </c>
      <c r="H2234" t="s">
        <v>14</v>
      </c>
      <c r="I2234" t="s">
        <v>1935</v>
      </c>
      <c r="J2234" t="s">
        <v>1936</v>
      </c>
      <c r="K2234" s="8">
        <v>15</v>
      </c>
    </row>
    <row r="2235" spans="1:11">
      <c r="A2235" t="s">
        <v>4173</v>
      </c>
      <c r="B2235" s="15">
        <v>45833</v>
      </c>
      <c r="C2235" s="4">
        <v>45809</v>
      </c>
      <c r="D2235" t="s">
        <v>56</v>
      </c>
      <c r="E2235" t="s">
        <v>23</v>
      </c>
      <c r="F2235" t="s">
        <v>58</v>
      </c>
      <c r="G2235" t="s">
        <v>242</v>
      </c>
      <c r="H2235" t="s">
        <v>5</v>
      </c>
      <c r="I2235" t="s">
        <v>1935</v>
      </c>
      <c r="J2235" t="s">
        <v>1938</v>
      </c>
      <c r="K2235" s="8">
        <v>18</v>
      </c>
    </row>
    <row r="2236" spans="1:11">
      <c r="A2236" t="s">
        <v>4174</v>
      </c>
      <c r="B2236" s="15">
        <v>45823</v>
      </c>
      <c r="C2236" s="4">
        <v>45809</v>
      </c>
      <c r="D2236" t="s">
        <v>59</v>
      </c>
      <c r="E2236" t="s">
        <v>25</v>
      </c>
      <c r="F2236" t="s">
        <v>61</v>
      </c>
      <c r="G2236" t="s">
        <v>326</v>
      </c>
      <c r="H2236" t="s">
        <v>8</v>
      </c>
      <c r="I2236" t="s">
        <v>1935</v>
      </c>
      <c r="J2236" t="s">
        <v>1936</v>
      </c>
      <c r="K2236" s="8">
        <v>27</v>
      </c>
    </row>
    <row r="2237" spans="1:11">
      <c r="A2237" t="s">
        <v>4175</v>
      </c>
      <c r="B2237" s="15">
        <v>45837</v>
      </c>
      <c r="C2237" s="4">
        <v>45809</v>
      </c>
      <c r="D2237" t="s">
        <v>59</v>
      </c>
      <c r="E2237" t="s">
        <v>25</v>
      </c>
      <c r="F2237" t="s">
        <v>61</v>
      </c>
      <c r="G2237" t="s">
        <v>338</v>
      </c>
      <c r="H2237" t="s">
        <v>14</v>
      </c>
      <c r="I2237" t="s">
        <v>1935</v>
      </c>
      <c r="J2237" t="s">
        <v>1936</v>
      </c>
      <c r="K2237" s="8">
        <v>11</v>
      </c>
    </row>
    <row r="2238" spans="1:11">
      <c r="A2238" t="s">
        <v>4176</v>
      </c>
      <c r="B2238" s="15">
        <v>45819</v>
      </c>
      <c r="C2238" s="4">
        <v>45809</v>
      </c>
      <c r="D2238" t="s">
        <v>59</v>
      </c>
      <c r="E2238" t="s">
        <v>25</v>
      </c>
      <c r="F2238" t="s">
        <v>61</v>
      </c>
      <c r="G2238" t="s">
        <v>368</v>
      </c>
      <c r="H2238" t="s">
        <v>14</v>
      </c>
      <c r="I2238" t="s">
        <v>1935</v>
      </c>
      <c r="J2238" t="s">
        <v>1954</v>
      </c>
      <c r="K2238" s="8">
        <v>29</v>
      </c>
    </row>
    <row r="2239" spans="1:11">
      <c r="A2239" t="s">
        <v>4177</v>
      </c>
      <c r="B2239" s="15">
        <v>45823</v>
      </c>
      <c r="C2239" s="4">
        <v>45809</v>
      </c>
      <c r="D2239" t="s">
        <v>59</v>
      </c>
      <c r="E2239" t="s">
        <v>25</v>
      </c>
      <c r="F2239" t="s">
        <v>61</v>
      </c>
      <c r="G2239" t="s">
        <v>332</v>
      </c>
      <c r="H2239" t="s">
        <v>14</v>
      </c>
      <c r="I2239" t="s">
        <v>1935</v>
      </c>
      <c r="J2239" t="s">
        <v>1938</v>
      </c>
      <c r="K2239" s="8">
        <v>33</v>
      </c>
    </row>
    <row r="2240" spans="1:11">
      <c r="A2240" t="s">
        <v>4178</v>
      </c>
      <c r="B2240" s="15">
        <v>45824</v>
      </c>
      <c r="C2240" s="4">
        <v>45809</v>
      </c>
      <c r="D2240" t="s">
        <v>59</v>
      </c>
      <c r="E2240" t="s">
        <v>25</v>
      </c>
      <c r="F2240" t="s">
        <v>61</v>
      </c>
      <c r="G2240" t="s">
        <v>368</v>
      </c>
      <c r="H2240" t="s">
        <v>14</v>
      </c>
      <c r="I2240" t="s">
        <v>1935</v>
      </c>
      <c r="J2240" t="s">
        <v>1936</v>
      </c>
      <c r="K2240" s="8">
        <v>29</v>
      </c>
    </row>
    <row r="2241" spans="1:11">
      <c r="A2241" t="s">
        <v>4179</v>
      </c>
      <c r="B2241" s="15">
        <v>45819</v>
      </c>
      <c r="C2241" s="4">
        <v>45809</v>
      </c>
      <c r="D2241" t="s">
        <v>59</v>
      </c>
      <c r="E2241" t="s">
        <v>25</v>
      </c>
      <c r="F2241" t="s">
        <v>61</v>
      </c>
      <c r="G2241" t="s">
        <v>338</v>
      </c>
      <c r="H2241" t="s">
        <v>14</v>
      </c>
      <c r="I2241" t="s">
        <v>1935</v>
      </c>
      <c r="J2241" t="s">
        <v>1954</v>
      </c>
      <c r="K2241" s="8">
        <v>19</v>
      </c>
    </row>
    <row r="2242" spans="1:11">
      <c r="A2242" t="s">
        <v>4180</v>
      </c>
      <c r="B2242" s="15">
        <v>45837</v>
      </c>
      <c r="C2242" s="4">
        <v>45809</v>
      </c>
      <c r="D2242" t="s">
        <v>59</v>
      </c>
      <c r="E2242" t="s">
        <v>25</v>
      </c>
      <c r="F2242" t="s">
        <v>61</v>
      </c>
      <c r="G2242" t="s">
        <v>326</v>
      </c>
      <c r="H2242" t="s">
        <v>8</v>
      </c>
      <c r="I2242" t="s">
        <v>1935</v>
      </c>
      <c r="J2242" t="s">
        <v>1936</v>
      </c>
      <c r="K2242" s="8">
        <v>13</v>
      </c>
    </row>
    <row r="2243" spans="1:11">
      <c r="A2243" t="s">
        <v>4181</v>
      </c>
      <c r="B2243" s="15">
        <v>45831</v>
      </c>
      <c r="C2243" s="4">
        <v>45809</v>
      </c>
      <c r="D2243" t="s">
        <v>59</v>
      </c>
      <c r="E2243" t="s">
        <v>25</v>
      </c>
      <c r="F2243" t="s">
        <v>61</v>
      </c>
      <c r="G2243" t="s">
        <v>380</v>
      </c>
      <c r="H2243" t="s">
        <v>11</v>
      </c>
      <c r="I2243" t="s">
        <v>1935</v>
      </c>
      <c r="J2243" t="s">
        <v>1936</v>
      </c>
      <c r="K2243" s="8">
        <v>23</v>
      </c>
    </row>
    <row r="2244" spans="1:11">
      <c r="A2244" t="s">
        <v>4182</v>
      </c>
      <c r="B2244" s="15">
        <v>45837</v>
      </c>
      <c r="C2244" s="4">
        <v>45809</v>
      </c>
      <c r="D2244" t="s">
        <v>59</v>
      </c>
      <c r="E2244" t="s">
        <v>25</v>
      </c>
      <c r="F2244" t="s">
        <v>61</v>
      </c>
      <c r="G2244" t="s">
        <v>380</v>
      </c>
      <c r="H2244" t="s">
        <v>11</v>
      </c>
      <c r="I2244" t="s">
        <v>1935</v>
      </c>
      <c r="J2244" t="s">
        <v>1936</v>
      </c>
      <c r="K2244" s="8">
        <v>27</v>
      </c>
    </row>
    <row r="2245" spans="1:11">
      <c r="A2245" t="s">
        <v>4183</v>
      </c>
      <c r="B2245" s="15">
        <v>45817</v>
      </c>
      <c r="C2245" s="4">
        <v>45809</v>
      </c>
      <c r="D2245" t="s">
        <v>59</v>
      </c>
      <c r="E2245" t="s">
        <v>25</v>
      </c>
      <c r="F2245" t="s">
        <v>61</v>
      </c>
      <c r="G2245" t="s">
        <v>344</v>
      </c>
      <c r="H2245" t="s">
        <v>8</v>
      </c>
      <c r="I2245" t="s">
        <v>1935</v>
      </c>
      <c r="J2245" t="s">
        <v>1938</v>
      </c>
      <c r="K2245" s="8">
        <v>16</v>
      </c>
    </row>
    <row r="2246" spans="1:11">
      <c r="A2246" t="s">
        <v>4184</v>
      </c>
      <c r="B2246" s="15">
        <v>45835</v>
      </c>
      <c r="C2246" s="4">
        <v>45809</v>
      </c>
      <c r="D2246" t="s">
        <v>59</v>
      </c>
      <c r="E2246" t="s">
        <v>25</v>
      </c>
      <c r="F2246" t="s">
        <v>61</v>
      </c>
      <c r="G2246" t="s">
        <v>380</v>
      </c>
      <c r="H2246" t="s">
        <v>11</v>
      </c>
      <c r="I2246" t="s">
        <v>1935</v>
      </c>
      <c r="J2246" t="s">
        <v>1936</v>
      </c>
      <c r="K2246" s="8">
        <v>34</v>
      </c>
    </row>
    <row r="2247" spans="1:11">
      <c r="A2247" t="s">
        <v>4185</v>
      </c>
      <c r="B2247" s="15">
        <v>45837</v>
      </c>
      <c r="C2247" s="4">
        <v>45809</v>
      </c>
      <c r="D2247" t="s">
        <v>62</v>
      </c>
      <c r="E2247" t="s">
        <v>25</v>
      </c>
      <c r="F2247" t="s">
        <v>64</v>
      </c>
      <c r="G2247" t="s">
        <v>358</v>
      </c>
      <c r="H2247" t="s">
        <v>8</v>
      </c>
      <c r="I2247" t="s">
        <v>1935</v>
      </c>
      <c r="J2247" t="s">
        <v>1936</v>
      </c>
      <c r="K2247" s="8">
        <v>12</v>
      </c>
    </row>
    <row r="2248" spans="1:11">
      <c r="A2248" t="s">
        <v>4186</v>
      </c>
      <c r="B2248" s="15">
        <v>45834</v>
      </c>
      <c r="C2248" s="4">
        <v>45809</v>
      </c>
      <c r="D2248" t="s">
        <v>62</v>
      </c>
      <c r="E2248" t="s">
        <v>25</v>
      </c>
      <c r="F2248" t="s">
        <v>64</v>
      </c>
      <c r="G2248" t="s">
        <v>370</v>
      </c>
      <c r="H2248" t="s">
        <v>11</v>
      </c>
      <c r="I2248" t="s">
        <v>1935</v>
      </c>
      <c r="J2248" t="s">
        <v>1936</v>
      </c>
      <c r="K2248" s="8">
        <v>27</v>
      </c>
    </row>
    <row r="2249" spans="1:11">
      <c r="A2249" t="s">
        <v>4187</v>
      </c>
      <c r="B2249" s="15">
        <v>45836</v>
      </c>
      <c r="C2249" s="4">
        <v>45809</v>
      </c>
      <c r="D2249" t="s">
        <v>62</v>
      </c>
      <c r="E2249" t="s">
        <v>25</v>
      </c>
      <c r="F2249" t="s">
        <v>64</v>
      </c>
      <c r="G2249" t="s">
        <v>346</v>
      </c>
      <c r="H2249" t="s">
        <v>8</v>
      </c>
      <c r="I2249" t="s">
        <v>1935</v>
      </c>
      <c r="J2249" t="s">
        <v>1936</v>
      </c>
      <c r="K2249" s="8">
        <v>30</v>
      </c>
    </row>
    <row r="2250" spans="1:11">
      <c r="A2250" t="s">
        <v>4188</v>
      </c>
      <c r="B2250" s="15">
        <v>45834</v>
      </c>
      <c r="C2250" s="4">
        <v>45809</v>
      </c>
      <c r="D2250" t="s">
        <v>62</v>
      </c>
      <c r="E2250" t="s">
        <v>25</v>
      </c>
      <c r="F2250" t="s">
        <v>64</v>
      </c>
      <c r="G2250" t="s">
        <v>322</v>
      </c>
      <c r="H2250" t="s">
        <v>11</v>
      </c>
      <c r="I2250" t="s">
        <v>1935</v>
      </c>
      <c r="J2250" t="s">
        <v>1936</v>
      </c>
      <c r="K2250" s="8">
        <v>20</v>
      </c>
    </row>
    <row r="2251" spans="1:11">
      <c r="A2251" t="s">
        <v>4189</v>
      </c>
      <c r="B2251" s="15">
        <v>45810</v>
      </c>
      <c r="C2251" s="4">
        <v>45809</v>
      </c>
      <c r="D2251" t="s">
        <v>62</v>
      </c>
      <c r="E2251" t="s">
        <v>25</v>
      </c>
      <c r="F2251" t="s">
        <v>64</v>
      </c>
      <c r="G2251" t="s">
        <v>370</v>
      </c>
      <c r="H2251" t="s">
        <v>5</v>
      </c>
      <c r="I2251" t="s">
        <v>1935</v>
      </c>
      <c r="J2251" t="s">
        <v>1936</v>
      </c>
      <c r="K2251" s="8">
        <v>31</v>
      </c>
    </row>
    <row r="2252" spans="1:11">
      <c r="A2252" t="s">
        <v>4190</v>
      </c>
      <c r="B2252" s="15">
        <v>45810</v>
      </c>
      <c r="C2252" s="4">
        <v>45809</v>
      </c>
      <c r="D2252" t="s">
        <v>62</v>
      </c>
      <c r="E2252" t="s">
        <v>25</v>
      </c>
      <c r="F2252" t="s">
        <v>64</v>
      </c>
      <c r="G2252" t="s">
        <v>328</v>
      </c>
      <c r="H2252" t="s">
        <v>5</v>
      </c>
      <c r="I2252" t="s">
        <v>1935</v>
      </c>
      <c r="J2252" t="s">
        <v>1938</v>
      </c>
      <c r="K2252" s="8">
        <v>22</v>
      </c>
    </row>
    <row r="2253" spans="1:11">
      <c r="A2253" t="s">
        <v>4191</v>
      </c>
      <c r="B2253" s="15">
        <v>45820</v>
      </c>
      <c r="C2253" s="4">
        <v>45809</v>
      </c>
      <c r="D2253" t="s">
        <v>62</v>
      </c>
      <c r="E2253" t="s">
        <v>25</v>
      </c>
      <c r="F2253" t="s">
        <v>64</v>
      </c>
      <c r="G2253" t="s">
        <v>322</v>
      </c>
      <c r="H2253" t="s">
        <v>11</v>
      </c>
      <c r="I2253" t="s">
        <v>1935</v>
      </c>
      <c r="J2253" t="s">
        <v>1938</v>
      </c>
      <c r="K2253" s="8">
        <v>19</v>
      </c>
    </row>
    <row r="2254" spans="1:11">
      <c r="A2254" t="s">
        <v>4192</v>
      </c>
      <c r="B2254" s="15">
        <v>45817</v>
      </c>
      <c r="C2254" s="4">
        <v>45809</v>
      </c>
      <c r="D2254" t="s">
        <v>62</v>
      </c>
      <c r="E2254" t="s">
        <v>25</v>
      </c>
      <c r="F2254" t="s">
        <v>64</v>
      </c>
      <c r="G2254" t="s">
        <v>346</v>
      </c>
      <c r="H2254" t="s">
        <v>8</v>
      </c>
      <c r="I2254" t="s">
        <v>1935</v>
      </c>
      <c r="J2254" t="s">
        <v>1936</v>
      </c>
      <c r="K2254" s="8">
        <v>20</v>
      </c>
    </row>
    <row r="2255" spans="1:11">
      <c r="A2255" t="s">
        <v>4193</v>
      </c>
      <c r="B2255" s="15">
        <v>45838</v>
      </c>
      <c r="C2255" s="4">
        <v>45809</v>
      </c>
      <c r="D2255" t="s">
        <v>62</v>
      </c>
      <c r="E2255" t="s">
        <v>25</v>
      </c>
      <c r="F2255" t="s">
        <v>64</v>
      </c>
      <c r="G2255" t="s">
        <v>316</v>
      </c>
      <c r="H2255" t="s">
        <v>8</v>
      </c>
      <c r="I2255" t="s">
        <v>1935</v>
      </c>
      <c r="J2255" t="s">
        <v>1936</v>
      </c>
      <c r="K2255" s="8">
        <v>11</v>
      </c>
    </row>
    <row r="2256" spans="1:11">
      <c r="A2256" t="s">
        <v>4194</v>
      </c>
      <c r="B2256" s="15">
        <v>45830</v>
      </c>
      <c r="C2256" s="4">
        <v>45809</v>
      </c>
      <c r="D2256" t="s">
        <v>62</v>
      </c>
      <c r="E2256" t="s">
        <v>25</v>
      </c>
      <c r="F2256" t="s">
        <v>64</v>
      </c>
      <c r="G2256" t="s">
        <v>370</v>
      </c>
      <c r="H2256" t="s">
        <v>5</v>
      </c>
      <c r="I2256" t="s">
        <v>1935</v>
      </c>
      <c r="J2256" t="s">
        <v>1936</v>
      </c>
      <c r="K2256" s="8">
        <v>20</v>
      </c>
    </row>
    <row r="2257" spans="1:11">
      <c r="A2257" t="s">
        <v>4195</v>
      </c>
      <c r="B2257" s="15">
        <v>45831</v>
      </c>
      <c r="C2257" s="4">
        <v>45809</v>
      </c>
      <c r="D2257" t="s">
        <v>65</v>
      </c>
      <c r="E2257" t="s">
        <v>25</v>
      </c>
      <c r="F2257" t="s">
        <v>67</v>
      </c>
      <c r="G2257" t="s">
        <v>354</v>
      </c>
      <c r="H2257" t="s">
        <v>11</v>
      </c>
      <c r="I2257" t="s">
        <v>1935</v>
      </c>
      <c r="J2257" t="s">
        <v>1938</v>
      </c>
      <c r="K2257" s="8">
        <v>25</v>
      </c>
    </row>
    <row r="2258" spans="1:11">
      <c r="A2258" t="s">
        <v>4196</v>
      </c>
      <c r="B2258" s="15">
        <v>45811</v>
      </c>
      <c r="C2258" s="4">
        <v>45809</v>
      </c>
      <c r="D2258" t="s">
        <v>65</v>
      </c>
      <c r="E2258" t="s">
        <v>25</v>
      </c>
      <c r="F2258" t="s">
        <v>67</v>
      </c>
      <c r="G2258" t="s">
        <v>354</v>
      </c>
      <c r="H2258" t="s">
        <v>8</v>
      </c>
      <c r="I2258" t="s">
        <v>1942</v>
      </c>
      <c r="J2258" t="s">
        <v>1938</v>
      </c>
      <c r="K2258" s="8">
        <v>5</v>
      </c>
    </row>
    <row r="2259" spans="1:11">
      <c r="A2259" t="s">
        <v>4197</v>
      </c>
      <c r="B2259" s="15">
        <v>45823</v>
      </c>
      <c r="C2259" s="4">
        <v>45809</v>
      </c>
      <c r="D2259" t="s">
        <v>65</v>
      </c>
      <c r="E2259" t="s">
        <v>25</v>
      </c>
      <c r="F2259" t="s">
        <v>67</v>
      </c>
      <c r="G2259" t="s">
        <v>348</v>
      </c>
      <c r="H2259" t="s">
        <v>11</v>
      </c>
      <c r="I2259" t="s">
        <v>1935</v>
      </c>
      <c r="J2259" t="s">
        <v>1938</v>
      </c>
      <c r="K2259" s="8">
        <v>20</v>
      </c>
    </row>
    <row r="2260" spans="1:11">
      <c r="A2260" t="s">
        <v>4198</v>
      </c>
      <c r="B2260" s="15">
        <v>45819</v>
      </c>
      <c r="C2260" s="4">
        <v>45809</v>
      </c>
      <c r="D2260" t="s">
        <v>65</v>
      </c>
      <c r="E2260" t="s">
        <v>25</v>
      </c>
      <c r="F2260" t="s">
        <v>67</v>
      </c>
      <c r="G2260" t="s">
        <v>348</v>
      </c>
      <c r="H2260" t="s">
        <v>14</v>
      </c>
      <c r="I2260" t="s">
        <v>1935</v>
      </c>
      <c r="J2260" t="s">
        <v>1936</v>
      </c>
      <c r="K2260" s="8">
        <v>11</v>
      </c>
    </row>
    <row r="2261" spans="1:11">
      <c r="A2261" t="s">
        <v>4199</v>
      </c>
      <c r="B2261" s="15">
        <v>45820</v>
      </c>
      <c r="C2261" s="4">
        <v>45809</v>
      </c>
      <c r="D2261" t="s">
        <v>65</v>
      </c>
      <c r="E2261" t="s">
        <v>25</v>
      </c>
      <c r="F2261" t="s">
        <v>67</v>
      </c>
      <c r="G2261" t="s">
        <v>318</v>
      </c>
      <c r="H2261" t="s">
        <v>14</v>
      </c>
      <c r="I2261" t="s">
        <v>1935</v>
      </c>
      <c r="J2261" t="s">
        <v>1938</v>
      </c>
      <c r="K2261" s="8">
        <v>18</v>
      </c>
    </row>
    <row r="2262" spans="1:11">
      <c r="A2262" t="s">
        <v>4200</v>
      </c>
      <c r="B2262" s="15">
        <v>45824</v>
      </c>
      <c r="C2262" s="4">
        <v>45809</v>
      </c>
      <c r="D2262" t="s">
        <v>65</v>
      </c>
      <c r="E2262" t="s">
        <v>25</v>
      </c>
      <c r="F2262" t="s">
        <v>67</v>
      </c>
      <c r="G2262" t="s">
        <v>318</v>
      </c>
      <c r="H2262" t="s">
        <v>14</v>
      </c>
      <c r="I2262" t="s">
        <v>1935</v>
      </c>
      <c r="J2262" t="s">
        <v>1938</v>
      </c>
      <c r="K2262" s="8">
        <v>24</v>
      </c>
    </row>
    <row r="2263" spans="1:11">
      <c r="A2263" t="s">
        <v>4201</v>
      </c>
      <c r="B2263" s="15">
        <v>45837</v>
      </c>
      <c r="C2263" s="4">
        <v>45809</v>
      </c>
      <c r="D2263" t="s">
        <v>65</v>
      </c>
      <c r="E2263" t="s">
        <v>25</v>
      </c>
      <c r="F2263" t="s">
        <v>67</v>
      </c>
      <c r="G2263" t="s">
        <v>354</v>
      </c>
      <c r="H2263" t="s">
        <v>11</v>
      </c>
      <c r="I2263" t="s">
        <v>1935</v>
      </c>
      <c r="J2263" t="s">
        <v>1938</v>
      </c>
      <c r="K2263" s="8">
        <v>30</v>
      </c>
    </row>
    <row r="2264" spans="1:11">
      <c r="A2264" t="s">
        <v>4202</v>
      </c>
      <c r="B2264" s="15">
        <v>45829</v>
      </c>
      <c r="C2264" s="4">
        <v>45809</v>
      </c>
      <c r="D2264" t="s">
        <v>65</v>
      </c>
      <c r="E2264" t="s">
        <v>25</v>
      </c>
      <c r="F2264" t="s">
        <v>67</v>
      </c>
      <c r="G2264" t="s">
        <v>348</v>
      </c>
      <c r="H2264" t="s">
        <v>11</v>
      </c>
      <c r="I2264" t="s">
        <v>1935</v>
      </c>
      <c r="J2264" t="s">
        <v>1936</v>
      </c>
      <c r="K2264" s="8">
        <v>35</v>
      </c>
    </row>
    <row r="2265" spans="1:11">
      <c r="A2265" t="s">
        <v>4203</v>
      </c>
      <c r="B2265" s="15">
        <v>45828</v>
      </c>
      <c r="C2265" s="4">
        <v>45809</v>
      </c>
      <c r="D2265" t="s">
        <v>65</v>
      </c>
      <c r="E2265" t="s">
        <v>25</v>
      </c>
      <c r="F2265" t="s">
        <v>67</v>
      </c>
      <c r="G2265" t="s">
        <v>348</v>
      </c>
      <c r="H2265" t="s">
        <v>11</v>
      </c>
      <c r="I2265" t="s">
        <v>1935</v>
      </c>
      <c r="J2265" t="s">
        <v>1936</v>
      </c>
      <c r="K2265" s="8">
        <v>8</v>
      </c>
    </row>
    <row r="2266" spans="1:11">
      <c r="A2266" t="s">
        <v>4204</v>
      </c>
      <c r="B2266" s="15">
        <v>45841</v>
      </c>
      <c r="C2266" s="4">
        <v>45839</v>
      </c>
      <c r="D2266" t="s">
        <v>32</v>
      </c>
      <c r="E2266" t="s">
        <v>19</v>
      </c>
      <c r="F2266" t="s">
        <v>34</v>
      </c>
      <c r="G2266" t="s">
        <v>154</v>
      </c>
      <c r="H2266" t="s">
        <v>8</v>
      </c>
      <c r="I2266" t="s">
        <v>1942</v>
      </c>
      <c r="J2266" t="s">
        <v>1936</v>
      </c>
      <c r="K2266" s="8">
        <v>2</v>
      </c>
    </row>
    <row r="2267" spans="1:11">
      <c r="A2267" t="s">
        <v>4205</v>
      </c>
      <c r="B2267" s="15">
        <v>45850</v>
      </c>
      <c r="C2267" s="4">
        <v>45839</v>
      </c>
      <c r="D2267" t="s">
        <v>32</v>
      </c>
      <c r="E2267" t="s">
        <v>19</v>
      </c>
      <c r="F2267" t="s">
        <v>34</v>
      </c>
      <c r="G2267" t="s">
        <v>136</v>
      </c>
      <c r="H2267" t="s">
        <v>5</v>
      </c>
      <c r="I2267" t="s">
        <v>1935</v>
      </c>
      <c r="J2267" t="s">
        <v>1936</v>
      </c>
      <c r="K2267" s="8">
        <v>15</v>
      </c>
    </row>
    <row r="2268" spans="1:11">
      <c r="A2268" t="s">
        <v>4206</v>
      </c>
      <c r="B2268" s="15">
        <v>45859</v>
      </c>
      <c r="C2268" s="4">
        <v>45839</v>
      </c>
      <c r="D2268" t="s">
        <v>32</v>
      </c>
      <c r="E2268" t="s">
        <v>19</v>
      </c>
      <c r="F2268" t="s">
        <v>34</v>
      </c>
      <c r="G2268" t="s">
        <v>124</v>
      </c>
      <c r="H2268" t="s">
        <v>5</v>
      </c>
      <c r="I2268" t="s">
        <v>1935</v>
      </c>
      <c r="J2268" t="s">
        <v>1936</v>
      </c>
      <c r="K2268" s="8">
        <v>34</v>
      </c>
    </row>
    <row r="2269" spans="1:11">
      <c r="A2269" t="s">
        <v>4207</v>
      </c>
      <c r="B2269" s="15">
        <v>45839</v>
      </c>
      <c r="C2269" s="4">
        <v>45839</v>
      </c>
      <c r="D2269" t="s">
        <v>32</v>
      </c>
      <c r="E2269" t="s">
        <v>19</v>
      </c>
      <c r="F2269" t="s">
        <v>34</v>
      </c>
      <c r="G2269" t="s">
        <v>154</v>
      </c>
      <c r="H2269" t="s">
        <v>11</v>
      </c>
      <c r="I2269" t="s">
        <v>1942</v>
      </c>
      <c r="J2269" t="s">
        <v>1936</v>
      </c>
      <c r="K2269" s="8">
        <v>5</v>
      </c>
    </row>
    <row r="2270" spans="1:11">
      <c r="A2270" t="s">
        <v>4208</v>
      </c>
      <c r="B2270" s="15">
        <v>45846</v>
      </c>
      <c r="C2270" s="4">
        <v>45839</v>
      </c>
      <c r="D2270" t="s">
        <v>32</v>
      </c>
      <c r="E2270" t="s">
        <v>19</v>
      </c>
      <c r="F2270" t="s">
        <v>34</v>
      </c>
      <c r="G2270" t="s">
        <v>75</v>
      </c>
      <c r="H2270" t="s">
        <v>5</v>
      </c>
      <c r="I2270" t="s">
        <v>1935</v>
      </c>
      <c r="J2270" t="s">
        <v>1936</v>
      </c>
      <c r="K2270" s="8">
        <v>33</v>
      </c>
    </row>
    <row r="2271" spans="1:11">
      <c r="A2271" t="s">
        <v>4209</v>
      </c>
      <c r="B2271" s="15">
        <v>45848</v>
      </c>
      <c r="C2271" s="4">
        <v>45839</v>
      </c>
      <c r="D2271" t="s">
        <v>32</v>
      </c>
      <c r="E2271" t="s">
        <v>19</v>
      </c>
      <c r="F2271" t="s">
        <v>34</v>
      </c>
      <c r="G2271" t="s">
        <v>75</v>
      </c>
      <c r="H2271" t="s">
        <v>5</v>
      </c>
      <c r="I2271" t="s">
        <v>1935</v>
      </c>
      <c r="J2271" t="s">
        <v>1936</v>
      </c>
      <c r="K2271" s="8">
        <v>12</v>
      </c>
    </row>
    <row r="2272" spans="1:11">
      <c r="A2272" t="s">
        <v>4210</v>
      </c>
      <c r="B2272" s="15">
        <v>45865</v>
      </c>
      <c r="C2272" s="4">
        <v>45839</v>
      </c>
      <c r="D2272" t="s">
        <v>32</v>
      </c>
      <c r="E2272" t="s">
        <v>19</v>
      </c>
      <c r="F2272" t="s">
        <v>34</v>
      </c>
      <c r="G2272" t="s">
        <v>130</v>
      </c>
      <c r="H2272" t="s">
        <v>14</v>
      </c>
      <c r="I2272" t="s">
        <v>1935</v>
      </c>
      <c r="J2272" t="s">
        <v>1936</v>
      </c>
      <c r="K2272" s="8">
        <v>25</v>
      </c>
    </row>
    <row r="2273" spans="1:11">
      <c r="A2273" t="s">
        <v>4211</v>
      </c>
      <c r="B2273" s="15">
        <v>45843</v>
      </c>
      <c r="C2273" s="4">
        <v>45839</v>
      </c>
      <c r="D2273" t="s">
        <v>32</v>
      </c>
      <c r="E2273" t="s">
        <v>19</v>
      </c>
      <c r="F2273" t="s">
        <v>34</v>
      </c>
      <c r="G2273" t="s">
        <v>85</v>
      </c>
      <c r="H2273" t="s">
        <v>14</v>
      </c>
      <c r="I2273" t="s">
        <v>1935</v>
      </c>
      <c r="J2273" t="s">
        <v>1936</v>
      </c>
      <c r="K2273" s="8">
        <v>9</v>
      </c>
    </row>
    <row r="2274" spans="1:11">
      <c r="A2274" t="s">
        <v>4212</v>
      </c>
      <c r="B2274" s="15">
        <v>45856</v>
      </c>
      <c r="C2274" s="4">
        <v>45839</v>
      </c>
      <c r="D2274" t="s">
        <v>35</v>
      </c>
      <c r="E2274" t="s">
        <v>19</v>
      </c>
      <c r="F2274" t="s">
        <v>37</v>
      </c>
      <c r="G2274" t="s">
        <v>78</v>
      </c>
      <c r="H2274" t="s">
        <v>8</v>
      </c>
      <c r="I2274" t="s">
        <v>1935</v>
      </c>
      <c r="J2274" t="s">
        <v>1936</v>
      </c>
      <c r="K2274" s="8">
        <v>20</v>
      </c>
    </row>
    <row r="2275" spans="1:11">
      <c r="A2275" t="s">
        <v>4213</v>
      </c>
      <c r="B2275" s="15">
        <v>45856</v>
      </c>
      <c r="C2275" s="4">
        <v>45839</v>
      </c>
      <c r="D2275" t="s">
        <v>35</v>
      </c>
      <c r="E2275" t="s">
        <v>19</v>
      </c>
      <c r="F2275" t="s">
        <v>37</v>
      </c>
      <c r="G2275" t="s">
        <v>107</v>
      </c>
      <c r="H2275" t="s">
        <v>5</v>
      </c>
      <c r="I2275" t="s">
        <v>1935</v>
      </c>
      <c r="J2275" t="s">
        <v>1954</v>
      </c>
      <c r="K2275" s="8">
        <v>10</v>
      </c>
    </row>
    <row r="2276" spans="1:11">
      <c r="A2276" t="s">
        <v>4214</v>
      </c>
      <c r="B2276" s="15">
        <v>45846</v>
      </c>
      <c r="C2276" s="4">
        <v>45839</v>
      </c>
      <c r="D2276" t="s">
        <v>35</v>
      </c>
      <c r="E2276" t="s">
        <v>19</v>
      </c>
      <c r="F2276" t="s">
        <v>37</v>
      </c>
      <c r="G2276" t="s">
        <v>101</v>
      </c>
      <c r="H2276" t="s">
        <v>14</v>
      </c>
      <c r="I2276" t="s">
        <v>1935</v>
      </c>
      <c r="J2276" t="s">
        <v>1936</v>
      </c>
      <c r="K2276" s="8">
        <v>27</v>
      </c>
    </row>
    <row r="2277" spans="1:11">
      <c r="A2277" t="s">
        <v>4215</v>
      </c>
      <c r="B2277" s="15">
        <v>45856</v>
      </c>
      <c r="C2277" s="4">
        <v>45839</v>
      </c>
      <c r="D2277" t="s">
        <v>35</v>
      </c>
      <c r="E2277" t="s">
        <v>19</v>
      </c>
      <c r="F2277" t="s">
        <v>37</v>
      </c>
      <c r="G2277" t="s">
        <v>78</v>
      </c>
      <c r="H2277" t="s">
        <v>8</v>
      </c>
      <c r="I2277" t="s">
        <v>1935</v>
      </c>
      <c r="J2277" t="s">
        <v>1954</v>
      </c>
      <c r="K2277" s="8">
        <v>29</v>
      </c>
    </row>
    <row r="2278" spans="1:11">
      <c r="A2278" t="s">
        <v>4216</v>
      </c>
      <c r="B2278" s="15">
        <v>45856</v>
      </c>
      <c r="C2278" s="4">
        <v>45839</v>
      </c>
      <c r="D2278" t="s">
        <v>35</v>
      </c>
      <c r="E2278" t="s">
        <v>19</v>
      </c>
      <c r="F2278" t="s">
        <v>37</v>
      </c>
      <c r="G2278" t="s">
        <v>107</v>
      </c>
      <c r="H2278" t="s">
        <v>8</v>
      </c>
      <c r="I2278" t="s">
        <v>1935</v>
      </c>
      <c r="J2278" t="s">
        <v>1936</v>
      </c>
      <c r="K2278" s="8">
        <v>24</v>
      </c>
    </row>
    <row r="2279" spans="1:11">
      <c r="A2279" t="s">
        <v>4217</v>
      </c>
      <c r="B2279" s="15">
        <v>45842</v>
      </c>
      <c r="C2279" s="4">
        <v>45839</v>
      </c>
      <c r="D2279" t="s">
        <v>35</v>
      </c>
      <c r="E2279" t="s">
        <v>19</v>
      </c>
      <c r="F2279" t="s">
        <v>37</v>
      </c>
      <c r="G2279" t="s">
        <v>78</v>
      </c>
      <c r="H2279" t="s">
        <v>8</v>
      </c>
      <c r="I2279" t="s">
        <v>1935</v>
      </c>
      <c r="J2279" t="s">
        <v>1936</v>
      </c>
      <c r="K2279" s="8">
        <v>18</v>
      </c>
    </row>
    <row r="2280" spans="1:11">
      <c r="A2280" t="s">
        <v>4218</v>
      </c>
      <c r="B2280" s="15">
        <v>45868</v>
      </c>
      <c r="C2280" s="4">
        <v>45839</v>
      </c>
      <c r="D2280" t="s">
        <v>35</v>
      </c>
      <c r="E2280" t="s">
        <v>19</v>
      </c>
      <c r="F2280" t="s">
        <v>37</v>
      </c>
      <c r="G2280" t="s">
        <v>107</v>
      </c>
      <c r="H2280" t="s">
        <v>8</v>
      </c>
      <c r="I2280" t="s">
        <v>1935</v>
      </c>
      <c r="J2280" t="s">
        <v>1936</v>
      </c>
      <c r="K2280" s="8">
        <v>21</v>
      </c>
    </row>
    <row r="2281" spans="1:11">
      <c r="A2281" t="s">
        <v>4219</v>
      </c>
      <c r="B2281" s="15">
        <v>45844</v>
      </c>
      <c r="C2281" s="4">
        <v>45839</v>
      </c>
      <c r="D2281" t="s">
        <v>35</v>
      </c>
      <c r="E2281" t="s">
        <v>19</v>
      </c>
      <c r="F2281" t="s">
        <v>37</v>
      </c>
      <c r="G2281" t="s">
        <v>107</v>
      </c>
      <c r="H2281" t="s">
        <v>8</v>
      </c>
      <c r="I2281" t="s">
        <v>1935</v>
      </c>
      <c r="J2281" t="s">
        <v>1938</v>
      </c>
      <c r="K2281" s="8">
        <v>28</v>
      </c>
    </row>
    <row r="2282" spans="1:11">
      <c r="A2282" t="s">
        <v>4220</v>
      </c>
      <c r="B2282" s="15">
        <v>45851</v>
      </c>
      <c r="C2282" s="4">
        <v>45839</v>
      </c>
      <c r="D2282" t="s">
        <v>35</v>
      </c>
      <c r="E2282" t="s">
        <v>19</v>
      </c>
      <c r="F2282" t="s">
        <v>37</v>
      </c>
      <c r="G2282" t="s">
        <v>78</v>
      </c>
      <c r="H2282" t="s">
        <v>8</v>
      </c>
      <c r="I2282" t="s">
        <v>1935</v>
      </c>
      <c r="J2282" t="s">
        <v>1938</v>
      </c>
      <c r="K2282" s="8">
        <v>35</v>
      </c>
    </row>
    <row r="2283" spans="1:11">
      <c r="A2283" t="s">
        <v>4221</v>
      </c>
      <c r="B2283" s="15">
        <v>45841</v>
      </c>
      <c r="C2283" s="4">
        <v>45839</v>
      </c>
      <c r="D2283" t="s">
        <v>35</v>
      </c>
      <c r="E2283" t="s">
        <v>19</v>
      </c>
      <c r="F2283" t="s">
        <v>37</v>
      </c>
      <c r="G2283" t="s">
        <v>78</v>
      </c>
      <c r="H2283" t="s">
        <v>8</v>
      </c>
      <c r="I2283" t="s">
        <v>1935</v>
      </c>
      <c r="J2283" t="s">
        <v>1936</v>
      </c>
      <c r="K2283" s="8">
        <v>27</v>
      </c>
    </row>
    <row r="2284" spans="1:11">
      <c r="A2284" t="s">
        <v>4222</v>
      </c>
      <c r="B2284" s="15">
        <v>45866</v>
      </c>
      <c r="C2284" s="4">
        <v>45839</v>
      </c>
      <c r="D2284" t="s">
        <v>35</v>
      </c>
      <c r="E2284" t="s">
        <v>19</v>
      </c>
      <c r="F2284" t="s">
        <v>37</v>
      </c>
      <c r="G2284" t="s">
        <v>88</v>
      </c>
      <c r="H2284" t="s">
        <v>8</v>
      </c>
      <c r="I2284" t="s">
        <v>1942</v>
      </c>
      <c r="J2284" t="s">
        <v>1954</v>
      </c>
      <c r="K2284" s="8">
        <v>7</v>
      </c>
    </row>
    <row r="2285" spans="1:11">
      <c r="A2285" t="s">
        <v>4223</v>
      </c>
      <c r="B2285" s="15">
        <v>45860</v>
      </c>
      <c r="C2285" s="4">
        <v>45839</v>
      </c>
      <c r="D2285" t="s">
        <v>35</v>
      </c>
      <c r="E2285" t="s">
        <v>19</v>
      </c>
      <c r="F2285" t="s">
        <v>37</v>
      </c>
      <c r="G2285" t="s">
        <v>132</v>
      </c>
      <c r="H2285" t="s">
        <v>8</v>
      </c>
      <c r="I2285" t="s">
        <v>1935</v>
      </c>
      <c r="J2285" t="s">
        <v>1938</v>
      </c>
      <c r="K2285" s="8">
        <v>32</v>
      </c>
    </row>
    <row r="2286" spans="1:11">
      <c r="A2286" t="s">
        <v>4224</v>
      </c>
      <c r="B2286" s="15">
        <v>45843</v>
      </c>
      <c r="C2286" s="4">
        <v>45839</v>
      </c>
      <c r="D2286" t="s">
        <v>38</v>
      </c>
      <c r="E2286" t="s">
        <v>19</v>
      </c>
      <c r="F2286" t="s">
        <v>40</v>
      </c>
      <c r="G2286" t="s">
        <v>140</v>
      </c>
      <c r="H2286" t="s">
        <v>5</v>
      </c>
      <c r="I2286" t="s">
        <v>1935</v>
      </c>
      <c r="J2286" t="s">
        <v>1936</v>
      </c>
      <c r="K2286" s="8">
        <v>21</v>
      </c>
    </row>
    <row r="2287" spans="1:11">
      <c r="A2287" t="s">
        <v>4225</v>
      </c>
      <c r="B2287" s="15">
        <v>45855</v>
      </c>
      <c r="C2287" s="4">
        <v>45839</v>
      </c>
      <c r="D2287" t="s">
        <v>38</v>
      </c>
      <c r="E2287" t="s">
        <v>19</v>
      </c>
      <c r="F2287" t="s">
        <v>40</v>
      </c>
      <c r="G2287" t="s">
        <v>164</v>
      </c>
      <c r="H2287" t="s">
        <v>5</v>
      </c>
      <c r="I2287" t="s">
        <v>1935</v>
      </c>
      <c r="J2287" t="s">
        <v>1936</v>
      </c>
      <c r="K2287" s="8">
        <v>33</v>
      </c>
    </row>
    <row r="2288" spans="1:11">
      <c r="A2288" t="s">
        <v>4226</v>
      </c>
      <c r="B2288" s="15">
        <v>45843</v>
      </c>
      <c r="C2288" s="4">
        <v>45839</v>
      </c>
      <c r="D2288" t="s">
        <v>38</v>
      </c>
      <c r="E2288" t="s">
        <v>19</v>
      </c>
      <c r="F2288" t="s">
        <v>40</v>
      </c>
      <c r="G2288" t="s">
        <v>96</v>
      </c>
      <c r="H2288" t="s">
        <v>5</v>
      </c>
      <c r="I2288" t="s">
        <v>1935</v>
      </c>
      <c r="J2288" t="s">
        <v>1938</v>
      </c>
      <c r="K2288" s="8">
        <v>35</v>
      </c>
    </row>
    <row r="2289" spans="1:11">
      <c r="A2289" t="s">
        <v>4227</v>
      </c>
      <c r="B2289" s="15">
        <v>45844</v>
      </c>
      <c r="C2289" s="4">
        <v>45839</v>
      </c>
      <c r="D2289" t="s">
        <v>38</v>
      </c>
      <c r="E2289" t="s">
        <v>19</v>
      </c>
      <c r="F2289" t="s">
        <v>40</v>
      </c>
      <c r="G2289" t="s">
        <v>164</v>
      </c>
      <c r="H2289" t="s">
        <v>5</v>
      </c>
      <c r="I2289" t="s">
        <v>1935</v>
      </c>
      <c r="J2289" t="s">
        <v>1936</v>
      </c>
      <c r="K2289" s="8">
        <v>19</v>
      </c>
    </row>
    <row r="2290" spans="1:11">
      <c r="A2290" t="s">
        <v>4228</v>
      </c>
      <c r="B2290" s="15">
        <v>45858</v>
      </c>
      <c r="C2290" s="4">
        <v>45839</v>
      </c>
      <c r="D2290" t="s">
        <v>38</v>
      </c>
      <c r="E2290" t="s">
        <v>19</v>
      </c>
      <c r="F2290" t="s">
        <v>40</v>
      </c>
      <c r="G2290" t="s">
        <v>122</v>
      </c>
      <c r="H2290" t="s">
        <v>5</v>
      </c>
      <c r="I2290" t="s">
        <v>1935</v>
      </c>
      <c r="J2290" t="s">
        <v>1936</v>
      </c>
      <c r="K2290" s="8">
        <v>11</v>
      </c>
    </row>
    <row r="2291" spans="1:11">
      <c r="A2291" t="s">
        <v>4229</v>
      </c>
      <c r="B2291" s="15">
        <v>45869</v>
      </c>
      <c r="C2291" s="4">
        <v>45839</v>
      </c>
      <c r="D2291" t="s">
        <v>38</v>
      </c>
      <c r="E2291" t="s">
        <v>19</v>
      </c>
      <c r="F2291" t="s">
        <v>40</v>
      </c>
      <c r="G2291" t="s">
        <v>96</v>
      </c>
      <c r="H2291" t="s">
        <v>11</v>
      </c>
      <c r="I2291" t="s">
        <v>1935</v>
      </c>
      <c r="J2291" t="s">
        <v>1936</v>
      </c>
      <c r="K2291" s="8">
        <v>31</v>
      </c>
    </row>
    <row r="2292" spans="1:11">
      <c r="A2292" t="s">
        <v>4230</v>
      </c>
      <c r="B2292" s="15">
        <v>45841</v>
      </c>
      <c r="C2292" s="4">
        <v>45839</v>
      </c>
      <c r="D2292" t="s">
        <v>38</v>
      </c>
      <c r="E2292" t="s">
        <v>19</v>
      </c>
      <c r="F2292" t="s">
        <v>40</v>
      </c>
      <c r="G2292" t="s">
        <v>109</v>
      </c>
      <c r="H2292" t="s">
        <v>11</v>
      </c>
      <c r="I2292" t="s">
        <v>1935</v>
      </c>
      <c r="J2292" t="s">
        <v>1954</v>
      </c>
      <c r="K2292" s="8">
        <v>11</v>
      </c>
    </row>
    <row r="2293" spans="1:11">
      <c r="A2293" t="s">
        <v>4231</v>
      </c>
      <c r="B2293" s="15">
        <v>45857</v>
      </c>
      <c r="C2293" s="4">
        <v>45839</v>
      </c>
      <c r="D2293" t="s">
        <v>38</v>
      </c>
      <c r="E2293" t="s">
        <v>19</v>
      </c>
      <c r="F2293" t="s">
        <v>40</v>
      </c>
      <c r="G2293" t="s">
        <v>82</v>
      </c>
      <c r="H2293" t="s">
        <v>5</v>
      </c>
      <c r="I2293" t="s">
        <v>1935</v>
      </c>
      <c r="J2293" t="s">
        <v>1954</v>
      </c>
      <c r="K2293" s="8">
        <v>17</v>
      </c>
    </row>
    <row r="2294" spans="1:11">
      <c r="A2294" t="s">
        <v>4232</v>
      </c>
      <c r="B2294" s="15">
        <v>45842</v>
      </c>
      <c r="C2294" s="4">
        <v>45839</v>
      </c>
      <c r="D2294" t="s">
        <v>38</v>
      </c>
      <c r="E2294" t="s">
        <v>19</v>
      </c>
      <c r="F2294" t="s">
        <v>40</v>
      </c>
      <c r="G2294" t="s">
        <v>134</v>
      </c>
      <c r="H2294" t="s">
        <v>5</v>
      </c>
      <c r="I2294" t="s">
        <v>1935</v>
      </c>
      <c r="J2294" t="s">
        <v>1936</v>
      </c>
      <c r="K2294" s="8">
        <v>35</v>
      </c>
    </row>
    <row r="2295" spans="1:11">
      <c r="A2295" t="s">
        <v>4233</v>
      </c>
      <c r="B2295" s="15">
        <v>45866</v>
      </c>
      <c r="C2295" s="4">
        <v>45839</v>
      </c>
      <c r="D2295" t="s">
        <v>38</v>
      </c>
      <c r="E2295" t="s">
        <v>19</v>
      </c>
      <c r="F2295" t="s">
        <v>40</v>
      </c>
      <c r="G2295" t="s">
        <v>164</v>
      </c>
      <c r="H2295" t="s">
        <v>5</v>
      </c>
      <c r="I2295" t="s">
        <v>1935</v>
      </c>
      <c r="J2295" t="s">
        <v>1954</v>
      </c>
      <c r="K2295" s="8">
        <v>22</v>
      </c>
    </row>
    <row r="2296" spans="1:11">
      <c r="A2296" t="s">
        <v>4234</v>
      </c>
      <c r="B2296" s="15">
        <v>45866</v>
      </c>
      <c r="C2296" s="4">
        <v>45839</v>
      </c>
      <c r="D2296" t="s">
        <v>38</v>
      </c>
      <c r="E2296" t="s">
        <v>19</v>
      </c>
      <c r="F2296" t="s">
        <v>40</v>
      </c>
      <c r="G2296" t="s">
        <v>82</v>
      </c>
      <c r="H2296" t="s">
        <v>11</v>
      </c>
      <c r="I2296" t="s">
        <v>1935</v>
      </c>
      <c r="J2296" t="s">
        <v>1954</v>
      </c>
      <c r="K2296" s="8">
        <v>13</v>
      </c>
    </row>
    <row r="2297" spans="1:11">
      <c r="A2297" t="s">
        <v>4235</v>
      </c>
      <c r="B2297" s="15">
        <v>45856</v>
      </c>
      <c r="C2297" s="4">
        <v>45839</v>
      </c>
      <c r="D2297" t="s">
        <v>38</v>
      </c>
      <c r="E2297" t="s">
        <v>19</v>
      </c>
      <c r="F2297" t="s">
        <v>40</v>
      </c>
      <c r="G2297" t="s">
        <v>109</v>
      </c>
      <c r="H2297" t="s">
        <v>11</v>
      </c>
      <c r="I2297" t="s">
        <v>1935</v>
      </c>
      <c r="J2297" t="s">
        <v>1954</v>
      </c>
      <c r="K2297" s="8">
        <v>22</v>
      </c>
    </row>
    <row r="2298" spans="1:11">
      <c r="A2298" t="s">
        <v>4236</v>
      </c>
      <c r="B2298" s="15">
        <v>45869</v>
      </c>
      <c r="C2298" s="4">
        <v>45839</v>
      </c>
      <c r="D2298" t="s">
        <v>38</v>
      </c>
      <c r="E2298" t="s">
        <v>19</v>
      </c>
      <c r="F2298" t="s">
        <v>40</v>
      </c>
      <c r="G2298" t="s">
        <v>90</v>
      </c>
      <c r="H2298" t="s">
        <v>5</v>
      </c>
      <c r="I2298" t="s">
        <v>1935</v>
      </c>
      <c r="J2298" t="s">
        <v>1936</v>
      </c>
      <c r="K2298" s="8">
        <v>24</v>
      </c>
    </row>
    <row r="2299" spans="1:11">
      <c r="A2299" t="s">
        <v>4237</v>
      </c>
      <c r="B2299" s="15">
        <v>45847</v>
      </c>
      <c r="C2299" s="4">
        <v>45839</v>
      </c>
      <c r="D2299" t="s">
        <v>38</v>
      </c>
      <c r="E2299" t="s">
        <v>19</v>
      </c>
      <c r="F2299" t="s">
        <v>40</v>
      </c>
      <c r="G2299" t="s">
        <v>146</v>
      </c>
      <c r="H2299" t="s">
        <v>5</v>
      </c>
      <c r="I2299" t="s">
        <v>1935</v>
      </c>
      <c r="J2299" t="s">
        <v>1936</v>
      </c>
      <c r="K2299" s="8">
        <v>11</v>
      </c>
    </row>
    <row r="2300" spans="1:11">
      <c r="A2300" t="s">
        <v>4238</v>
      </c>
      <c r="B2300" s="15">
        <v>45859</v>
      </c>
      <c r="C2300" s="4">
        <v>45839</v>
      </c>
      <c r="D2300" t="s">
        <v>41</v>
      </c>
      <c r="E2300" t="s">
        <v>21</v>
      </c>
      <c r="F2300" t="s">
        <v>43</v>
      </c>
      <c r="G2300" t="s">
        <v>208</v>
      </c>
      <c r="H2300" t="s">
        <v>11</v>
      </c>
      <c r="I2300" t="s">
        <v>1935</v>
      </c>
      <c r="J2300" t="s">
        <v>1936</v>
      </c>
      <c r="K2300" s="8">
        <v>26</v>
      </c>
    </row>
    <row r="2301" spans="1:11">
      <c r="A2301" t="s">
        <v>4239</v>
      </c>
      <c r="B2301" s="15">
        <v>45865</v>
      </c>
      <c r="C2301" s="4">
        <v>45839</v>
      </c>
      <c r="D2301" t="s">
        <v>41</v>
      </c>
      <c r="E2301" t="s">
        <v>21</v>
      </c>
      <c r="F2301" t="s">
        <v>43</v>
      </c>
      <c r="G2301" t="s">
        <v>232</v>
      </c>
      <c r="H2301" t="s">
        <v>11</v>
      </c>
      <c r="I2301" t="s">
        <v>1935</v>
      </c>
      <c r="J2301" t="s">
        <v>1936</v>
      </c>
      <c r="K2301" s="8">
        <v>18</v>
      </c>
    </row>
    <row r="2302" spans="1:11">
      <c r="A2302" t="s">
        <v>4240</v>
      </c>
      <c r="B2302" s="15">
        <v>45840</v>
      </c>
      <c r="C2302" s="4">
        <v>45839</v>
      </c>
      <c r="D2302" t="s">
        <v>41</v>
      </c>
      <c r="E2302" t="s">
        <v>21</v>
      </c>
      <c r="F2302" t="s">
        <v>43</v>
      </c>
      <c r="G2302" t="s">
        <v>214</v>
      </c>
      <c r="H2302" t="s">
        <v>11</v>
      </c>
      <c r="I2302" t="s">
        <v>1995</v>
      </c>
      <c r="J2302" t="s">
        <v>1938</v>
      </c>
      <c r="K2302" s="8">
        <v>6</v>
      </c>
    </row>
    <row r="2303" spans="1:11">
      <c r="A2303" t="s">
        <v>4241</v>
      </c>
      <c r="B2303" s="15">
        <v>45863</v>
      </c>
      <c r="C2303" s="4">
        <v>45839</v>
      </c>
      <c r="D2303" t="s">
        <v>41</v>
      </c>
      <c r="E2303" t="s">
        <v>21</v>
      </c>
      <c r="F2303" t="s">
        <v>43</v>
      </c>
      <c r="G2303" t="s">
        <v>166</v>
      </c>
      <c r="H2303" t="s">
        <v>14</v>
      </c>
      <c r="I2303" t="s">
        <v>1935</v>
      </c>
      <c r="J2303" t="s">
        <v>1936</v>
      </c>
      <c r="K2303" s="8">
        <v>18</v>
      </c>
    </row>
    <row r="2304" spans="1:11">
      <c r="A2304" t="s">
        <v>4242</v>
      </c>
      <c r="B2304" s="15">
        <v>45843</v>
      </c>
      <c r="C2304" s="4">
        <v>45839</v>
      </c>
      <c r="D2304" t="s">
        <v>41</v>
      </c>
      <c r="E2304" t="s">
        <v>21</v>
      </c>
      <c r="F2304" t="s">
        <v>43</v>
      </c>
      <c r="G2304" t="s">
        <v>214</v>
      </c>
      <c r="H2304" t="s">
        <v>11</v>
      </c>
      <c r="I2304" t="s">
        <v>1935</v>
      </c>
      <c r="J2304" t="s">
        <v>1936</v>
      </c>
      <c r="K2304" s="8">
        <v>32</v>
      </c>
    </row>
    <row r="2305" spans="1:11">
      <c r="A2305" t="s">
        <v>4243</v>
      </c>
      <c r="B2305" s="15">
        <v>45868</v>
      </c>
      <c r="C2305" s="4">
        <v>45839</v>
      </c>
      <c r="D2305" t="s">
        <v>41</v>
      </c>
      <c r="E2305" t="s">
        <v>21</v>
      </c>
      <c r="F2305" t="s">
        <v>43</v>
      </c>
      <c r="G2305" t="s">
        <v>208</v>
      </c>
      <c r="H2305" t="s">
        <v>11</v>
      </c>
      <c r="I2305" t="s">
        <v>1935</v>
      </c>
      <c r="J2305" t="s">
        <v>1938</v>
      </c>
      <c r="K2305" s="8">
        <v>13</v>
      </c>
    </row>
    <row r="2306" spans="1:11">
      <c r="A2306" t="s">
        <v>4244</v>
      </c>
      <c r="B2306" s="15">
        <v>45866</v>
      </c>
      <c r="C2306" s="4">
        <v>45839</v>
      </c>
      <c r="D2306" t="s">
        <v>41</v>
      </c>
      <c r="E2306" t="s">
        <v>21</v>
      </c>
      <c r="F2306" t="s">
        <v>43</v>
      </c>
      <c r="G2306" t="s">
        <v>226</v>
      </c>
      <c r="H2306" t="s">
        <v>5</v>
      </c>
      <c r="I2306" t="s">
        <v>1935</v>
      </c>
      <c r="J2306" t="s">
        <v>1936</v>
      </c>
      <c r="K2306" s="8">
        <v>20</v>
      </c>
    </row>
    <row r="2307" spans="1:11">
      <c r="A2307" t="s">
        <v>4245</v>
      </c>
      <c r="B2307" s="15">
        <v>45853</v>
      </c>
      <c r="C2307" s="4">
        <v>45839</v>
      </c>
      <c r="D2307" t="s">
        <v>41</v>
      </c>
      <c r="E2307" t="s">
        <v>21</v>
      </c>
      <c r="F2307" t="s">
        <v>43</v>
      </c>
      <c r="G2307" t="s">
        <v>226</v>
      </c>
      <c r="H2307" t="s">
        <v>5</v>
      </c>
      <c r="I2307" t="s">
        <v>1935</v>
      </c>
      <c r="J2307" t="s">
        <v>1936</v>
      </c>
      <c r="K2307" s="8">
        <v>28</v>
      </c>
    </row>
    <row r="2308" spans="1:11">
      <c r="A2308" t="s">
        <v>4246</v>
      </c>
      <c r="B2308" s="15">
        <v>45858</v>
      </c>
      <c r="C2308" s="4">
        <v>45839</v>
      </c>
      <c r="D2308" t="s">
        <v>41</v>
      </c>
      <c r="E2308" t="s">
        <v>21</v>
      </c>
      <c r="F2308" t="s">
        <v>43</v>
      </c>
      <c r="G2308" t="s">
        <v>166</v>
      </c>
      <c r="H2308" t="s">
        <v>14</v>
      </c>
      <c r="I2308" t="s">
        <v>1935</v>
      </c>
      <c r="J2308" t="s">
        <v>1936</v>
      </c>
      <c r="K2308" s="8">
        <v>21</v>
      </c>
    </row>
    <row r="2309" spans="1:11">
      <c r="A2309" t="s">
        <v>4247</v>
      </c>
      <c r="B2309" s="15">
        <v>45864</v>
      </c>
      <c r="C2309" s="4">
        <v>45839</v>
      </c>
      <c r="D2309" t="s">
        <v>41</v>
      </c>
      <c r="E2309" t="s">
        <v>21</v>
      </c>
      <c r="F2309" t="s">
        <v>43</v>
      </c>
      <c r="G2309" t="s">
        <v>208</v>
      </c>
      <c r="H2309" t="s">
        <v>5</v>
      </c>
      <c r="I2309" t="s">
        <v>1935</v>
      </c>
      <c r="J2309" t="s">
        <v>1938</v>
      </c>
      <c r="K2309" s="8">
        <v>18</v>
      </c>
    </row>
    <row r="2310" spans="1:11">
      <c r="A2310" t="s">
        <v>4248</v>
      </c>
      <c r="B2310" s="15">
        <v>45863</v>
      </c>
      <c r="C2310" s="4">
        <v>45839</v>
      </c>
      <c r="D2310" t="s">
        <v>41</v>
      </c>
      <c r="E2310" t="s">
        <v>21</v>
      </c>
      <c r="F2310" t="s">
        <v>43</v>
      </c>
      <c r="G2310" t="s">
        <v>220</v>
      </c>
      <c r="H2310" t="s">
        <v>11</v>
      </c>
      <c r="I2310" t="s">
        <v>1935</v>
      </c>
      <c r="J2310" t="s">
        <v>1936</v>
      </c>
      <c r="K2310" s="8">
        <v>29</v>
      </c>
    </row>
    <row r="2311" spans="1:11">
      <c r="A2311" t="s">
        <v>4249</v>
      </c>
      <c r="B2311" s="15">
        <v>45844</v>
      </c>
      <c r="C2311" s="4">
        <v>45839</v>
      </c>
      <c r="D2311" t="s">
        <v>41</v>
      </c>
      <c r="E2311" t="s">
        <v>21</v>
      </c>
      <c r="F2311" t="s">
        <v>43</v>
      </c>
      <c r="G2311" t="s">
        <v>220</v>
      </c>
      <c r="H2311" t="s">
        <v>8</v>
      </c>
      <c r="I2311" t="s">
        <v>1935</v>
      </c>
      <c r="J2311" t="s">
        <v>1936</v>
      </c>
      <c r="K2311" s="8">
        <v>12</v>
      </c>
    </row>
    <row r="2312" spans="1:11">
      <c r="A2312" t="s">
        <v>4250</v>
      </c>
      <c r="B2312" s="15">
        <v>45850</v>
      </c>
      <c r="C2312" s="4">
        <v>45839</v>
      </c>
      <c r="D2312" t="s">
        <v>41</v>
      </c>
      <c r="E2312" t="s">
        <v>21</v>
      </c>
      <c r="F2312" t="s">
        <v>43</v>
      </c>
      <c r="G2312" t="s">
        <v>214</v>
      </c>
      <c r="H2312" t="s">
        <v>5</v>
      </c>
      <c r="I2312" t="s">
        <v>1935</v>
      </c>
      <c r="J2312" t="s">
        <v>1936</v>
      </c>
      <c r="K2312" s="8">
        <v>9</v>
      </c>
    </row>
    <row r="2313" spans="1:11">
      <c r="A2313" t="s">
        <v>4251</v>
      </c>
      <c r="B2313" s="15">
        <v>45852</v>
      </c>
      <c r="C2313" s="4">
        <v>45839</v>
      </c>
      <c r="D2313" t="s">
        <v>41</v>
      </c>
      <c r="E2313" t="s">
        <v>21</v>
      </c>
      <c r="F2313" t="s">
        <v>43</v>
      </c>
      <c r="G2313" t="s">
        <v>232</v>
      </c>
      <c r="H2313" t="s">
        <v>11</v>
      </c>
      <c r="I2313" t="s">
        <v>1935</v>
      </c>
      <c r="J2313" t="s">
        <v>1936</v>
      </c>
      <c r="K2313" s="8">
        <v>21</v>
      </c>
    </row>
    <row r="2314" spans="1:11">
      <c r="A2314" t="s">
        <v>4252</v>
      </c>
      <c r="B2314" s="15">
        <v>45842</v>
      </c>
      <c r="C2314" s="4">
        <v>45839</v>
      </c>
      <c r="D2314" t="s">
        <v>41</v>
      </c>
      <c r="E2314" t="s">
        <v>21</v>
      </c>
      <c r="F2314" t="s">
        <v>43</v>
      </c>
      <c r="G2314" t="s">
        <v>184</v>
      </c>
      <c r="H2314" t="s">
        <v>11</v>
      </c>
      <c r="I2314" t="s">
        <v>1935</v>
      </c>
      <c r="J2314" t="s">
        <v>1936</v>
      </c>
      <c r="K2314" s="8">
        <v>17</v>
      </c>
    </row>
    <row r="2315" spans="1:11">
      <c r="A2315" t="s">
        <v>4253</v>
      </c>
      <c r="B2315" s="15">
        <v>45868</v>
      </c>
      <c r="C2315" s="4">
        <v>45839</v>
      </c>
      <c r="D2315" t="s">
        <v>44</v>
      </c>
      <c r="E2315" t="s">
        <v>21</v>
      </c>
      <c r="F2315" t="s">
        <v>46</v>
      </c>
      <c r="G2315" t="s">
        <v>234</v>
      </c>
      <c r="H2315" t="s">
        <v>5</v>
      </c>
      <c r="I2315" t="s">
        <v>1935</v>
      </c>
      <c r="J2315" t="s">
        <v>1936</v>
      </c>
      <c r="K2315" s="8">
        <v>8</v>
      </c>
    </row>
    <row r="2316" spans="1:11">
      <c r="A2316" t="s">
        <v>4254</v>
      </c>
      <c r="B2316" s="15">
        <v>45862</v>
      </c>
      <c r="C2316" s="4">
        <v>45839</v>
      </c>
      <c r="D2316" t="s">
        <v>44</v>
      </c>
      <c r="E2316" t="s">
        <v>21</v>
      </c>
      <c r="F2316" t="s">
        <v>46</v>
      </c>
      <c r="G2316" t="s">
        <v>180</v>
      </c>
      <c r="H2316" t="s">
        <v>14</v>
      </c>
      <c r="I2316" t="s">
        <v>1935</v>
      </c>
      <c r="J2316" t="s">
        <v>1936</v>
      </c>
      <c r="K2316" s="8">
        <v>16</v>
      </c>
    </row>
    <row r="2317" spans="1:11">
      <c r="A2317" t="s">
        <v>4255</v>
      </c>
      <c r="B2317" s="15">
        <v>45844</v>
      </c>
      <c r="C2317" s="4">
        <v>45839</v>
      </c>
      <c r="D2317" t="s">
        <v>44</v>
      </c>
      <c r="E2317" t="s">
        <v>21</v>
      </c>
      <c r="F2317" t="s">
        <v>46</v>
      </c>
      <c r="G2317" t="s">
        <v>216</v>
      </c>
      <c r="H2317" t="s">
        <v>14</v>
      </c>
      <c r="I2317" t="s">
        <v>1935</v>
      </c>
      <c r="J2317" t="s">
        <v>1938</v>
      </c>
      <c r="K2317" s="8">
        <v>18</v>
      </c>
    </row>
    <row r="2318" spans="1:11">
      <c r="A2318" t="s">
        <v>4256</v>
      </c>
      <c r="B2318" s="15">
        <v>45858</v>
      </c>
      <c r="C2318" s="4">
        <v>45839</v>
      </c>
      <c r="D2318" t="s">
        <v>44</v>
      </c>
      <c r="E2318" t="s">
        <v>21</v>
      </c>
      <c r="F2318" t="s">
        <v>46</v>
      </c>
      <c r="G2318" t="s">
        <v>234</v>
      </c>
      <c r="H2318" t="s">
        <v>5</v>
      </c>
      <c r="I2318" t="s">
        <v>1935</v>
      </c>
      <c r="J2318" t="s">
        <v>1936</v>
      </c>
      <c r="K2318" s="8">
        <v>34</v>
      </c>
    </row>
    <row r="2319" spans="1:11">
      <c r="A2319" t="s">
        <v>4257</v>
      </c>
      <c r="B2319" s="15">
        <v>45863</v>
      </c>
      <c r="C2319" s="4">
        <v>45839</v>
      </c>
      <c r="D2319" t="s">
        <v>44</v>
      </c>
      <c r="E2319" t="s">
        <v>21</v>
      </c>
      <c r="F2319" t="s">
        <v>46</v>
      </c>
      <c r="G2319" t="s">
        <v>216</v>
      </c>
      <c r="H2319" t="s">
        <v>14</v>
      </c>
      <c r="I2319" t="s">
        <v>1935</v>
      </c>
      <c r="J2319" t="s">
        <v>1936</v>
      </c>
      <c r="K2319" s="8">
        <v>24</v>
      </c>
    </row>
    <row r="2320" spans="1:11">
      <c r="A2320" t="s">
        <v>4258</v>
      </c>
      <c r="B2320" s="15">
        <v>45847</v>
      </c>
      <c r="C2320" s="4">
        <v>45839</v>
      </c>
      <c r="D2320" t="s">
        <v>44</v>
      </c>
      <c r="E2320" t="s">
        <v>21</v>
      </c>
      <c r="F2320" t="s">
        <v>46</v>
      </c>
      <c r="G2320" t="s">
        <v>180</v>
      </c>
      <c r="H2320" t="s">
        <v>14</v>
      </c>
      <c r="I2320" t="s">
        <v>1935</v>
      </c>
      <c r="J2320" t="s">
        <v>1936</v>
      </c>
      <c r="K2320" s="8">
        <v>9</v>
      </c>
    </row>
    <row r="2321" spans="1:11">
      <c r="A2321" t="s">
        <v>4259</v>
      </c>
      <c r="B2321" s="15">
        <v>45847</v>
      </c>
      <c r="C2321" s="4">
        <v>45839</v>
      </c>
      <c r="D2321" t="s">
        <v>44</v>
      </c>
      <c r="E2321" t="s">
        <v>21</v>
      </c>
      <c r="F2321" t="s">
        <v>46</v>
      </c>
      <c r="G2321" t="s">
        <v>210</v>
      </c>
      <c r="H2321" t="s">
        <v>5</v>
      </c>
      <c r="I2321" t="s">
        <v>1935</v>
      </c>
      <c r="J2321" t="s">
        <v>1936</v>
      </c>
      <c r="K2321" s="8">
        <v>29</v>
      </c>
    </row>
    <row r="2322" spans="1:11">
      <c r="A2322" t="s">
        <v>4260</v>
      </c>
      <c r="B2322" s="15">
        <v>45869</v>
      </c>
      <c r="C2322" s="4">
        <v>45839</v>
      </c>
      <c r="D2322" t="s">
        <v>44</v>
      </c>
      <c r="E2322" t="s">
        <v>21</v>
      </c>
      <c r="F2322" t="s">
        <v>46</v>
      </c>
      <c r="G2322" t="s">
        <v>174</v>
      </c>
      <c r="H2322" t="s">
        <v>8</v>
      </c>
      <c r="I2322" t="s">
        <v>1935</v>
      </c>
      <c r="J2322" t="s">
        <v>1938</v>
      </c>
      <c r="K2322" s="8">
        <v>23</v>
      </c>
    </row>
    <row r="2323" spans="1:11">
      <c r="A2323" t="s">
        <v>4261</v>
      </c>
      <c r="B2323" s="15">
        <v>45864</v>
      </c>
      <c r="C2323" s="4">
        <v>45839</v>
      </c>
      <c r="D2323" t="s">
        <v>44</v>
      </c>
      <c r="E2323" t="s">
        <v>21</v>
      </c>
      <c r="F2323" t="s">
        <v>46</v>
      </c>
      <c r="G2323" t="s">
        <v>180</v>
      </c>
      <c r="H2323" t="s">
        <v>14</v>
      </c>
      <c r="I2323" t="s">
        <v>1935</v>
      </c>
      <c r="J2323" t="s">
        <v>1936</v>
      </c>
      <c r="K2323" s="8">
        <v>29</v>
      </c>
    </row>
    <row r="2324" spans="1:11">
      <c r="A2324" t="s">
        <v>4262</v>
      </c>
      <c r="B2324" s="15">
        <v>45858</v>
      </c>
      <c r="C2324" s="4">
        <v>45839</v>
      </c>
      <c r="D2324" t="s">
        <v>44</v>
      </c>
      <c r="E2324" t="s">
        <v>21</v>
      </c>
      <c r="F2324" t="s">
        <v>46</v>
      </c>
      <c r="G2324" t="s">
        <v>186</v>
      </c>
      <c r="H2324" t="s">
        <v>5</v>
      </c>
      <c r="I2324" t="s">
        <v>1935</v>
      </c>
      <c r="J2324" t="s">
        <v>1936</v>
      </c>
      <c r="K2324" s="8">
        <v>14</v>
      </c>
    </row>
    <row r="2325" spans="1:11">
      <c r="A2325" t="s">
        <v>4263</v>
      </c>
      <c r="B2325" s="15">
        <v>45843</v>
      </c>
      <c r="C2325" s="4">
        <v>45839</v>
      </c>
      <c r="D2325" t="s">
        <v>44</v>
      </c>
      <c r="E2325" t="s">
        <v>21</v>
      </c>
      <c r="F2325" t="s">
        <v>46</v>
      </c>
      <c r="G2325" t="s">
        <v>210</v>
      </c>
      <c r="H2325" t="s">
        <v>5</v>
      </c>
      <c r="I2325" t="s">
        <v>1935</v>
      </c>
      <c r="J2325" t="s">
        <v>1936</v>
      </c>
      <c r="K2325" s="8">
        <v>28</v>
      </c>
    </row>
    <row r="2326" spans="1:11">
      <c r="A2326" t="s">
        <v>4264</v>
      </c>
      <c r="B2326" s="15">
        <v>45850</v>
      </c>
      <c r="C2326" s="4">
        <v>45839</v>
      </c>
      <c r="D2326" t="s">
        <v>44</v>
      </c>
      <c r="E2326" t="s">
        <v>21</v>
      </c>
      <c r="F2326" t="s">
        <v>46</v>
      </c>
      <c r="G2326" t="s">
        <v>210</v>
      </c>
      <c r="H2326" t="s">
        <v>11</v>
      </c>
      <c r="I2326" t="s">
        <v>1935</v>
      </c>
      <c r="J2326" t="s">
        <v>1938</v>
      </c>
      <c r="K2326" s="8">
        <v>14</v>
      </c>
    </row>
    <row r="2327" spans="1:11">
      <c r="A2327" t="s">
        <v>4265</v>
      </c>
      <c r="B2327" s="15">
        <v>45858</v>
      </c>
      <c r="C2327" s="4">
        <v>45839</v>
      </c>
      <c r="D2327" t="s">
        <v>44</v>
      </c>
      <c r="E2327" t="s">
        <v>21</v>
      </c>
      <c r="F2327" t="s">
        <v>46</v>
      </c>
      <c r="G2327" t="s">
        <v>216</v>
      </c>
      <c r="H2327" t="s">
        <v>14</v>
      </c>
      <c r="I2327" t="s">
        <v>1935</v>
      </c>
      <c r="J2327" t="s">
        <v>1938</v>
      </c>
      <c r="K2327" s="8">
        <v>12</v>
      </c>
    </row>
    <row r="2328" spans="1:11">
      <c r="A2328" t="s">
        <v>4266</v>
      </c>
      <c r="B2328" s="15">
        <v>45852</v>
      </c>
      <c r="C2328" s="4">
        <v>45839</v>
      </c>
      <c r="D2328" t="s">
        <v>47</v>
      </c>
      <c r="E2328" t="s">
        <v>21</v>
      </c>
      <c r="F2328" t="s">
        <v>49</v>
      </c>
      <c r="G2328" t="s">
        <v>218</v>
      </c>
      <c r="H2328" t="s">
        <v>11</v>
      </c>
      <c r="I2328" t="s">
        <v>1935</v>
      </c>
      <c r="J2328" t="s">
        <v>1936</v>
      </c>
      <c r="K2328" s="8">
        <v>24</v>
      </c>
    </row>
    <row r="2329" spans="1:11">
      <c r="A2329" t="s">
        <v>4267</v>
      </c>
      <c r="B2329" s="15">
        <v>45863</v>
      </c>
      <c r="C2329" s="4">
        <v>45839</v>
      </c>
      <c r="D2329" t="s">
        <v>47</v>
      </c>
      <c r="E2329" t="s">
        <v>21</v>
      </c>
      <c r="F2329" t="s">
        <v>49</v>
      </c>
      <c r="G2329" t="s">
        <v>218</v>
      </c>
      <c r="H2329" t="s">
        <v>14</v>
      </c>
      <c r="I2329" t="s">
        <v>1935</v>
      </c>
      <c r="J2329" t="s">
        <v>1954</v>
      </c>
      <c r="K2329" s="8">
        <v>24</v>
      </c>
    </row>
    <row r="2330" spans="1:11">
      <c r="A2330" t="s">
        <v>4268</v>
      </c>
      <c r="B2330" s="15">
        <v>45841</v>
      </c>
      <c r="C2330" s="4">
        <v>45839</v>
      </c>
      <c r="D2330" t="s">
        <v>47</v>
      </c>
      <c r="E2330" t="s">
        <v>21</v>
      </c>
      <c r="F2330" t="s">
        <v>49</v>
      </c>
      <c r="G2330" t="s">
        <v>170</v>
      </c>
      <c r="H2330" t="s">
        <v>8</v>
      </c>
      <c r="I2330" t="s">
        <v>1935</v>
      </c>
      <c r="J2330" t="s">
        <v>1954</v>
      </c>
      <c r="K2330" s="8">
        <v>24</v>
      </c>
    </row>
    <row r="2331" spans="1:11">
      <c r="A2331" t="s">
        <v>4269</v>
      </c>
      <c r="B2331" s="15">
        <v>45861</v>
      </c>
      <c r="C2331" s="4">
        <v>45839</v>
      </c>
      <c r="D2331" t="s">
        <v>47</v>
      </c>
      <c r="E2331" t="s">
        <v>21</v>
      </c>
      <c r="F2331" t="s">
        <v>49</v>
      </c>
      <c r="G2331" t="s">
        <v>176</v>
      </c>
      <c r="H2331" t="s">
        <v>8</v>
      </c>
      <c r="I2331" t="s">
        <v>1935</v>
      </c>
      <c r="J2331" t="s">
        <v>1936</v>
      </c>
      <c r="K2331" s="8">
        <v>33</v>
      </c>
    </row>
    <row r="2332" spans="1:11">
      <c r="A2332" t="s">
        <v>4270</v>
      </c>
      <c r="B2332" s="15">
        <v>45847</v>
      </c>
      <c r="C2332" s="4">
        <v>45839</v>
      </c>
      <c r="D2332" t="s">
        <v>47</v>
      </c>
      <c r="E2332" t="s">
        <v>21</v>
      </c>
      <c r="F2332" t="s">
        <v>49</v>
      </c>
      <c r="G2332" t="s">
        <v>218</v>
      </c>
      <c r="H2332" t="s">
        <v>14</v>
      </c>
      <c r="I2332" t="s">
        <v>1935</v>
      </c>
      <c r="J2332" t="s">
        <v>1938</v>
      </c>
      <c r="K2332" s="8">
        <v>23</v>
      </c>
    </row>
    <row r="2333" spans="1:11">
      <c r="A2333" t="s">
        <v>4271</v>
      </c>
      <c r="B2333" s="15">
        <v>45861</v>
      </c>
      <c r="C2333" s="4">
        <v>45839</v>
      </c>
      <c r="D2333" t="s">
        <v>47</v>
      </c>
      <c r="E2333" t="s">
        <v>21</v>
      </c>
      <c r="F2333" t="s">
        <v>49</v>
      </c>
      <c r="G2333" t="s">
        <v>218</v>
      </c>
      <c r="H2333" t="s">
        <v>14</v>
      </c>
      <c r="I2333" t="s">
        <v>1935</v>
      </c>
      <c r="J2333" t="s">
        <v>1936</v>
      </c>
      <c r="K2333" s="8">
        <v>11</v>
      </c>
    </row>
    <row r="2334" spans="1:11">
      <c r="A2334" t="s">
        <v>4272</v>
      </c>
      <c r="B2334" s="15">
        <v>45842</v>
      </c>
      <c r="C2334" s="4">
        <v>45839</v>
      </c>
      <c r="D2334" t="s">
        <v>47</v>
      </c>
      <c r="E2334" t="s">
        <v>21</v>
      </c>
      <c r="F2334" t="s">
        <v>49</v>
      </c>
      <c r="G2334" t="s">
        <v>230</v>
      </c>
      <c r="H2334" t="s">
        <v>11</v>
      </c>
      <c r="I2334" t="s">
        <v>1935</v>
      </c>
      <c r="J2334" t="s">
        <v>1936</v>
      </c>
      <c r="K2334" s="8">
        <v>14</v>
      </c>
    </row>
    <row r="2335" spans="1:11">
      <c r="A2335" t="s">
        <v>4273</v>
      </c>
      <c r="B2335" s="15">
        <v>45845</v>
      </c>
      <c r="C2335" s="4">
        <v>45839</v>
      </c>
      <c r="D2335" t="s">
        <v>47</v>
      </c>
      <c r="E2335" t="s">
        <v>21</v>
      </c>
      <c r="F2335" t="s">
        <v>49</v>
      </c>
      <c r="G2335" t="s">
        <v>212</v>
      </c>
      <c r="H2335" t="s">
        <v>14</v>
      </c>
      <c r="I2335" t="s">
        <v>1935</v>
      </c>
      <c r="J2335" t="s">
        <v>1936</v>
      </c>
      <c r="K2335" s="8">
        <v>18</v>
      </c>
    </row>
    <row r="2336" spans="1:11">
      <c r="A2336" t="s">
        <v>4274</v>
      </c>
      <c r="B2336" s="15">
        <v>45849</v>
      </c>
      <c r="C2336" s="4">
        <v>45839</v>
      </c>
      <c r="D2336" t="s">
        <v>47</v>
      </c>
      <c r="E2336" t="s">
        <v>21</v>
      </c>
      <c r="F2336" t="s">
        <v>49</v>
      </c>
      <c r="G2336" t="s">
        <v>218</v>
      </c>
      <c r="H2336" t="s">
        <v>14</v>
      </c>
      <c r="I2336" t="s">
        <v>1935</v>
      </c>
      <c r="J2336" t="s">
        <v>1936</v>
      </c>
      <c r="K2336" s="8">
        <v>14</v>
      </c>
    </row>
    <row r="2337" spans="1:11">
      <c r="A2337" t="s">
        <v>4275</v>
      </c>
      <c r="B2337" s="15">
        <v>45869</v>
      </c>
      <c r="C2337" s="4">
        <v>45839</v>
      </c>
      <c r="D2337" t="s">
        <v>47</v>
      </c>
      <c r="E2337" t="s">
        <v>21</v>
      </c>
      <c r="F2337" t="s">
        <v>49</v>
      </c>
      <c r="G2337" t="s">
        <v>218</v>
      </c>
      <c r="H2337" t="s">
        <v>14</v>
      </c>
      <c r="I2337" t="s">
        <v>1935</v>
      </c>
      <c r="J2337" t="s">
        <v>1936</v>
      </c>
      <c r="K2337" s="8">
        <v>11</v>
      </c>
    </row>
    <row r="2338" spans="1:11">
      <c r="A2338" t="s">
        <v>4276</v>
      </c>
      <c r="B2338" s="15">
        <v>45845</v>
      </c>
      <c r="C2338" s="4">
        <v>45839</v>
      </c>
      <c r="D2338" t="s">
        <v>47</v>
      </c>
      <c r="E2338" t="s">
        <v>21</v>
      </c>
      <c r="F2338" t="s">
        <v>49</v>
      </c>
      <c r="G2338" t="s">
        <v>200</v>
      </c>
      <c r="H2338" t="s">
        <v>5</v>
      </c>
      <c r="I2338" t="s">
        <v>1935</v>
      </c>
      <c r="J2338" t="s">
        <v>1936</v>
      </c>
      <c r="K2338" s="8">
        <v>34</v>
      </c>
    </row>
    <row r="2339" spans="1:11">
      <c r="A2339" t="s">
        <v>4277</v>
      </c>
      <c r="B2339" s="15">
        <v>45865</v>
      </c>
      <c r="C2339" s="4">
        <v>45839</v>
      </c>
      <c r="D2339" t="s">
        <v>47</v>
      </c>
      <c r="E2339" t="s">
        <v>21</v>
      </c>
      <c r="F2339" t="s">
        <v>49</v>
      </c>
      <c r="G2339" t="s">
        <v>218</v>
      </c>
      <c r="H2339" t="s">
        <v>14</v>
      </c>
      <c r="I2339" t="s">
        <v>1935</v>
      </c>
      <c r="J2339" t="s">
        <v>1936</v>
      </c>
      <c r="K2339" s="8">
        <v>33</v>
      </c>
    </row>
    <row r="2340" spans="1:11">
      <c r="A2340" t="s">
        <v>4278</v>
      </c>
      <c r="B2340" s="15">
        <v>45855</v>
      </c>
      <c r="C2340" s="4">
        <v>45839</v>
      </c>
      <c r="D2340" t="s">
        <v>47</v>
      </c>
      <c r="E2340" t="s">
        <v>21</v>
      </c>
      <c r="F2340" t="s">
        <v>49</v>
      </c>
      <c r="G2340" t="s">
        <v>200</v>
      </c>
      <c r="H2340" t="s">
        <v>11</v>
      </c>
      <c r="I2340" t="s">
        <v>1935</v>
      </c>
      <c r="J2340" t="s">
        <v>1938</v>
      </c>
      <c r="K2340" s="8">
        <v>28</v>
      </c>
    </row>
    <row r="2341" spans="1:11">
      <c r="A2341" t="s">
        <v>4279</v>
      </c>
      <c r="B2341" s="15">
        <v>45845</v>
      </c>
      <c r="C2341" s="4">
        <v>45839</v>
      </c>
      <c r="D2341" t="s">
        <v>47</v>
      </c>
      <c r="E2341" t="s">
        <v>21</v>
      </c>
      <c r="F2341" t="s">
        <v>49</v>
      </c>
      <c r="G2341" t="s">
        <v>218</v>
      </c>
      <c r="H2341" t="s">
        <v>14</v>
      </c>
      <c r="I2341" t="s">
        <v>1935</v>
      </c>
      <c r="J2341" t="s">
        <v>1936</v>
      </c>
      <c r="K2341" s="8">
        <v>13</v>
      </c>
    </row>
    <row r="2342" spans="1:11">
      <c r="A2342" t="s">
        <v>4280</v>
      </c>
      <c r="B2342" s="15">
        <v>45839</v>
      </c>
      <c r="C2342" s="4">
        <v>45839</v>
      </c>
      <c r="D2342" t="s">
        <v>50</v>
      </c>
      <c r="E2342" t="s">
        <v>23</v>
      </c>
      <c r="F2342" t="s">
        <v>52</v>
      </c>
      <c r="G2342" t="s">
        <v>292</v>
      </c>
      <c r="H2342" t="s">
        <v>11</v>
      </c>
      <c r="I2342" t="s">
        <v>1935</v>
      </c>
      <c r="J2342" t="s">
        <v>1938</v>
      </c>
      <c r="K2342" s="8">
        <v>29</v>
      </c>
    </row>
    <row r="2343" spans="1:11">
      <c r="A2343" t="s">
        <v>4281</v>
      </c>
      <c r="B2343" s="15">
        <v>45843</v>
      </c>
      <c r="C2343" s="4">
        <v>45839</v>
      </c>
      <c r="D2343" t="s">
        <v>50</v>
      </c>
      <c r="E2343" t="s">
        <v>23</v>
      </c>
      <c r="F2343" t="s">
        <v>52</v>
      </c>
      <c r="G2343" t="s">
        <v>298</v>
      </c>
      <c r="H2343" t="s">
        <v>5</v>
      </c>
      <c r="I2343" t="s">
        <v>1935</v>
      </c>
      <c r="J2343" t="s">
        <v>1936</v>
      </c>
      <c r="K2343" s="8">
        <v>24</v>
      </c>
    </row>
    <row r="2344" spans="1:11">
      <c r="A2344" t="s">
        <v>4282</v>
      </c>
      <c r="B2344" s="15">
        <v>45854</v>
      </c>
      <c r="C2344" s="4">
        <v>45839</v>
      </c>
      <c r="D2344" t="s">
        <v>50</v>
      </c>
      <c r="E2344" t="s">
        <v>23</v>
      </c>
      <c r="F2344" t="s">
        <v>52</v>
      </c>
      <c r="G2344" t="s">
        <v>292</v>
      </c>
      <c r="H2344" t="s">
        <v>14</v>
      </c>
      <c r="I2344" t="s">
        <v>1935</v>
      </c>
      <c r="J2344" t="s">
        <v>1936</v>
      </c>
      <c r="K2344" s="8">
        <v>20</v>
      </c>
    </row>
    <row r="2345" spans="1:11">
      <c r="A2345" t="s">
        <v>4283</v>
      </c>
      <c r="B2345" s="15">
        <v>45859</v>
      </c>
      <c r="C2345" s="4">
        <v>45839</v>
      </c>
      <c r="D2345" t="s">
        <v>50</v>
      </c>
      <c r="E2345" t="s">
        <v>23</v>
      </c>
      <c r="F2345" t="s">
        <v>52</v>
      </c>
      <c r="G2345" t="s">
        <v>310</v>
      </c>
      <c r="H2345" t="s">
        <v>11</v>
      </c>
      <c r="I2345" t="s">
        <v>1935</v>
      </c>
      <c r="J2345" t="s">
        <v>1936</v>
      </c>
      <c r="K2345" s="8">
        <v>17</v>
      </c>
    </row>
    <row r="2346" spans="1:11">
      <c r="A2346" t="s">
        <v>4284</v>
      </c>
      <c r="B2346" s="15">
        <v>45850</v>
      </c>
      <c r="C2346" s="4">
        <v>45839</v>
      </c>
      <c r="D2346" t="s">
        <v>50</v>
      </c>
      <c r="E2346" t="s">
        <v>23</v>
      </c>
      <c r="F2346" t="s">
        <v>52</v>
      </c>
      <c r="G2346" t="s">
        <v>304</v>
      </c>
      <c r="H2346" t="s">
        <v>8</v>
      </c>
      <c r="I2346" t="s">
        <v>1935</v>
      </c>
      <c r="J2346" t="s">
        <v>1936</v>
      </c>
      <c r="K2346" s="8">
        <v>11</v>
      </c>
    </row>
    <row r="2347" spans="1:11">
      <c r="A2347" t="s">
        <v>4285</v>
      </c>
      <c r="B2347" s="15">
        <v>45840</v>
      </c>
      <c r="C2347" s="4">
        <v>45839</v>
      </c>
      <c r="D2347" t="s">
        <v>50</v>
      </c>
      <c r="E2347" t="s">
        <v>23</v>
      </c>
      <c r="F2347" t="s">
        <v>52</v>
      </c>
      <c r="G2347" t="s">
        <v>292</v>
      </c>
      <c r="H2347" t="s">
        <v>11</v>
      </c>
      <c r="I2347" t="s">
        <v>1935</v>
      </c>
      <c r="J2347" t="s">
        <v>1938</v>
      </c>
      <c r="K2347" s="8">
        <v>33</v>
      </c>
    </row>
    <row r="2348" spans="1:11">
      <c r="A2348" t="s">
        <v>4286</v>
      </c>
      <c r="B2348" s="15">
        <v>45864</v>
      </c>
      <c r="C2348" s="4">
        <v>45839</v>
      </c>
      <c r="D2348" t="s">
        <v>50</v>
      </c>
      <c r="E2348" t="s">
        <v>23</v>
      </c>
      <c r="F2348" t="s">
        <v>52</v>
      </c>
      <c r="G2348" t="s">
        <v>280</v>
      </c>
      <c r="H2348" t="s">
        <v>11</v>
      </c>
      <c r="I2348" t="s">
        <v>1935</v>
      </c>
      <c r="J2348" t="s">
        <v>1936</v>
      </c>
      <c r="K2348" s="8">
        <v>18</v>
      </c>
    </row>
    <row r="2349" spans="1:11">
      <c r="A2349" t="s">
        <v>4287</v>
      </c>
      <c r="B2349" s="15">
        <v>45863</v>
      </c>
      <c r="C2349" s="4">
        <v>45839</v>
      </c>
      <c r="D2349" t="s">
        <v>50</v>
      </c>
      <c r="E2349" t="s">
        <v>23</v>
      </c>
      <c r="F2349" t="s">
        <v>52</v>
      </c>
      <c r="G2349" t="s">
        <v>280</v>
      </c>
      <c r="H2349" t="s">
        <v>11</v>
      </c>
      <c r="I2349" t="s">
        <v>1942</v>
      </c>
      <c r="J2349" t="s">
        <v>1936</v>
      </c>
      <c r="K2349" s="8">
        <v>6</v>
      </c>
    </row>
    <row r="2350" spans="1:11">
      <c r="A2350" t="s">
        <v>4288</v>
      </c>
      <c r="B2350" s="15">
        <v>45863</v>
      </c>
      <c r="C2350" s="4">
        <v>45839</v>
      </c>
      <c r="D2350" t="s">
        <v>50</v>
      </c>
      <c r="E2350" t="s">
        <v>23</v>
      </c>
      <c r="F2350" t="s">
        <v>52</v>
      </c>
      <c r="G2350" t="s">
        <v>238</v>
      </c>
      <c r="H2350" t="s">
        <v>8</v>
      </c>
      <c r="I2350" t="s">
        <v>1935</v>
      </c>
      <c r="J2350" t="s">
        <v>1936</v>
      </c>
      <c r="K2350" s="8">
        <v>34</v>
      </c>
    </row>
    <row r="2351" spans="1:11">
      <c r="A2351" t="s">
        <v>4289</v>
      </c>
      <c r="B2351" s="15">
        <v>45863</v>
      </c>
      <c r="C2351" s="4">
        <v>45839</v>
      </c>
      <c r="D2351" t="s">
        <v>50</v>
      </c>
      <c r="E2351" t="s">
        <v>23</v>
      </c>
      <c r="F2351" t="s">
        <v>52</v>
      </c>
      <c r="G2351" t="s">
        <v>310</v>
      </c>
      <c r="H2351" t="s">
        <v>11</v>
      </c>
      <c r="I2351" t="s">
        <v>1935</v>
      </c>
      <c r="J2351" t="s">
        <v>1936</v>
      </c>
      <c r="K2351" s="8">
        <v>14</v>
      </c>
    </row>
    <row r="2352" spans="1:11">
      <c r="A2352" t="s">
        <v>4290</v>
      </c>
      <c r="B2352" s="15">
        <v>45869</v>
      </c>
      <c r="C2352" s="4">
        <v>45839</v>
      </c>
      <c r="D2352" t="s">
        <v>50</v>
      </c>
      <c r="E2352" t="s">
        <v>23</v>
      </c>
      <c r="F2352" t="s">
        <v>52</v>
      </c>
      <c r="G2352" t="s">
        <v>262</v>
      </c>
      <c r="H2352" t="s">
        <v>14</v>
      </c>
      <c r="I2352" t="s">
        <v>1942</v>
      </c>
      <c r="J2352" t="s">
        <v>1936</v>
      </c>
      <c r="K2352" s="8">
        <v>2</v>
      </c>
    </row>
    <row r="2353" spans="1:11">
      <c r="A2353" t="s">
        <v>4291</v>
      </c>
      <c r="B2353" s="15">
        <v>45840</v>
      </c>
      <c r="C2353" s="4">
        <v>45839</v>
      </c>
      <c r="D2353" t="s">
        <v>50</v>
      </c>
      <c r="E2353" t="s">
        <v>23</v>
      </c>
      <c r="F2353" t="s">
        <v>52</v>
      </c>
      <c r="G2353" t="s">
        <v>280</v>
      </c>
      <c r="H2353" t="s">
        <v>11</v>
      </c>
      <c r="I2353" t="s">
        <v>1935</v>
      </c>
      <c r="J2353" t="s">
        <v>1936</v>
      </c>
      <c r="K2353" s="8">
        <v>29</v>
      </c>
    </row>
    <row r="2354" spans="1:11">
      <c r="A2354" t="s">
        <v>4292</v>
      </c>
      <c r="B2354" s="15">
        <v>45856</v>
      </c>
      <c r="C2354" s="4">
        <v>45839</v>
      </c>
      <c r="D2354" t="s">
        <v>50</v>
      </c>
      <c r="E2354" t="s">
        <v>23</v>
      </c>
      <c r="F2354" t="s">
        <v>52</v>
      </c>
      <c r="G2354" t="s">
        <v>292</v>
      </c>
      <c r="H2354" t="s">
        <v>8</v>
      </c>
      <c r="I2354" t="s">
        <v>1942</v>
      </c>
      <c r="J2354" t="s">
        <v>1936</v>
      </c>
      <c r="K2354" s="8">
        <v>4</v>
      </c>
    </row>
    <row r="2355" spans="1:11">
      <c r="A2355" t="s">
        <v>4293</v>
      </c>
      <c r="B2355" s="15">
        <v>45866</v>
      </c>
      <c r="C2355" s="4">
        <v>45839</v>
      </c>
      <c r="D2355" t="s">
        <v>53</v>
      </c>
      <c r="E2355" t="s">
        <v>23</v>
      </c>
      <c r="F2355" t="s">
        <v>55</v>
      </c>
      <c r="G2355" t="s">
        <v>240</v>
      </c>
      <c r="H2355" t="s">
        <v>14</v>
      </c>
      <c r="I2355" t="s">
        <v>1935</v>
      </c>
      <c r="J2355" t="s">
        <v>1936</v>
      </c>
      <c r="K2355" s="8">
        <v>30</v>
      </c>
    </row>
    <row r="2356" spans="1:11">
      <c r="A2356" t="s">
        <v>4294</v>
      </c>
      <c r="B2356" s="15">
        <v>45839</v>
      </c>
      <c r="C2356" s="4">
        <v>45839</v>
      </c>
      <c r="D2356" t="s">
        <v>53</v>
      </c>
      <c r="E2356" t="s">
        <v>23</v>
      </c>
      <c r="F2356" t="s">
        <v>55</v>
      </c>
      <c r="G2356" t="s">
        <v>276</v>
      </c>
      <c r="H2356" t="s">
        <v>8</v>
      </c>
      <c r="I2356" t="s">
        <v>1935</v>
      </c>
      <c r="J2356" t="s">
        <v>1936</v>
      </c>
      <c r="K2356" s="8">
        <v>21</v>
      </c>
    </row>
    <row r="2357" spans="1:11">
      <c r="A2357" t="s">
        <v>4295</v>
      </c>
      <c r="B2357" s="15">
        <v>45859</v>
      </c>
      <c r="C2357" s="4">
        <v>45839</v>
      </c>
      <c r="D2357" t="s">
        <v>53</v>
      </c>
      <c r="E2357" t="s">
        <v>23</v>
      </c>
      <c r="F2357" t="s">
        <v>55</v>
      </c>
      <c r="G2357" t="s">
        <v>264</v>
      </c>
      <c r="H2357" t="s">
        <v>14</v>
      </c>
      <c r="I2357" t="s">
        <v>1935</v>
      </c>
      <c r="J2357" t="s">
        <v>1936</v>
      </c>
      <c r="K2357" s="8">
        <v>23</v>
      </c>
    </row>
    <row r="2358" spans="1:11">
      <c r="A2358" t="s">
        <v>4296</v>
      </c>
      <c r="B2358" s="15">
        <v>45853</v>
      </c>
      <c r="C2358" s="4">
        <v>45839</v>
      </c>
      <c r="D2358" t="s">
        <v>53</v>
      </c>
      <c r="E2358" t="s">
        <v>23</v>
      </c>
      <c r="F2358" t="s">
        <v>55</v>
      </c>
      <c r="G2358" t="s">
        <v>312</v>
      </c>
      <c r="H2358" t="s">
        <v>5</v>
      </c>
      <c r="I2358" t="s">
        <v>1935</v>
      </c>
      <c r="J2358" t="s">
        <v>1936</v>
      </c>
      <c r="K2358" s="8">
        <v>27</v>
      </c>
    </row>
    <row r="2359" spans="1:11">
      <c r="A2359" t="s">
        <v>4297</v>
      </c>
      <c r="B2359" s="15">
        <v>45854</v>
      </c>
      <c r="C2359" s="4">
        <v>45839</v>
      </c>
      <c r="D2359" t="s">
        <v>53</v>
      </c>
      <c r="E2359" t="s">
        <v>23</v>
      </c>
      <c r="F2359" t="s">
        <v>55</v>
      </c>
      <c r="G2359" t="s">
        <v>270</v>
      </c>
      <c r="H2359" t="s">
        <v>5</v>
      </c>
      <c r="I2359" t="s">
        <v>1935</v>
      </c>
      <c r="J2359" t="s">
        <v>1936</v>
      </c>
      <c r="K2359" s="8">
        <v>33</v>
      </c>
    </row>
    <row r="2360" spans="1:11">
      <c r="A2360" t="s">
        <v>4298</v>
      </c>
      <c r="B2360" s="15">
        <v>45846</v>
      </c>
      <c r="C2360" s="4">
        <v>45839</v>
      </c>
      <c r="D2360" t="s">
        <v>53</v>
      </c>
      <c r="E2360" t="s">
        <v>23</v>
      </c>
      <c r="F2360" t="s">
        <v>55</v>
      </c>
      <c r="G2360" t="s">
        <v>294</v>
      </c>
      <c r="H2360" t="s">
        <v>8</v>
      </c>
      <c r="I2360" t="s">
        <v>1935</v>
      </c>
      <c r="J2360" t="s">
        <v>1936</v>
      </c>
      <c r="K2360" s="8">
        <v>26</v>
      </c>
    </row>
    <row r="2361" spans="1:11">
      <c r="A2361" t="s">
        <v>4299</v>
      </c>
      <c r="B2361" s="15">
        <v>45851</v>
      </c>
      <c r="C2361" s="4">
        <v>45839</v>
      </c>
      <c r="D2361" t="s">
        <v>53</v>
      </c>
      <c r="E2361" t="s">
        <v>23</v>
      </c>
      <c r="F2361" t="s">
        <v>55</v>
      </c>
      <c r="G2361" t="s">
        <v>300</v>
      </c>
      <c r="H2361" t="s">
        <v>5</v>
      </c>
      <c r="I2361" t="s">
        <v>1935</v>
      </c>
      <c r="J2361" t="s">
        <v>1936</v>
      </c>
      <c r="K2361" s="8">
        <v>9</v>
      </c>
    </row>
    <row r="2362" spans="1:11">
      <c r="A2362" t="s">
        <v>4300</v>
      </c>
      <c r="B2362" s="15">
        <v>45855</v>
      </c>
      <c r="C2362" s="4">
        <v>45839</v>
      </c>
      <c r="D2362" t="s">
        <v>53</v>
      </c>
      <c r="E2362" t="s">
        <v>23</v>
      </c>
      <c r="F2362" t="s">
        <v>55</v>
      </c>
      <c r="G2362" t="s">
        <v>300</v>
      </c>
      <c r="H2362" t="s">
        <v>5</v>
      </c>
      <c r="I2362" t="s">
        <v>1935</v>
      </c>
      <c r="J2362" t="s">
        <v>1936</v>
      </c>
      <c r="K2362" s="8">
        <v>22</v>
      </c>
    </row>
    <row r="2363" spans="1:11">
      <c r="A2363" t="s">
        <v>4301</v>
      </c>
      <c r="B2363" s="15">
        <v>45849</v>
      </c>
      <c r="C2363" s="4">
        <v>45839</v>
      </c>
      <c r="D2363" t="s">
        <v>53</v>
      </c>
      <c r="E2363" t="s">
        <v>23</v>
      </c>
      <c r="F2363" t="s">
        <v>55</v>
      </c>
      <c r="G2363" t="s">
        <v>270</v>
      </c>
      <c r="H2363" t="s">
        <v>8</v>
      </c>
      <c r="I2363" t="s">
        <v>1935</v>
      </c>
      <c r="J2363" t="s">
        <v>1936</v>
      </c>
      <c r="K2363" s="8">
        <v>31</v>
      </c>
    </row>
    <row r="2364" spans="1:11">
      <c r="A2364" t="s">
        <v>4302</v>
      </c>
      <c r="B2364" s="15">
        <v>45862</v>
      </c>
      <c r="C2364" s="4">
        <v>45839</v>
      </c>
      <c r="D2364" t="s">
        <v>53</v>
      </c>
      <c r="E2364" t="s">
        <v>23</v>
      </c>
      <c r="F2364" t="s">
        <v>55</v>
      </c>
      <c r="G2364" t="s">
        <v>312</v>
      </c>
      <c r="H2364" t="s">
        <v>14</v>
      </c>
      <c r="I2364" t="s">
        <v>1935</v>
      </c>
      <c r="J2364" t="s">
        <v>1936</v>
      </c>
      <c r="K2364" s="8">
        <v>14</v>
      </c>
    </row>
    <row r="2365" spans="1:11">
      <c r="A2365" t="s">
        <v>4303</v>
      </c>
      <c r="B2365" s="15">
        <v>45848</v>
      </c>
      <c r="C2365" s="4">
        <v>45839</v>
      </c>
      <c r="D2365" t="s">
        <v>56</v>
      </c>
      <c r="E2365" t="s">
        <v>23</v>
      </c>
      <c r="F2365" t="s">
        <v>58</v>
      </c>
      <c r="G2365" t="s">
        <v>266</v>
      </c>
      <c r="H2365" t="s">
        <v>8</v>
      </c>
      <c r="I2365" t="s">
        <v>1935</v>
      </c>
      <c r="J2365" t="s">
        <v>1936</v>
      </c>
      <c r="K2365" s="8">
        <v>15</v>
      </c>
    </row>
    <row r="2366" spans="1:11">
      <c r="A2366" t="s">
        <v>4304</v>
      </c>
      <c r="B2366" s="15">
        <v>45847</v>
      </c>
      <c r="C2366" s="4">
        <v>45839</v>
      </c>
      <c r="D2366" t="s">
        <v>56</v>
      </c>
      <c r="E2366" t="s">
        <v>23</v>
      </c>
      <c r="F2366" t="s">
        <v>58</v>
      </c>
      <c r="G2366" t="s">
        <v>248</v>
      </c>
      <c r="H2366" t="s">
        <v>5</v>
      </c>
      <c r="I2366" t="s">
        <v>1935</v>
      </c>
      <c r="J2366" t="s">
        <v>1936</v>
      </c>
      <c r="K2366" s="8">
        <v>9</v>
      </c>
    </row>
    <row r="2367" spans="1:11">
      <c r="A2367" t="s">
        <v>4305</v>
      </c>
      <c r="B2367" s="15">
        <v>45869</v>
      </c>
      <c r="C2367" s="4">
        <v>45839</v>
      </c>
      <c r="D2367" t="s">
        <v>56</v>
      </c>
      <c r="E2367" t="s">
        <v>23</v>
      </c>
      <c r="F2367" t="s">
        <v>58</v>
      </c>
      <c r="G2367" t="s">
        <v>248</v>
      </c>
      <c r="H2367" t="s">
        <v>11</v>
      </c>
      <c r="I2367" t="s">
        <v>1935</v>
      </c>
      <c r="J2367" t="s">
        <v>1954</v>
      </c>
      <c r="K2367" s="8">
        <v>9</v>
      </c>
    </row>
    <row r="2368" spans="1:11">
      <c r="A2368" t="s">
        <v>4306</v>
      </c>
      <c r="B2368" s="15">
        <v>45840</v>
      </c>
      <c r="C2368" s="4">
        <v>45839</v>
      </c>
      <c r="D2368" t="s">
        <v>56</v>
      </c>
      <c r="E2368" t="s">
        <v>23</v>
      </c>
      <c r="F2368" t="s">
        <v>58</v>
      </c>
      <c r="G2368" t="s">
        <v>290</v>
      </c>
      <c r="H2368" t="s">
        <v>11</v>
      </c>
      <c r="I2368" t="s">
        <v>1935</v>
      </c>
      <c r="J2368" t="s">
        <v>1954</v>
      </c>
      <c r="K2368" s="8">
        <v>9</v>
      </c>
    </row>
    <row r="2369" spans="1:11">
      <c r="A2369" t="s">
        <v>4307</v>
      </c>
      <c r="B2369" s="15">
        <v>45847</v>
      </c>
      <c r="C2369" s="4">
        <v>45839</v>
      </c>
      <c r="D2369" t="s">
        <v>56</v>
      </c>
      <c r="E2369" t="s">
        <v>23</v>
      </c>
      <c r="F2369" t="s">
        <v>58</v>
      </c>
      <c r="G2369" t="s">
        <v>260</v>
      </c>
      <c r="H2369" t="s">
        <v>8</v>
      </c>
      <c r="I2369" t="s">
        <v>1935</v>
      </c>
      <c r="J2369" t="s">
        <v>1936</v>
      </c>
      <c r="K2369" s="8">
        <v>10</v>
      </c>
    </row>
    <row r="2370" spans="1:11">
      <c r="A2370" t="s">
        <v>4308</v>
      </c>
      <c r="B2370" s="15">
        <v>45847</v>
      </c>
      <c r="C2370" s="4">
        <v>45839</v>
      </c>
      <c r="D2370" t="s">
        <v>56</v>
      </c>
      <c r="E2370" t="s">
        <v>23</v>
      </c>
      <c r="F2370" t="s">
        <v>58</v>
      </c>
      <c r="G2370" t="s">
        <v>260</v>
      </c>
      <c r="H2370" t="s">
        <v>11</v>
      </c>
      <c r="I2370" t="s">
        <v>1935</v>
      </c>
      <c r="J2370" t="s">
        <v>1938</v>
      </c>
      <c r="K2370" s="8">
        <v>16</v>
      </c>
    </row>
    <row r="2371" spans="1:11">
      <c r="A2371" t="s">
        <v>4309</v>
      </c>
      <c r="B2371" s="15">
        <v>45839</v>
      </c>
      <c r="C2371" s="4">
        <v>45839</v>
      </c>
      <c r="D2371" t="s">
        <v>56</v>
      </c>
      <c r="E2371" t="s">
        <v>23</v>
      </c>
      <c r="F2371" t="s">
        <v>58</v>
      </c>
      <c r="G2371" t="s">
        <v>260</v>
      </c>
      <c r="H2371" t="s">
        <v>11</v>
      </c>
      <c r="I2371" t="s">
        <v>1935</v>
      </c>
      <c r="J2371" t="s">
        <v>1936</v>
      </c>
      <c r="K2371" s="8">
        <v>23</v>
      </c>
    </row>
    <row r="2372" spans="1:11">
      <c r="A2372" t="s">
        <v>4310</v>
      </c>
      <c r="B2372" s="15">
        <v>45846</v>
      </c>
      <c r="C2372" s="4">
        <v>45839</v>
      </c>
      <c r="D2372" t="s">
        <v>56</v>
      </c>
      <c r="E2372" t="s">
        <v>23</v>
      </c>
      <c r="F2372" t="s">
        <v>58</v>
      </c>
      <c r="G2372" t="s">
        <v>248</v>
      </c>
      <c r="H2372" t="s">
        <v>11</v>
      </c>
      <c r="I2372" t="s">
        <v>1935</v>
      </c>
      <c r="J2372" t="s">
        <v>1936</v>
      </c>
      <c r="K2372" s="8">
        <v>28</v>
      </c>
    </row>
    <row r="2373" spans="1:11">
      <c r="A2373" t="s">
        <v>4311</v>
      </c>
      <c r="B2373" s="15">
        <v>45849</v>
      </c>
      <c r="C2373" s="4">
        <v>45839</v>
      </c>
      <c r="D2373" t="s">
        <v>56</v>
      </c>
      <c r="E2373" t="s">
        <v>23</v>
      </c>
      <c r="F2373" t="s">
        <v>58</v>
      </c>
      <c r="G2373" t="s">
        <v>242</v>
      </c>
      <c r="H2373" t="s">
        <v>5</v>
      </c>
      <c r="I2373" t="s">
        <v>1935</v>
      </c>
      <c r="J2373" t="s">
        <v>1936</v>
      </c>
      <c r="K2373" s="8">
        <v>28</v>
      </c>
    </row>
    <row r="2374" spans="1:11">
      <c r="A2374" t="s">
        <v>4312</v>
      </c>
      <c r="B2374" s="15">
        <v>45867</v>
      </c>
      <c r="C2374" s="4">
        <v>45839</v>
      </c>
      <c r="D2374" t="s">
        <v>56</v>
      </c>
      <c r="E2374" t="s">
        <v>23</v>
      </c>
      <c r="F2374" t="s">
        <v>58</v>
      </c>
      <c r="G2374" t="s">
        <v>272</v>
      </c>
      <c r="H2374" t="s">
        <v>11</v>
      </c>
      <c r="I2374" t="s">
        <v>1935</v>
      </c>
      <c r="J2374" t="s">
        <v>1936</v>
      </c>
      <c r="K2374" s="8">
        <v>29</v>
      </c>
    </row>
    <row r="2375" spans="1:11">
      <c r="A2375" t="s">
        <v>4313</v>
      </c>
      <c r="B2375" s="15">
        <v>45856</v>
      </c>
      <c r="C2375" s="4">
        <v>45839</v>
      </c>
      <c r="D2375" t="s">
        <v>59</v>
      </c>
      <c r="E2375" t="s">
        <v>25</v>
      </c>
      <c r="F2375" t="s">
        <v>61</v>
      </c>
      <c r="G2375" t="s">
        <v>326</v>
      </c>
      <c r="H2375" t="s">
        <v>11</v>
      </c>
      <c r="I2375" t="s">
        <v>1935</v>
      </c>
      <c r="J2375" t="s">
        <v>1936</v>
      </c>
      <c r="K2375" s="8">
        <v>25</v>
      </c>
    </row>
    <row r="2376" spans="1:11">
      <c r="A2376" t="s">
        <v>4314</v>
      </c>
      <c r="B2376" s="15">
        <v>45845</v>
      </c>
      <c r="C2376" s="4">
        <v>45839</v>
      </c>
      <c r="D2376" t="s">
        <v>59</v>
      </c>
      <c r="E2376" t="s">
        <v>25</v>
      </c>
      <c r="F2376" t="s">
        <v>61</v>
      </c>
      <c r="G2376" t="s">
        <v>368</v>
      </c>
      <c r="H2376" t="s">
        <v>14</v>
      </c>
      <c r="I2376" t="s">
        <v>1935</v>
      </c>
      <c r="J2376" t="s">
        <v>1954</v>
      </c>
      <c r="K2376" s="8">
        <v>12</v>
      </c>
    </row>
    <row r="2377" spans="1:11">
      <c r="A2377" t="s">
        <v>4315</v>
      </c>
      <c r="B2377" s="15">
        <v>45857</v>
      </c>
      <c r="C2377" s="4">
        <v>45839</v>
      </c>
      <c r="D2377" t="s">
        <v>59</v>
      </c>
      <c r="E2377" t="s">
        <v>25</v>
      </c>
      <c r="F2377" t="s">
        <v>61</v>
      </c>
      <c r="G2377" t="s">
        <v>344</v>
      </c>
      <c r="H2377" t="s">
        <v>8</v>
      </c>
      <c r="I2377" t="s">
        <v>1935</v>
      </c>
      <c r="J2377" t="s">
        <v>1936</v>
      </c>
      <c r="K2377" s="8">
        <v>18</v>
      </c>
    </row>
    <row r="2378" spans="1:11">
      <c r="A2378" t="s">
        <v>4316</v>
      </c>
      <c r="B2378" s="15">
        <v>45846</v>
      </c>
      <c r="C2378" s="4">
        <v>45839</v>
      </c>
      <c r="D2378" t="s">
        <v>59</v>
      </c>
      <c r="E2378" t="s">
        <v>25</v>
      </c>
      <c r="F2378" t="s">
        <v>61</v>
      </c>
      <c r="G2378" t="s">
        <v>344</v>
      </c>
      <c r="H2378" t="s">
        <v>8</v>
      </c>
      <c r="I2378" t="s">
        <v>1935</v>
      </c>
      <c r="J2378" t="s">
        <v>1936</v>
      </c>
      <c r="K2378" s="8">
        <v>20</v>
      </c>
    </row>
    <row r="2379" spans="1:11">
      <c r="A2379" t="s">
        <v>4317</v>
      </c>
      <c r="B2379" s="15">
        <v>45849</v>
      </c>
      <c r="C2379" s="4">
        <v>45839</v>
      </c>
      <c r="D2379" t="s">
        <v>59</v>
      </c>
      <c r="E2379" t="s">
        <v>25</v>
      </c>
      <c r="F2379" t="s">
        <v>61</v>
      </c>
      <c r="G2379" t="s">
        <v>380</v>
      </c>
      <c r="H2379" t="s">
        <v>11</v>
      </c>
      <c r="I2379" t="s">
        <v>1935</v>
      </c>
      <c r="J2379" t="s">
        <v>1938</v>
      </c>
      <c r="K2379" s="8">
        <v>27</v>
      </c>
    </row>
    <row r="2380" spans="1:11">
      <c r="A2380" t="s">
        <v>4318</v>
      </c>
      <c r="B2380" s="15">
        <v>45844</v>
      </c>
      <c r="C2380" s="4">
        <v>45839</v>
      </c>
      <c r="D2380" t="s">
        <v>59</v>
      </c>
      <c r="E2380" t="s">
        <v>25</v>
      </c>
      <c r="F2380" t="s">
        <v>61</v>
      </c>
      <c r="G2380" t="s">
        <v>344</v>
      </c>
      <c r="H2380" t="s">
        <v>8</v>
      </c>
      <c r="I2380" t="s">
        <v>1935</v>
      </c>
      <c r="J2380" t="s">
        <v>1936</v>
      </c>
      <c r="K2380" s="8">
        <v>8</v>
      </c>
    </row>
    <row r="2381" spans="1:11">
      <c r="A2381" t="s">
        <v>4319</v>
      </c>
      <c r="B2381" s="15">
        <v>45867</v>
      </c>
      <c r="C2381" s="4">
        <v>45839</v>
      </c>
      <c r="D2381" t="s">
        <v>59</v>
      </c>
      <c r="E2381" t="s">
        <v>25</v>
      </c>
      <c r="F2381" t="s">
        <v>61</v>
      </c>
      <c r="G2381" t="s">
        <v>320</v>
      </c>
      <c r="H2381" t="s">
        <v>11</v>
      </c>
      <c r="I2381" t="s">
        <v>1935</v>
      </c>
      <c r="J2381" t="s">
        <v>1936</v>
      </c>
      <c r="K2381" s="8">
        <v>8</v>
      </c>
    </row>
    <row r="2382" spans="1:11">
      <c r="A2382" t="s">
        <v>4320</v>
      </c>
      <c r="B2382" s="15">
        <v>45861</v>
      </c>
      <c r="C2382" s="4">
        <v>45839</v>
      </c>
      <c r="D2382" t="s">
        <v>59</v>
      </c>
      <c r="E2382" t="s">
        <v>25</v>
      </c>
      <c r="F2382" t="s">
        <v>61</v>
      </c>
      <c r="G2382" t="s">
        <v>362</v>
      </c>
      <c r="H2382" t="s">
        <v>14</v>
      </c>
      <c r="I2382" t="s">
        <v>1942</v>
      </c>
      <c r="J2382" t="s">
        <v>1954</v>
      </c>
      <c r="K2382" s="8">
        <v>1</v>
      </c>
    </row>
    <row r="2383" spans="1:11">
      <c r="A2383" t="s">
        <v>4321</v>
      </c>
      <c r="B2383" s="15">
        <v>45852</v>
      </c>
      <c r="C2383" s="4">
        <v>45839</v>
      </c>
      <c r="D2383" t="s">
        <v>59</v>
      </c>
      <c r="E2383" t="s">
        <v>25</v>
      </c>
      <c r="F2383" t="s">
        <v>61</v>
      </c>
      <c r="G2383" t="s">
        <v>320</v>
      </c>
      <c r="H2383" t="s">
        <v>11</v>
      </c>
      <c r="I2383" t="s">
        <v>1935</v>
      </c>
      <c r="J2383" t="s">
        <v>1936</v>
      </c>
      <c r="K2383" s="8">
        <v>22</v>
      </c>
    </row>
    <row r="2384" spans="1:11">
      <c r="A2384" t="s">
        <v>4322</v>
      </c>
      <c r="B2384" s="15">
        <v>45844</v>
      </c>
      <c r="C2384" s="4">
        <v>45839</v>
      </c>
      <c r="D2384" t="s">
        <v>59</v>
      </c>
      <c r="E2384" t="s">
        <v>25</v>
      </c>
      <c r="F2384" t="s">
        <v>61</v>
      </c>
      <c r="G2384" t="s">
        <v>380</v>
      </c>
      <c r="H2384" t="s">
        <v>11</v>
      </c>
      <c r="I2384" t="s">
        <v>1935</v>
      </c>
      <c r="J2384" t="s">
        <v>1936</v>
      </c>
      <c r="K2384" s="8">
        <v>8</v>
      </c>
    </row>
    <row r="2385" spans="1:11">
      <c r="A2385" t="s">
        <v>4323</v>
      </c>
      <c r="B2385" s="15">
        <v>45841</v>
      </c>
      <c r="C2385" s="4">
        <v>45839</v>
      </c>
      <c r="D2385" t="s">
        <v>59</v>
      </c>
      <c r="E2385" t="s">
        <v>25</v>
      </c>
      <c r="F2385" t="s">
        <v>61</v>
      </c>
      <c r="G2385" t="s">
        <v>368</v>
      </c>
      <c r="H2385" t="s">
        <v>14</v>
      </c>
      <c r="I2385" t="s">
        <v>1935</v>
      </c>
      <c r="J2385" t="s">
        <v>1936</v>
      </c>
      <c r="K2385" s="8">
        <v>13</v>
      </c>
    </row>
    <row r="2386" spans="1:11">
      <c r="A2386" t="s">
        <v>4324</v>
      </c>
      <c r="B2386" s="15">
        <v>45858</v>
      </c>
      <c r="C2386" s="4">
        <v>45839</v>
      </c>
      <c r="D2386" t="s">
        <v>59</v>
      </c>
      <c r="E2386" t="s">
        <v>25</v>
      </c>
      <c r="F2386" t="s">
        <v>61</v>
      </c>
      <c r="G2386" t="s">
        <v>356</v>
      </c>
      <c r="H2386" t="s">
        <v>8</v>
      </c>
      <c r="I2386" t="s">
        <v>1935</v>
      </c>
      <c r="J2386" t="s">
        <v>1936</v>
      </c>
      <c r="K2386" s="8">
        <v>14</v>
      </c>
    </row>
    <row r="2387" spans="1:11">
      <c r="A2387" t="s">
        <v>4325</v>
      </c>
      <c r="B2387" s="15">
        <v>45862</v>
      </c>
      <c r="C2387" s="4">
        <v>45839</v>
      </c>
      <c r="D2387" t="s">
        <v>62</v>
      </c>
      <c r="E2387" t="s">
        <v>25</v>
      </c>
      <c r="F2387" t="s">
        <v>64</v>
      </c>
      <c r="G2387" t="s">
        <v>322</v>
      </c>
      <c r="H2387" t="s">
        <v>14</v>
      </c>
      <c r="I2387" t="s">
        <v>1935</v>
      </c>
      <c r="J2387" t="s">
        <v>1938</v>
      </c>
      <c r="K2387" s="8">
        <v>20</v>
      </c>
    </row>
    <row r="2388" spans="1:11">
      <c r="A2388" t="s">
        <v>4326</v>
      </c>
      <c r="B2388" s="15">
        <v>45868</v>
      </c>
      <c r="C2388" s="4">
        <v>45839</v>
      </c>
      <c r="D2388" t="s">
        <v>62</v>
      </c>
      <c r="E2388" t="s">
        <v>25</v>
      </c>
      <c r="F2388" t="s">
        <v>64</v>
      </c>
      <c r="G2388" t="s">
        <v>328</v>
      </c>
      <c r="H2388" t="s">
        <v>8</v>
      </c>
      <c r="I2388" t="s">
        <v>1935</v>
      </c>
      <c r="J2388" t="s">
        <v>1938</v>
      </c>
      <c r="K2388" s="8">
        <v>13</v>
      </c>
    </row>
    <row r="2389" spans="1:11">
      <c r="A2389" t="s">
        <v>4327</v>
      </c>
      <c r="B2389" s="15">
        <v>45869</v>
      </c>
      <c r="C2389" s="4">
        <v>45839</v>
      </c>
      <c r="D2389" t="s">
        <v>62</v>
      </c>
      <c r="E2389" t="s">
        <v>25</v>
      </c>
      <c r="F2389" t="s">
        <v>64</v>
      </c>
      <c r="G2389" t="s">
        <v>340</v>
      </c>
      <c r="H2389" t="s">
        <v>8</v>
      </c>
      <c r="I2389" t="s">
        <v>1935</v>
      </c>
      <c r="J2389" t="s">
        <v>1936</v>
      </c>
      <c r="K2389" s="8">
        <v>29</v>
      </c>
    </row>
    <row r="2390" spans="1:11">
      <c r="A2390" t="s">
        <v>4328</v>
      </c>
      <c r="B2390" s="15">
        <v>45843</v>
      </c>
      <c r="C2390" s="4">
        <v>45839</v>
      </c>
      <c r="D2390" t="s">
        <v>62</v>
      </c>
      <c r="E2390" t="s">
        <v>25</v>
      </c>
      <c r="F2390" t="s">
        <v>64</v>
      </c>
      <c r="G2390" t="s">
        <v>358</v>
      </c>
      <c r="H2390" t="s">
        <v>8</v>
      </c>
      <c r="I2390" t="s">
        <v>1935</v>
      </c>
      <c r="J2390" t="s">
        <v>1938</v>
      </c>
      <c r="K2390" s="8">
        <v>25</v>
      </c>
    </row>
    <row r="2391" spans="1:11">
      <c r="A2391" t="s">
        <v>4329</v>
      </c>
      <c r="B2391" s="15">
        <v>45852</v>
      </c>
      <c r="C2391" s="4">
        <v>45839</v>
      </c>
      <c r="D2391" t="s">
        <v>62</v>
      </c>
      <c r="E2391" t="s">
        <v>25</v>
      </c>
      <c r="F2391" t="s">
        <v>64</v>
      </c>
      <c r="G2391" t="s">
        <v>334</v>
      </c>
      <c r="H2391" t="s">
        <v>11</v>
      </c>
      <c r="I2391" t="s">
        <v>1935</v>
      </c>
      <c r="J2391" t="s">
        <v>1938</v>
      </c>
      <c r="K2391" s="8">
        <v>10</v>
      </c>
    </row>
    <row r="2392" spans="1:11">
      <c r="A2392" t="s">
        <v>4330</v>
      </c>
      <c r="B2392" s="15">
        <v>45862</v>
      </c>
      <c r="C2392" s="4">
        <v>45839</v>
      </c>
      <c r="D2392" t="s">
        <v>62</v>
      </c>
      <c r="E2392" t="s">
        <v>25</v>
      </c>
      <c r="F2392" t="s">
        <v>64</v>
      </c>
      <c r="G2392" t="s">
        <v>340</v>
      </c>
      <c r="H2392" t="s">
        <v>8</v>
      </c>
      <c r="I2392" t="s">
        <v>1935</v>
      </c>
      <c r="J2392" t="s">
        <v>1936</v>
      </c>
      <c r="K2392" s="8">
        <v>11</v>
      </c>
    </row>
    <row r="2393" spans="1:11">
      <c r="A2393" t="s">
        <v>4331</v>
      </c>
      <c r="B2393" s="15">
        <v>45857</v>
      </c>
      <c r="C2393" s="4">
        <v>45839</v>
      </c>
      <c r="D2393" t="s">
        <v>62</v>
      </c>
      <c r="E2393" t="s">
        <v>25</v>
      </c>
      <c r="F2393" t="s">
        <v>64</v>
      </c>
      <c r="G2393" t="s">
        <v>328</v>
      </c>
      <c r="H2393" t="s">
        <v>5</v>
      </c>
      <c r="I2393" t="s">
        <v>1935</v>
      </c>
      <c r="J2393" t="s">
        <v>1954</v>
      </c>
      <c r="K2393" s="8">
        <v>13</v>
      </c>
    </row>
    <row r="2394" spans="1:11">
      <c r="A2394" t="s">
        <v>4332</v>
      </c>
      <c r="B2394" s="15">
        <v>45867</v>
      </c>
      <c r="C2394" s="4">
        <v>45839</v>
      </c>
      <c r="D2394" t="s">
        <v>62</v>
      </c>
      <c r="E2394" t="s">
        <v>25</v>
      </c>
      <c r="F2394" t="s">
        <v>64</v>
      </c>
      <c r="G2394" t="s">
        <v>376</v>
      </c>
      <c r="H2394" t="s">
        <v>11</v>
      </c>
      <c r="I2394" t="s">
        <v>1935</v>
      </c>
      <c r="J2394" t="s">
        <v>1936</v>
      </c>
      <c r="K2394" s="8">
        <v>29</v>
      </c>
    </row>
    <row r="2395" spans="1:11">
      <c r="A2395" t="s">
        <v>4333</v>
      </c>
      <c r="B2395" s="15">
        <v>45852</v>
      </c>
      <c r="C2395" s="4">
        <v>45839</v>
      </c>
      <c r="D2395" t="s">
        <v>62</v>
      </c>
      <c r="E2395" t="s">
        <v>25</v>
      </c>
      <c r="F2395" t="s">
        <v>64</v>
      </c>
      <c r="G2395" t="s">
        <v>346</v>
      </c>
      <c r="H2395" t="s">
        <v>8</v>
      </c>
      <c r="I2395" t="s">
        <v>1935</v>
      </c>
      <c r="J2395" t="s">
        <v>1936</v>
      </c>
      <c r="K2395" s="8">
        <v>34</v>
      </c>
    </row>
    <row r="2396" spans="1:11">
      <c r="A2396" t="s">
        <v>4334</v>
      </c>
      <c r="B2396" s="15">
        <v>45856</v>
      </c>
      <c r="C2396" s="4">
        <v>45839</v>
      </c>
      <c r="D2396" t="s">
        <v>65</v>
      </c>
      <c r="E2396" t="s">
        <v>25</v>
      </c>
      <c r="F2396" t="s">
        <v>67</v>
      </c>
      <c r="G2396" t="s">
        <v>354</v>
      </c>
      <c r="H2396" t="s">
        <v>14</v>
      </c>
      <c r="I2396" t="s">
        <v>1935</v>
      </c>
      <c r="J2396" t="s">
        <v>1938</v>
      </c>
      <c r="K2396" s="8">
        <v>33</v>
      </c>
    </row>
    <row r="2397" spans="1:11">
      <c r="A2397" t="s">
        <v>4335</v>
      </c>
      <c r="B2397" s="15">
        <v>45853</v>
      </c>
      <c r="C2397" s="4">
        <v>45839</v>
      </c>
      <c r="D2397" t="s">
        <v>65</v>
      </c>
      <c r="E2397" t="s">
        <v>25</v>
      </c>
      <c r="F2397" t="s">
        <v>67</v>
      </c>
      <c r="G2397" t="s">
        <v>324</v>
      </c>
      <c r="H2397" t="s">
        <v>8</v>
      </c>
      <c r="I2397" t="s">
        <v>1935</v>
      </c>
      <c r="J2397" t="s">
        <v>1936</v>
      </c>
      <c r="K2397" s="8">
        <v>21</v>
      </c>
    </row>
    <row r="2398" spans="1:11">
      <c r="A2398" t="s">
        <v>4336</v>
      </c>
      <c r="B2398" s="15">
        <v>45860</v>
      </c>
      <c r="C2398" s="4">
        <v>45839</v>
      </c>
      <c r="D2398" t="s">
        <v>65</v>
      </c>
      <c r="E2398" t="s">
        <v>25</v>
      </c>
      <c r="F2398" t="s">
        <v>67</v>
      </c>
      <c r="G2398" t="s">
        <v>372</v>
      </c>
      <c r="H2398" t="s">
        <v>5</v>
      </c>
      <c r="I2398" t="s">
        <v>1935</v>
      </c>
      <c r="J2398" t="s">
        <v>1936</v>
      </c>
      <c r="K2398" s="8">
        <v>8</v>
      </c>
    </row>
    <row r="2399" spans="1:11">
      <c r="A2399" t="s">
        <v>4337</v>
      </c>
      <c r="B2399" s="15">
        <v>45851</v>
      </c>
      <c r="C2399" s="4">
        <v>45839</v>
      </c>
      <c r="D2399" t="s">
        <v>65</v>
      </c>
      <c r="E2399" t="s">
        <v>25</v>
      </c>
      <c r="F2399" t="s">
        <v>67</v>
      </c>
      <c r="G2399" t="s">
        <v>318</v>
      </c>
      <c r="H2399" t="s">
        <v>14</v>
      </c>
      <c r="I2399" t="s">
        <v>1935</v>
      </c>
      <c r="J2399" t="s">
        <v>1936</v>
      </c>
      <c r="K2399" s="8">
        <v>34</v>
      </c>
    </row>
    <row r="2400" spans="1:11">
      <c r="A2400" t="s">
        <v>4338</v>
      </c>
      <c r="B2400" s="15">
        <v>45853</v>
      </c>
      <c r="C2400" s="4">
        <v>45839</v>
      </c>
      <c r="D2400" t="s">
        <v>65</v>
      </c>
      <c r="E2400" t="s">
        <v>25</v>
      </c>
      <c r="F2400" t="s">
        <v>67</v>
      </c>
      <c r="G2400" t="s">
        <v>354</v>
      </c>
      <c r="H2400" t="s">
        <v>8</v>
      </c>
      <c r="I2400" t="s">
        <v>1935</v>
      </c>
      <c r="J2400" t="s">
        <v>1954</v>
      </c>
      <c r="K2400" s="8">
        <v>23</v>
      </c>
    </row>
    <row r="2401" spans="1:11">
      <c r="A2401" t="s">
        <v>4339</v>
      </c>
      <c r="B2401" s="15">
        <v>45858</v>
      </c>
      <c r="C2401" s="4">
        <v>45839</v>
      </c>
      <c r="D2401" t="s">
        <v>65</v>
      </c>
      <c r="E2401" t="s">
        <v>25</v>
      </c>
      <c r="F2401" t="s">
        <v>67</v>
      </c>
      <c r="G2401" t="s">
        <v>348</v>
      </c>
      <c r="H2401" t="s">
        <v>11</v>
      </c>
      <c r="I2401" t="s">
        <v>1995</v>
      </c>
      <c r="J2401" t="s">
        <v>1936</v>
      </c>
      <c r="K2401" s="8">
        <v>1</v>
      </c>
    </row>
    <row r="2402" spans="1:11">
      <c r="A2402" t="s">
        <v>4340</v>
      </c>
      <c r="B2402" s="15">
        <v>45846</v>
      </c>
      <c r="C2402" s="4">
        <v>45839</v>
      </c>
      <c r="D2402" t="s">
        <v>65</v>
      </c>
      <c r="E2402" t="s">
        <v>25</v>
      </c>
      <c r="F2402" t="s">
        <v>67</v>
      </c>
      <c r="G2402" t="s">
        <v>372</v>
      </c>
      <c r="H2402" t="s">
        <v>5</v>
      </c>
      <c r="I2402" t="s">
        <v>1935</v>
      </c>
      <c r="J2402" t="s">
        <v>1936</v>
      </c>
      <c r="K2402" s="8">
        <v>21</v>
      </c>
    </row>
    <row r="2403" spans="1:11">
      <c r="A2403" t="s">
        <v>4341</v>
      </c>
      <c r="B2403" s="15">
        <v>45845</v>
      </c>
      <c r="C2403" s="4">
        <v>45839</v>
      </c>
      <c r="D2403" t="s">
        <v>65</v>
      </c>
      <c r="E2403" t="s">
        <v>25</v>
      </c>
      <c r="F2403" t="s">
        <v>67</v>
      </c>
      <c r="G2403" t="s">
        <v>354</v>
      </c>
      <c r="H2403" t="s">
        <v>8</v>
      </c>
      <c r="I2403" t="s">
        <v>1935</v>
      </c>
      <c r="J2403" t="s">
        <v>1954</v>
      </c>
      <c r="K2403" s="8">
        <v>31</v>
      </c>
    </row>
    <row r="2404" spans="1:11">
      <c r="A2404" t="s">
        <v>4342</v>
      </c>
      <c r="B2404" s="15">
        <v>45844</v>
      </c>
      <c r="C2404" s="4">
        <v>45839</v>
      </c>
      <c r="D2404" t="s">
        <v>65</v>
      </c>
      <c r="E2404" t="s">
        <v>25</v>
      </c>
      <c r="F2404" t="s">
        <v>67</v>
      </c>
      <c r="G2404" t="s">
        <v>348</v>
      </c>
      <c r="H2404" t="s">
        <v>11</v>
      </c>
      <c r="I2404" t="s">
        <v>1935</v>
      </c>
      <c r="J2404" t="s">
        <v>1936</v>
      </c>
      <c r="K2404" s="8">
        <v>31</v>
      </c>
    </row>
    <row r="2405" spans="1:11">
      <c r="A2405" t="s">
        <v>4343</v>
      </c>
      <c r="B2405" s="15">
        <v>45853</v>
      </c>
      <c r="C2405" s="4">
        <v>45839</v>
      </c>
      <c r="D2405" t="s">
        <v>65</v>
      </c>
      <c r="E2405" t="s">
        <v>25</v>
      </c>
      <c r="F2405" t="s">
        <v>67</v>
      </c>
      <c r="G2405" t="s">
        <v>318</v>
      </c>
      <c r="H2405" t="s">
        <v>14</v>
      </c>
      <c r="I2405" t="s">
        <v>1935</v>
      </c>
      <c r="J2405" t="s">
        <v>1938</v>
      </c>
      <c r="K2405" s="8">
        <v>9</v>
      </c>
    </row>
    <row r="2406" spans="1:11">
      <c r="A2406" t="s">
        <v>4344</v>
      </c>
      <c r="B2406" s="15">
        <v>45859</v>
      </c>
      <c r="C2406" s="4">
        <v>45839</v>
      </c>
      <c r="D2406" t="s">
        <v>65</v>
      </c>
      <c r="E2406" t="s">
        <v>25</v>
      </c>
      <c r="F2406" t="s">
        <v>67</v>
      </c>
      <c r="G2406" t="s">
        <v>354</v>
      </c>
      <c r="H2406" t="s">
        <v>11</v>
      </c>
      <c r="I2406" t="s">
        <v>1995</v>
      </c>
      <c r="J2406" t="s">
        <v>1938</v>
      </c>
      <c r="K2406" s="8">
        <v>7</v>
      </c>
    </row>
    <row r="2407" spans="1:11">
      <c r="A2407" t="s">
        <v>4345</v>
      </c>
      <c r="B2407" s="15">
        <v>45863</v>
      </c>
      <c r="C2407" s="4">
        <v>45839</v>
      </c>
      <c r="D2407" t="s">
        <v>65</v>
      </c>
      <c r="E2407" t="s">
        <v>25</v>
      </c>
      <c r="F2407" t="s">
        <v>67</v>
      </c>
      <c r="G2407" t="s">
        <v>354</v>
      </c>
      <c r="H2407" t="s">
        <v>14</v>
      </c>
      <c r="I2407" t="s">
        <v>1935</v>
      </c>
      <c r="J2407" t="s">
        <v>1936</v>
      </c>
      <c r="K2407" s="8">
        <v>22</v>
      </c>
    </row>
    <row r="2408" spans="1:11">
      <c r="A2408" t="s">
        <v>4346</v>
      </c>
      <c r="B2408" s="15">
        <v>45859</v>
      </c>
      <c r="C2408" s="4">
        <v>45839</v>
      </c>
      <c r="D2408" t="s">
        <v>65</v>
      </c>
      <c r="E2408" t="s">
        <v>25</v>
      </c>
      <c r="F2408" t="s">
        <v>67</v>
      </c>
      <c r="G2408" t="s">
        <v>342</v>
      </c>
      <c r="H2408" t="s">
        <v>8</v>
      </c>
      <c r="I2408" t="s">
        <v>1935</v>
      </c>
      <c r="J2408" t="s">
        <v>1936</v>
      </c>
      <c r="K2408" s="8">
        <v>9</v>
      </c>
    </row>
    <row r="2409" spans="1:11">
      <c r="A2409" t="s">
        <v>4347</v>
      </c>
      <c r="B2409" s="15">
        <v>45887</v>
      </c>
      <c r="C2409" s="4">
        <v>45870</v>
      </c>
      <c r="D2409" t="s">
        <v>32</v>
      </c>
      <c r="E2409" t="s">
        <v>19</v>
      </c>
      <c r="F2409" t="s">
        <v>34</v>
      </c>
      <c r="G2409" t="s">
        <v>130</v>
      </c>
      <c r="H2409" t="s">
        <v>14</v>
      </c>
      <c r="I2409" t="s">
        <v>1935</v>
      </c>
      <c r="J2409" t="s">
        <v>1936</v>
      </c>
      <c r="K2409" s="8">
        <v>10</v>
      </c>
    </row>
    <row r="2410" spans="1:11">
      <c r="A2410" t="s">
        <v>4348</v>
      </c>
      <c r="B2410" s="15">
        <v>45897</v>
      </c>
      <c r="C2410" s="4">
        <v>45870</v>
      </c>
      <c r="D2410" t="s">
        <v>32</v>
      </c>
      <c r="E2410" t="s">
        <v>19</v>
      </c>
      <c r="F2410" t="s">
        <v>34</v>
      </c>
      <c r="G2410" t="s">
        <v>154</v>
      </c>
      <c r="H2410" t="s">
        <v>11</v>
      </c>
      <c r="I2410" t="s">
        <v>1942</v>
      </c>
      <c r="J2410" t="s">
        <v>1936</v>
      </c>
      <c r="K2410" s="8">
        <v>6</v>
      </c>
    </row>
    <row r="2411" spans="1:11">
      <c r="A2411" t="s">
        <v>4349</v>
      </c>
      <c r="B2411" s="15">
        <v>45898</v>
      </c>
      <c r="C2411" s="4">
        <v>45870</v>
      </c>
      <c r="D2411" t="s">
        <v>32</v>
      </c>
      <c r="E2411" t="s">
        <v>19</v>
      </c>
      <c r="F2411" t="s">
        <v>34</v>
      </c>
      <c r="G2411" t="s">
        <v>111</v>
      </c>
      <c r="H2411" t="s">
        <v>5</v>
      </c>
      <c r="I2411" t="s">
        <v>1935</v>
      </c>
      <c r="J2411" t="s">
        <v>1936</v>
      </c>
      <c r="K2411" s="8">
        <v>22</v>
      </c>
    </row>
    <row r="2412" spans="1:11">
      <c r="A2412" t="s">
        <v>4350</v>
      </c>
      <c r="B2412" s="15">
        <v>45889</v>
      </c>
      <c r="C2412" s="4">
        <v>45870</v>
      </c>
      <c r="D2412" t="s">
        <v>32</v>
      </c>
      <c r="E2412" t="s">
        <v>19</v>
      </c>
      <c r="F2412" t="s">
        <v>34</v>
      </c>
      <c r="G2412" t="s">
        <v>105</v>
      </c>
      <c r="H2412" t="s">
        <v>8</v>
      </c>
      <c r="I2412" t="s">
        <v>1935</v>
      </c>
      <c r="J2412" t="s">
        <v>1938</v>
      </c>
      <c r="K2412" s="8">
        <v>25</v>
      </c>
    </row>
    <row r="2413" spans="1:11">
      <c r="A2413" t="s">
        <v>4351</v>
      </c>
      <c r="B2413" s="15">
        <v>45888</v>
      </c>
      <c r="C2413" s="4">
        <v>45870</v>
      </c>
      <c r="D2413" t="s">
        <v>32</v>
      </c>
      <c r="E2413" t="s">
        <v>19</v>
      </c>
      <c r="F2413" t="s">
        <v>34</v>
      </c>
      <c r="G2413" t="s">
        <v>130</v>
      </c>
      <c r="H2413" t="s">
        <v>14</v>
      </c>
      <c r="I2413" t="s">
        <v>1935</v>
      </c>
      <c r="J2413" t="s">
        <v>1936</v>
      </c>
      <c r="K2413" s="8">
        <v>35</v>
      </c>
    </row>
    <row r="2414" spans="1:11">
      <c r="A2414" t="s">
        <v>4352</v>
      </c>
      <c r="B2414" s="15">
        <v>45895</v>
      </c>
      <c r="C2414" s="4">
        <v>45870</v>
      </c>
      <c r="D2414" t="s">
        <v>32</v>
      </c>
      <c r="E2414" t="s">
        <v>19</v>
      </c>
      <c r="F2414" t="s">
        <v>34</v>
      </c>
      <c r="G2414" t="s">
        <v>124</v>
      </c>
      <c r="H2414" t="s">
        <v>11</v>
      </c>
      <c r="I2414" t="s">
        <v>1935</v>
      </c>
      <c r="J2414" t="s">
        <v>1936</v>
      </c>
      <c r="K2414" s="8">
        <v>16</v>
      </c>
    </row>
    <row r="2415" spans="1:11">
      <c r="A2415" t="s">
        <v>4353</v>
      </c>
      <c r="B2415" s="15">
        <v>45895</v>
      </c>
      <c r="C2415" s="4">
        <v>45870</v>
      </c>
      <c r="D2415" t="s">
        <v>32</v>
      </c>
      <c r="E2415" t="s">
        <v>19</v>
      </c>
      <c r="F2415" t="s">
        <v>34</v>
      </c>
      <c r="G2415" t="s">
        <v>75</v>
      </c>
      <c r="H2415" t="s">
        <v>5</v>
      </c>
      <c r="I2415" t="s">
        <v>1935</v>
      </c>
      <c r="J2415" t="s">
        <v>1938</v>
      </c>
      <c r="K2415" s="8">
        <v>21</v>
      </c>
    </row>
    <row r="2416" spans="1:11">
      <c r="A2416" t="s">
        <v>4354</v>
      </c>
      <c r="B2416" s="15">
        <v>45877</v>
      </c>
      <c r="C2416" s="4">
        <v>45870</v>
      </c>
      <c r="D2416" t="s">
        <v>32</v>
      </c>
      <c r="E2416" t="s">
        <v>19</v>
      </c>
      <c r="F2416" t="s">
        <v>34</v>
      </c>
      <c r="G2416" t="s">
        <v>111</v>
      </c>
      <c r="H2416" t="s">
        <v>5</v>
      </c>
      <c r="I2416" t="s">
        <v>1935</v>
      </c>
      <c r="J2416" t="s">
        <v>1936</v>
      </c>
      <c r="K2416" s="8">
        <v>10</v>
      </c>
    </row>
    <row r="2417" spans="1:11">
      <c r="A2417" t="s">
        <v>4355</v>
      </c>
      <c r="B2417" s="15">
        <v>45894</v>
      </c>
      <c r="C2417" s="4">
        <v>45870</v>
      </c>
      <c r="D2417" t="s">
        <v>32</v>
      </c>
      <c r="E2417" t="s">
        <v>19</v>
      </c>
      <c r="F2417" t="s">
        <v>34</v>
      </c>
      <c r="G2417" t="s">
        <v>124</v>
      </c>
      <c r="H2417" t="s">
        <v>11</v>
      </c>
      <c r="I2417" t="s">
        <v>1935</v>
      </c>
      <c r="J2417" t="s">
        <v>1936</v>
      </c>
      <c r="K2417" s="8">
        <v>29</v>
      </c>
    </row>
    <row r="2418" spans="1:11">
      <c r="A2418" t="s">
        <v>4356</v>
      </c>
      <c r="B2418" s="15">
        <v>45878</v>
      </c>
      <c r="C2418" s="4">
        <v>45870</v>
      </c>
      <c r="D2418" t="s">
        <v>32</v>
      </c>
      <c r="E2418" t="s">
        <v>19</v>
      </c>
      <c r="F2418" t="s">
        <v>34</v>
      </c>
      <c r="G2418" t="s">
        <v>124</v>
      </c>
      <c r="H2418" t="s">
        <v>11</v>
      </c>
      <c r="I2418" t="s">
        <v>1935</v>
      </c>
      <c r="J2418" t="s">
        <v>1938</v>
      </c>
      <c r="K2418" s="8">
        <v>34</v>
      </c>
    </row>
    <row r="2419" spans="1:11">
      <c r="A2419" t="s">
        <v>4357</v>
      </c>
      <c r="B2419" s="15">
        <v>45875</v>
      </c>
      <c r="C2419" s="4">
        <v>45870</v>
      </c>
      <c r="D2419" t="s">
        <v>35</v>
      </c>
      <c r="E2419" t="s">
        <v>19</v>
      </c>
      <c r="F2419" t="s">
        <v>37</v>
      </c>
      <c r="G2419" t="s">
        <v>107</v>
      </c>
      <c r="H2419" t="s">
        <v>8</v>
      </c>
      <c r="I2419" t="s">
        <v>1935</v>
      </c>
      <c r="J2419" t="s">
        <v>1936</v>
      </c>
      <c r="K2419" s="8">
        <v>33</v>
      </c>
    </row>
    <row r="2420" spans="1:11">
      <c r="A2420" t="s">
        <v>4358</v>
      </c>
      <c r="B2420" s="15">
        <v>45870</v>
      </c>
      <c r="C2420" s="4">
        <v>45870</v>
      </c>
      <c r="D2420" t="s">
        <v>35</v>
      </c>
      <c r="E2420" t="s">
        <v>19</v>
      </c>
      <c r="F2420" t="s">
        <v>37</v>
      </c>
      <c r="G2420" t="s">
        <v>88</v>
      </c>
      <c r="H2420" t="s">
        <v>8</v>
      </c>
      <c r="I2420" t="s">
        <v>1935</v>
      </c>
      <c r="J2420" t="s">
        <v>1938</v>
      </c>
      <c r="K2420" s="8">
        <v>23</v>
      </c>
    </row>
    <row r="2421" spans="1:11">
      <c r="A2421" t="s">
        <v>4359</v>
      </c>
      <c r="B2421" s="15">
        <v>45871</v>
      </c>
      <c r="C2421" s="4">
        <v>45870</v>
      </c>
      <c r="D2421" t="s">
        <v>35</v>
      </c>
      <c r="E2421" t="s">
        <v>19</v>
      </c>
      <c r="F2421" t="s">
        <v>37</v>
      </c>
      <c r="G2421" t="s">
        <v>78</v>
      </c>
      <c r="H2421" t="s">
        <v>8</v>
      </c>
      <c r="I2421" t="s">
        <v>1935</v>
      </c>
      <c r="J2421" t="s">
        <v>1936</v>
      </c>
      <c r="K2421" s="8">
        <v>27</v>
      </c>
    </row>
    <row r="2422" spans="1:11">
      <c r="A2422" t="s">
        <v>4360</v>
      </c>
      <c r="B2422" s="15">
        <v>45871</v>
      </c>
      <c r="C2422" s="4">
        <v>45870</v>
      </c>
      <c r="D2422" t="s">
        <v>35</v>
      </c>
      <c r="E2422" t="s">
        <v>19</v>
      </c>
      <c r="F2422" t="s">
        <v>37</v>
      </c>
      <c r="G2422" t="s">
        <v>107</v>
      </c>
      <c r="H2422" t="s">
        <v>8</v>
      </c>
      <c r="I2422" t="s">
        <v>1935</v>
      </c>
      <c r="J2422" t="s">
        <v>1936</v>
      </c>
      <c r="K2422" s="8">
        <v>8</v>
      </c>
    </row>
    <row r="2423" spans="1:11">
      <c r="A2423" t="s">
        <v>4361</v>
      </c>
      <c r="B2423" s="15">
        <v>45893</v>
      </c>
      <c r="C2423" s="4">
        <v>45870</v>
      </c>
      <c r="D2423" t="s">
        <v>35</v>
      </c>
      <c r="E2423" t="s">
        <v>19</v>
      </c>
      <c r="F2423" t="s">
        <v>37</v>
      </c>
      <c r="G2423" t="s">
        <v>78</v>
      </c>
      <c r="H2423" t="s">
        <v>8</v>
      </c>
      <c r="I2423" t="s">
        <v>1935</v>
      </c>
      <c r="J2423" t="s">
        <v>1938</v>
      </c>
      <c r="K2423" s="8">
        <v>20</v>
      </c>
    </row>
    <row r="2424" spans="1:11">
      <c r="A2424" t="s">
        <v>4362</v>
      </c>
      <c r="B2424" s="15">
        <v>45873</v>
      </c>
      <c r="C2424" s="4">
        <v>45870</v>
      </c>
      <c r="D2424" t="s">
        <v>35</v>
      </c>
      <c r="E2424" t="s">
        <v>19</v>
      </c>
      <c r="F2424" t="s">
        <v>37</v>
      </c>
      <c r="G2424" t="s">
        <v>107</v>
      </c>
      <c r="H2424" t="s">
        <v>8</v>
      </c>
      <c r="I2424" t="s">
        <v>1935</v>
      </c>
      <c r="J2424" t="s">
        <v>1936</v>
      </c>
      <c r="K2424" s="8">
        <v>33</v>
      </c>
    </row>
    <row r="2425" spans="1:11">
      <c r="A2425" t="s">
        <v>4363</v>
      </c>
      <c r="B2425" s="15">
        <v>45877</v>
      </c>
      <c r="C2425" s="4">
        <v>45870</v>
      </c>
      <c r="D2425" t="s">
        <v>35</v>
      </c>
      <c r="E2425" t="s">
        <v>19</v>
      </c>
      <c r="F2425" t="s">
        <v>37</v>
      </c>
      <c r="G2425" t="s">
        <v>78</v>
      </c>
      <c r="H2425" t="s">
        <v>8</v>
      </c>
      <c r="I2425" t="s">
        <v>1935</v>
      </c>
      <c r="J2425" t="s">
        <v>1954</v>
      </c>
      <c r="K2425" s="8">
        <v>19</v>
      </c>
    </row>
    <row r="2426" spans="1:11">
      <c r="A2426" t="s">
        <v>4364</v>
      </c>
      <c r="B2426" s="15">
        <v>45900</v>
      </c>
      <c r="C2426" s="4">
        <v>45870</v>
      </c>
      <c r="D2426" t="s">
        <v>35</v>
      </c>
      <c r="E2426" t="s">
        <v>19</v>
      </c>
      <c r="F2426" t="s">
        <v>37</v>
      </c>
      <c r="G2426" t="s">
        <v>107</v>
      </c>
      <c r="H2426" t="s">
        <v>8</v>
      </c>
      <c r="I2426" t="s">
        <v>1942</v>
      </c>
      <c r="J2426" t="s">
        <v>1938</v>
      </c>
      <c r="K2426" s="8">
        <v>7</v>
      </c>
    </row>
    <row r="2427" spans="1:11">
      <c r="A2427" t="s">
        <v>4365</v>
      </c>
      <c r="B2427" s="15">
        <v>45887</v>
      </c>
      <c r="C2427" s="4">
        <v>45870</v>
      </c>
      <c r="D2427" t="s">
        <v>35</v>
      </c>
      <c r="E2427" t="s">
        <v>19</v>
      </c>
      <c r="F2427" t="s">
        <v>37</v>
      </c>
      <c r="G2427" t="s">
        <v>107</v>
      </c>
      <c r="H2427" t="s">
        <v>8</v>
      </c>
      <c r="I2427" t="s">
        <v>1935</v>
      </c>
      <c r="J2427" t="s">
        <v>1936</v>
      </c>
      <c r="K2427" s="8">
        <v>33</v>
      </c>
    </row>
    <row r="2428" spans="1:11">
      <c r="A2428" t="s">
        <v>4366</v>
      </c>
      <c r="B2428" s="15">
        <v>45891</v>
      </c>
      <c r="C2428" s="4">
        <v>45870</v>
      </c>
      <c r="D2428" t="s">
        <v>35</v>
      </c>
      <c r="E2428" t="s">
        <v>19</v>
      </c>
      <c r="F2428" t="s">
        <v>37</v>
      </c>
      <c r="G2428" t="s">
        <v>107</v>
      </c>
      <c r="H2428" t="s">
        <v>8</v>
      </c>
      <c r="I2428" t="s">
        <v>1935</v>
      </c>
      <c r="J2428" t="s">
        <v>1936</v>
      </c>
      <c r="K2428" s="8">
        <v>30</v>
      </c>
    </row>
    <row r="2429" spans="1:11">
      <c r="A2429" t="s">
        <v>4367</v>
      </c>
      <c r="B2429" s="15">
        <v>45883</v>
      </c>
      <c r="C2429" s="4">
        <v>45870</v>
      </c>
      <c r="D2429" t="s">
        <v>35</v>
      </c>
      <c r="E2429" t="s">
        <v>19</v>
      </c>
      <c r="F2429" t="s">
        <v>37</v>
      </c>
      <c r="G2429" t="s">
        <v>126</v>
      </c>
      <c r="H2429" t="s">
        <v>5</v>
      </c>
      <c r="I2429" t="s">
        <v>1942</v>
      </c>
      <c r="J2429" t="s">
        <v>1936</v>
      </c>
      <c r="K2429" s="8">
        <v>4</v>
      </c>
    </row>
    <row r="2430" spans="1:11">
      <c r="A2430" t="s">
        <v>4368</v>
      </c>
      <c r="B2430" s="15">
        <v>45893</v>
      </c>
      <c r="C2430" s="4">
        <v>45870</v>
      </c>
      <c r="D2430" t="s">
        <v>35</v>
      </c>
      <c r="E2430" t="s">
        <v>19</v>
      </c>
      <c r="F2430" t="s">
        <v>37</v>
      </c>
      <c r="G2430" t="s">
        <v>88</v>
      </c>
      <c r="H2430" t="s">
        <v>8</v>
      </c>
      <c r="I2430" t="s">
        <v>1935</v>
      </c>
      <c r="J2430" t="s">
        <v>1936</v>
      </c>
      <c r="K2430" s="8">
        <v>11</v>
      </c>
    </row>
    <row r="2431" spans="1:11">
      <c r="A2431" t="s">
        <v>4369</v>
      </c>
      <c r="B2431" s="15">
        <v>45898</v>
      </c>
      <c r="C2431" s="4">
        <v>45870</v>
      </c>
      <c r="D2431" t="s">
        <v>35</v>
      </c>
      <c r="E2431" t="s">
        <v>19</v>
      </c>
      <c r="F2431" t="s">
        <v>37</v>
      </c>
      <c r="G2431" t="s">
        <v>78</v>
      </c>
      <c r="H2431" t="s">
        <v>11</v>
      </c>
      <c r="I2431" t="s">
        <v>1935</v>
      </c>
      <c r="J2431" t="s">
        <v>1936</v>
      </c>
      <c r="K2431" s="8">
        <v>35</v>
      </c>
    </row>
    <row r="2432" spans="1:11">
      <c r="A2432" t="s">
        <v>4370</v>
      </c>
      <c r="B2432" s="15">
        <v>45891</v>
      </c>
      <c r="C2432" s="4">
        <v>45870</v>
      </c>
      <c r="D2432" t="s">
        <v>38</v>
      </c>
      <c r="E2432" t="s">
        <v>19</v>
      </c>
      <c r="F2432" t="s">
        <v>40</v>
      </c>
      <c r="G2432" t="s">
        <v>82</v>
      </c>
      <c r="H2432" t="s">
        <v>11</v>
      </c>
      <c r="I2432" t="s">
        <v>1935</v>
      </c>
      <c r="J2432" t="s">
        <v>1936</v>
      </c>
      <c r="K2432" s="8">
        <v>32</v>
      </c>
    </row>
    <row r="2433" spans="1:11">
      <c r="A2433" t="s">
        <v>4371</v>
      </c>
      <c r="B2433" s="15">
        <v>45881</v>
      </c>
      <c r="C2433" s="4">
        <v>45870</v>
      </c>
      <c r="D2433" t="s">
        <v>38</v>
      </c>
      <c r="E2433" t="s">
        <v>19</v>
      </c>
      <c r="F2433" t="s">
        <v>40</v>
      </c>
      <c r="G2433" t="s">
        <v>96</v>
      </c>
      <c r="H2433" t="s">
        <v>5</v>
      </c>
      <c r="I2433" t="s">
        <v>1935</v>
      </c>
      <c r="J2433" t="s">
        <v>1936</v>
      </c>
      <c r="K2433" s="8">
        <v>24</v>
      </c>
    </row>
    <row r="2434" spans="1:11">
      <c r="A2434" t="s">
        <v>4372</v>
      </c>
      <c r="B2434" s="15">
        <v>45889</v>
      </c>
      <c r="C2434" s="4">
        <v>45870</v>
      </c>
      <c r="D2434" t="s">
        <v>38</v>
      </c>
      <c r="E2434" t="s">
        <v>19</v>
      </c>
      <c r="F2434" t="s">
        <v>40</v>
      </c>
      <c r="G2434" t="s">
        <v>164</v>
      </c>
      <c r="H2434" t="s">
        <v>5</v>
      </c>
      <c r="I2434" t="s">
        <v>1935</v>
      </c>
      <c r="J2434" t="s">
        <v>1954</v>
      </c>
      <c r="K2434" s="8">
        <v>29</v>
      </c>
    </row>
    <row r="2435" spans="1:11">
      <c r="A2435" t="s">
        <v>4373</v>
      </c>
      <c r="B2435" s="15">
        <v>45893</v>
      </c>
      <c r="C2435" s="4">
        <v>45870</v>
      </c>
      <c r="D2435" t="s">
        <v>38</v>
      </c>
      <c r="E2435" t="s">
        <v>19</v>
      </c>
      <c r="F2435" t="s">
        <v>40</v>
      </c>
      <c r="G2435" t="s">
        <v>109</v>
      </c>
      <c r="H2435" t="s">
        <v>11</v>
      </c>
      <c r="I2435" t="s">
        <v>1935</v>
      </c>
      <c r="J2435" t="s">
        <v>1936</v>
      </c>
      <c r="K2435" s="8">
        <v>29</v>
      </c>
    </row>
    <row r="2436" spans="1:11">
      <c r="A2436" t="s">
        <v>4374</v>
      </c>
      <c r="B2436" s="15">
        <v>45899</v>
      </c>
      <c r="C2436" s="4">
        <v>45870</v>
      </c>
      <c r="D2436" t="s">
        <v>38</v>
      </c>
      <c r="E2436" t="s">
        <v>19</v>
      </c>
      <c r="F2436" t="s">
        <v>40</v>
      </c>
      <c r="G2436" t="s">
        <v>82</v>
      </c>
      <c r="H2436" t="s">
        <v>5</v>
      </c>
      <c r="I2436" t="s">
        <v>1935</v>
      </c>
      <c r="J2436" t="s">
        <v>1936</v>
      </c>
      <c r="K2436" s="8">
        <v>31</v>
      </c>
    </row>
    <row r="2437" spans="1:11">
      <c r="A2437" t="s">
        <v>4375</v>
      </c>
      <c r="B2437" s="15">
        <v>45873</v>
      </c>
      <c r="C2437" s="4">
        <v>45870</v>
      </c>
      <c r="D2437" t="s">
        <v>38</v>
      </c>
      <c r="E2437" t="s">
        <v>19</v>
      </c>
      <c r="F2437" t="s">
        <v>40</v>
      </c>
      <c r="G2437" t="s">
        <v>140</v>
      </c>
      <c r="H2437" t="s">
        <v>8</v>
      </c>
      <c r="I2437" t="s">
        <v>1942</v>
      </c>
      <c r="J2437" t="s">
        <v>1936</v>
      </c>
      <c r="K2437" s="8">
        <v>6</v>
      </c>
    </row>
    <row r="2438" spans="1:11">
      <c r="A2438" t="s">
        <v>4376</v>
      </c>
      <c r="B2438" s="15">
        <v>45875</v>
      </c>
      <c r="C2438" s="4">
        <v>45870</v>
      </c>
      <c r="D2438" t="s">
        <v>38</v>
      </c>
      <c r="E2438" t="s">
        <v>19</v>
      </c>
      <c r="F2438" t="s">
        <v>40</v>
      </c>
      <c r="G2438" t="s">
        <v>140</v>
      </c>
      <c r="H2438" t="s">
        <v>5</v>
      </c>
      <c r="I2438" t="s">
        <v>1942</v>
      </c>
      <c r="J2438" t="s">
        <v>1936</v>
      </c>
      <c r="K2438" s="8">
        <v>5</v>
      </c>
    </row>
    <row r="2439" spans="1:11">
      <c r="A2439" t="s">
        <v>4377</v>
      </c>
      <c r="B2439" s="15">
        <v>45884</v>
      </c>
      <c r="C2439" s="4">
        <v>45870</v>
      </c>
      <c r="D2439" t="s">
        <v>38</v>
      </c>
      <c r="E2439" t="s">
        <v>19</v>
      </c>
      <c r="F2439" t="s">
        <v>40</v>
      </c>
      <c r="G2439" t="s">
        <v>82</v>
      </c>
      <c r="H2439" t="s">
        <v>5</v>
      </c>
      <c r="I2439" t="s">
        <v>1935</v>
      </c>
      <c r="J2439" t="s">
        <v>1954</v>
      </c>
      <c r="K2439" s="8">
        <v>23</v>
      </c>
    </row>
    <row r="2440" spans="1:11">
      <c r="A2440" t="s">
        <v>4378</v>
      </c>
      <c r="B2440" s="15">
        <v>45887</v>
      </c>
      <c r="C2440" s="4">
        <v>45870</v>
      </c>
      <c r="D2440" t="s">
        <v>38</v>
      </c>
      <c r="E2440" t="s">
        <v>19</v>
      </c>
      <c r="F2440" t="s">
        <v>40</v>
      </c>
      <c r="G2440" t="s">
        <v>122</v>
      </c>
      <c r="H2440" t="s">
        <v>11</v>
      </c>
      <c r="I2440" t="s">
        <v>1935</v>
      </c>
      <c r="J2440" t="s">
        <v>1954</v>
      </c>
      <c r="K2440" s="8">
        <v>13</v>
      </c>
    </row>
    <row r="2441" spans="1:11">
      <c r="A2441" t="s">
        <v>4379</v>
      </c>
      <c r="B2441" s="15">
        <v>45874</v>
      </c>
      <c r="C2441" s="4">
        <v>45870</v>
      </c>
      <c r="D2441" t="s">
        <v>38</v>
      </c>
      <c r="E2441" t="s">
        <v>19</v>
      </c>
      <c r="F2441" t="s">
        <v>40</v>
      </c>
      <c r="G2441" t="s">
        <v>90</v>
      </c>
      <c r="H2441" t="s">
        <v>5</v>
      </c>
      <c r="I2441" t="s">
        <v>1935</v>
      </c>
      <c r="J2441" t="s">
        <v>1936</v>
      </c>
      <c r="K2441" s="8">
        <v>24</v>
      </c>
    </row>
    <row r="2442" spans="1:11">
      <c r="A2442" t="s">
        <v>4380</v>
      </c>
      <c r="B2442" s="15">
        <v>45883</v>
      </c>
      <c r="C2442" s="4">
        <v>45870</v>
      </c>
      <c r="D2442" t="s">
        <v>38</v>
      </c>
      <c r="E2442" t="s">
        <v>19</v>
      </c>
      <c r="F2442" t="s">
        <v>40</v>
      </c>
      <c r="G2442" t="s">
        <v>140</v>
      </c>
      <c r="H2442" t="s">
        <v>11</v>
      </c>
      <c r="I2442" t="s">
        <v>1935</v>
      </c>
      <c r="J2442" t="s">
        <v>1938</v>
      </c>
      <c r="K2442" s="8">
        <v>24</v>
      </c>
    </row>
    <row r="2443" spans="1:11">
      <c r="A2443" t="s">
        <v>4381</v>
      </c>
      <c r="B2443" s="15">
        <v>45890</v>
      </c>
      <c r="C2443" s="4">
        <v>45870</v>
      </c>
      <c r="D2443" t="s">
        <v>38</v>
      </c>
      <c r="E2443" t="s">
        <v>19</v>
      </c>
      <c r="F2443" t="s">
        <v>40</v>
      </c>
      <c r="G2443" t="s">
        <v>128</v>
      </c>
      <c r="H2443" t="s">
        <v>5</v>
      </c>
      <c r="I2443" t="s">
        <v>1935</v>
      </c>
      <c r="J2443" t="s">
        <v>1954</v>
      </c>
      <c r="K2443" s="8">
        <v>27</v>
      </c>
    </row>
    <row r="2444" spans="1:11">
      <c r="A2444" t="s">
        <v>4382</v>
      </c>
      <c r="B2444" s="15">
        <v>45890</v>
      </c>
      <c r="C2444" s="4">
        <v>45870</v>
      </c>
      <c r="D2444" t="s">
        <v>38</v>
      </c>
      <c r="E2444" t="s">
        <v>19</v>
      </c>
      <c r="F2444" t="s">
        <v>40</v>
      </c>
      <c r="G2444" t="s">
        <v>146</v>
      </c>
      <c r="H2444" t="s">
        <v>5</v>
      </c>
      <c r="I2444" t="s">
        <v>1935</v>
      </c>
      <c r="J2444" t="s">
        <v>1936</v>
      </c>
      <c r="K2444" s="8">
        <v>17</v>
      </c>
    </row>
    <row r="2445" spans="1:11">
      <c r="A2445" t="s">
        <v>4383</v>
      </c>
      <c r="B2445" s="15">
        <v>45885</v>
      </c>
      <c r="C2445" s="4">
        <v>45870</v>
      </c>
      <c r="D2445" t="s">
        <v>41</v>
      </c>
      <c r="E2445" t="s">
        <v>21</v>
      </c>
      <c r="F2445" t="s">
        <v>43</v>
      </c>
      <c r="G2445" t="s">
        <v>220</v>
      </c>
      <c r="H2445" t="s">
        <v>5</v>
      </c>
      <c r="I2445" t="s">
        <v>1935</v>
      </c>
      <c r="J2445" t="s">
        <v>1938</v>
      </c>
      <c r="K2445" s="8">
        <v>26</v>
      </c>
    </row>
    <row r="2446" spans="1:11">
      <c r="A2446" t="s">
        <v>4384</v>
      </c>
      <c r="B2446" s="15">
        <v>45874</v>
      </c>
      <c r="C2446" s="4">
        <v>45870</v>
      </c>
      <c r="D2446" t="s">
        <v>41</v>
      </c>
      <c r="E2446" t="s">
        <v>21</v>
      </c>
      <c r="F2446" t="s">
        <v>43</v>
      </c>
      <c r="G2446" t="s">
        <v>214</v>
      </c>
      <c r="H2446" t="s">
        <v>5</v>
      </c>
      <c r="I2446" t="s">
        <v>1935</v>
      </c>
      <c r="J2446" t="s">
        <v>1936</v>
      </c>
      <c r="K2446" s="8">
        <v>26</v>
      </c>
    </row>
    <row r="2447" spans="1:11">
      <c r="A2447" t="s">
        <v>4385</v>
      </c>
      <c r="B2447" s="15">
        <v>45894</v>
      </c>
      <c r="C2447" s="4">
        <v>45870</v>
      </c>
      <c r="D2447" t="s">
        <v>41</v>
      </c>
      <c r="E2447" t="s">
        <v>21</v>
      </c>
      <c r="F2447" t="s">
        <v>43</v>
      </c>
      <c r="G2447" t="s">
        <v>196</v>
      </c>
      <c r="H2447" t="s">
        <v>14</v>
      </c>
      <c r="I2447" t="s">
        <v>1935</v>
      </c>
      <c r="J2447" t="s">
        <v>1938</v>
      </c>
      <c r="K2447" s="8">
        <v>16</v>
      </c>
    </row>
    <row r="2448" spans="1:11">
      <c r="A2448" t="s">
        <v>4386</v>
      </c>
      <c r="B2448" s="15">
        <v>45871</v>
      </c>
      <c r="C2448" s="4">
        <v>45870</v>
      </c>
      <c r="D2448" t="s">
        <v>41</v>
      </c>
      <c r="E2448" t="s">
        <v>21</v>
      </c>
      <c r="F2448" t="s">
        <v>43</v>
      </c>
      <c r="G2448" t="s">
        <v>226</v>
      </c>
      <c r="H2448" t="s">
        <v>5</v>
      </c>
      <c r="I2448" t="s">
        <v>1935</v>
      </c>
      <c r="J2448" t="s">
        <v>1936</v>
      </c>
      <c r="K2448" s="8">
        <v>8</v>
      </c>
    </row>
    <row r="2449" spans="1:11">
      <c r="A2449" t="s">
        <v>4387</v>
      </c>
      <c r="B2449" s="15">
        <v>45894</v>
      </c>
      <c r="C2449" s="4">
        <v>45870</v>
      </c>
      <c r="D2449" t="s">
        <v>41</v>
      </c>
      <c r="E2449" t="s">
        <v>21</v>
      </c>
      <c r="F2449" t="s">
        <v>43</v>
      </c>
      <c r="G2449" t="s">
        <v>220</v>
      </c>
      <c r="H2449" t="s">
        <v>11</v>
      </c>
      <c r="I2449" t="s">
        <v>1935</v>
      </c>
      <c r="J2449" t="s">
        <v>1936</v>
      </c>
      <c r="K2449" s="8">
        <v>20</v>
      </c>
    </row>
    <row r="2450" spans="1:11">
      <c r="A2450" t="s">
        <v>4388</v>
      </c>
      <c r="B2450" s="15">
        <v>45898</v>
      </c>
      <c r="C2450" s="4">
        <v>45870</v>
      </c>
      <c r="D2450" t="s">
        <v>41</v>
      </c>
      <c r="E2450" t="s">
        <v>21</v>
      </c>
      <c r="F2450" t="s">
        <v>43</v>
      </c>
      <c r="G2450" t="s">
        <v>214</v>
      </c>
      <c r="H2450" t="s">
        <v>11</v>
      </c>
      <c r="I2450" t="s">
        <v>1935</v>
      </c>
      <c r="J2450" t="s">
        <v>1938</v>
      </c>
      <c r="K2450" s="8">
        <v>12</v>
      </c>
    </row>
    <row r="2451" spans="1:11">
      <c r="A2451" t="s">
        <v>4389</v>
      </c>
      <c r="B2451" s="15">
        <v>45879</v>
      </c>
      <c r="C2451" s="4">
        <v>45870</v>
      </c>
      <c r="D2451" t="s">
        <v>41</v>
      </c>
      <c r="E2451" t="s">
        <v>21</v>
      </c>
      <c r="F2451" t="s">
        <v>43</v>
      </c>
      <c r="G2451" t="s">
        <v>208</v>
      </c>
      <c r="H2451" t="s">
        <v>11</v>
      </c>
      <c r="I2451" t="s">
        <v>1935</v>
      </c>
      <c r="J2451" t="s">
        <v>1936</v>
      </c>
      <c r="K2451" s="8">
        <v>22</v>
      </c>
    </row>
    <row r="2452" spans="1:11">
      <c r="A2452" t="s">
        <v>4390</v>
      </c>
      <c r="B2452" s="15">
        <v>45892</v>
      </c>
      <c r="C2452" s="4">
        <v>45870</v>
      </c>
      <c r="D2452" t="s">
        <v>41</v>
      </c>
      <c r="E2452" t="s">
        <v>21</v>
      </c>
      <c r="F2452" t="s">
        <v>43</v>
      </c>
      <c r="G2452" t="s">
        <v>220</v>
      </c>
      <c r="H2452" t="s">
        <v>11</v>
      </c>
      <c r="I2452" t="s">
        <v>1935</v>
      </c>
      <c r="J2452" t="s">
        <v>1936</v>
      </c>
      <c r="K2452" s="8">
        <v>22</v>
      </c>
    </row>
    <row r="2453" spans="1:11">
      <c r="A2453" t="s">
        <v>4391</v>
      </c>
      <c r="B2453" s="15">
        <v>45873</v>
      </c>
      <c r="C2453" s="4">
        <v>45870</v>
      </c>
      <c r="D2453" t="s">
        <v>41</v>
      </c>
      <c r="E2453" t="s">
        <v>21</v>
      </c>
      <c r="F2453" t="s">
        <v>43</v>
      </c>
      <c r="G2453" t="s">
        <v>166</v>
      </c>
      <c r="H2453" t="s">
        <v>14</v>
      </c>
      <c r="I2453" t="s">
        <v>1935</v>
      </c>
      <c r="J2453" t="s">
        <v>1938</v>
      </c>
      <c r="K2453" s="8">
        <v>30</v>
      </c>
    </row>
    <row r="2454" spans="1:11">
      <c r="A2454" t="s">
        <v>4392</v>
      </c>
      <c r="B2454" s="15">
        <v>45881</v>
      </c>
      <c r="C2454" s="4">
        <v>45870</v>
      </c>
      <c r="D2454" t="s">
        <v>41</v>
      </c>
      <c r="E2454" t="s">
        <v>21</v>
      </c>
      <c r="F2454" t="s">
        <v>43</v>
      </c>
      <c r="G2454" t="s">
        <v>232</v>
      </c>
      <c r="H2454" t="s">
        <v>11</v>
      </c>
      <c r="I2454" t="s">
        <v>1935</v>
      </c>
      <c r="J2454" t="s">
        <v>1936</v>
      </c>
      <c r="K2454" s="8">
        <v>16</v>
      </c>
    </row>
    <row r="2455" spans="1:11">
      <c r="A2455" t="s">
        <v>4393</v>
      </c>
      <c r="B2455" s="15">
        <v>45873</v>
      </c>
      <c r="C2455" s="4">
        <v>45870</v>
      </c>
      <c r="D2455" t="s">
        <v>41</v>
      </c>
      <c r="E2455" t="s">
        <v>21</v>
      </c>
      <c r="F2455" t="s">
        <v>43</v>
      </c>
      <c r="G2455" t="s">
        <v>214</v>
      </c>
      <c r="H2455" t="s">
        <v>5</v>
      </c>
      <c r="I2455" t="s">
        <v>1935</v>
      </c>
      <c r="J2455" t="s">
        <v>1938</v>
      </c>
      <c r="K2455" s="8">
        <v>29</v>
      </c>
    </row>
    <row r="2456" spans="1:11">
      <c r="A2456" t="s">
        <v>4394</v>
      </c>
      <c r="B2456" s="15">
        <v>45896</v>
      </c>
      <c r="C2456" s="4">
        <v>45870</v>
      </c>
      <c r="D2456" t="s">
        <v>41</v>
      </c>
      <c r="E2456" t="s">
        <v>21</v>
      </c>
      <c r="F2456" t="s">
        <v>43</v>
      </c>
      <c r="G2456" t="s">
        <v>220</v>
      </c>
      <c r="H2456" t="s">
        <v>11</v>
      </c>
      <c r="I2456" t="s">
        <v>1935</v>
      </c>
      <c r="J2456" t="s">
        <v>1936</v>
      </c>
      <c r="K2456" s="8">
        <v>25</v>
      </c>
    </row>
    <row r="2457" spans="1:11">
      <c r="A2457" t="s">
        <v>4395</v>
      </c>
      <c r="B2457" s="15">
        <v>45885</v>
      </c>
      <c r="C2457" s="4">
        <v>45870</v>
      </c>
      <c r="D2457" t="s">
        <v>44</v>
      </c>
      <c r="E2457" t="s">
        <v>21</v>
      </c>
      <c r="F2457" t="s">
        <v>46</v>
      </c>
      <c r="G2457" t="s">
        <v>210</v>
      </c>
      <c r="H2457" t="s">
        <v>8</v>
      </c>
      <c r="I2457" t="s">
        <v>1935</v>
      </c>
      <c r="J2457" t="s">
        <v>1936</v>
      </c>
      <c r="K2457" s="8">
        <v>29</v>
      </c>
    </row>
    <row r="2458" spans="1:11">
      <c r="A2458" t="s">
        <v>4396</v>
      </c>
      <c r="B2458" s="15">
        <v>45878</v>
      </c>
      <c r="C2458" s="4">
        <v>45870</v>
      </c>
      <c r="D2458" t="s">
        <v>44</v>
      </c>
      <c r="E2458" t="s">
        <v>21</v>
      </c>
      <c r="F2458" t="s">
        <v>46</v>
      </c>
      <c r="G2458" t="s">
        <v>180</v>
      </c>
      <c r="H2458" t="s">
        <v>14</v>
      </c>
      <c r="I2458" t="s">
        <v>1935</v>
      </c>
      <c r="J2458" t="s">
        <v>1936</v>
      </c>
      <c r="K2458" s="8">
        <v>15</v>
      </c>
    </row>
    <row r="2459" spans="1:11">
      <c r="A2459" t="s">
        <v>4397</v>
      </c>
      <c r="B2459" s="15">
        <v>45883</v>
      </c>
      <c r="C2459" s="4">
        <v>45870</v>
      </c>
      <c r="D2459" t="s">
        <v>44</v>
      </c>
      <c r="E2459" t="s">
        <v>21</v>
      </c>
      <c r="F2459" t="s">
        <v>46</v>
      </c>
      <c r="G2459" t="s">
        <v>234</v>
      </c>
      <c r="H2459" t="s">
        <v>5</v>
      </c>
      <c r="I2459" t="s">
        <v>1935</v>
      </c>
      <c r="J2459" t="s">
        <v>1936</v>
      </c>
      <c r="K2459" s="8">
        <v>27</v>
      </c>
    </row>
    <row r="2460" spans="1:11">
      <c r="A2460" t="s">
        <v>4398</v>
      </c>
      <c r="B2460" s="15">
        <v>45870</v>
      </c>
      <c r="C2460" s="4">
        <v>45870</v>
      </c>
      <c r="D2460" t="s">
        <v>44</v>
      </c>
      <c r="E2460" t="s">
        <v>21</v>
      </c>
      <c r="F2460" t="s">
        <v>46</v>
      </c>
      <c r="G2460" t="s">
        <v>174</v>
      </c>
      <c r="H2460" t="s">
        <v>14</v>
      </c>
      <c r="I2460" t="s">
        <v>1935</v>
      </c>
      <c r="J2460" t="s">
        <v>1938</v>
      </c>
      <c r="K2460" s="8">
        <v>15</v>
      </c>
    </row>
    <row r="2461" spans="1:11">
      <c r="A2461" t="s">
        <v>4399</v>
      </c>
      <c r="B2461" s="15">
        <v>45895</v>
      </c>
      <c r="C2461" s="4">
        <v>45870</v>
      </c>
      <c r="D2461" t="s">
        <v>44</v>
      </c>
      <c r="E2461" t="s">
        <v>21</v>
      </c>
      <c r="F2461" t="s">
        <v>46</v>
      </c>
      <c r="G2461" t="s">
        <v>234</v>
      </c>
      <c r="H2461" t="s">
        <v>5</v>
      </c>
      <c r="I2461" t="s">
        <v>1935</v>
      </c>
      <c r="J2461" t="s">
        <v>1936</v>
      </c>
      <c r="K2461" s="8">
        <v>18</v>
      </c>
    </row>
    <row r="2462" spans="1:11">
      <c r="A2462" t="s">
        <v>4400</v>
      </c>
      <c r="B2462" s="15">
        <v>45879</v>
      </c>
      <c r="C2462" s="4">
        <v>45870</v>
      </c>
      <c r="D2462" t="s">
        <v>44</v>
      </c>
      <c r="E2462" t="s">
        <v>21</v>
      </c>
      <c r="F2462" t="s">
        <v>46</v>
      </c>
      <c r="G2462" t="s">
        <v>174</v>
      </c>
      <c r="H2462" t="s">
        <v>14</v>
      </c>
      <c r="I2462" t="s">
        <v>1995</v>
      </c>
      <c r="J2462" t="s">
        <v>1936</v>
      </c>
      <c r="K2462" s="8">
        <v>0</v>
      </c>
    </row>
    <row r="2463" spans="1:11">
      <c r="A2463" t="s">
        <v>4401</v>
      </c>
      <c r="B2463" s="15">
        <v>45883</v>
      </c>
      <c r="C2463" s="4">
        <v>45870</v>
      </c>
      <c r="D2463" t="s">
        <v>44</v>
      </c>
      <c r="E2463" t="s">
        <v>21</v>
      </c>
      <c r="F2463" t="s">
        <v>46</v>
      </c>
      <c r="G2463" t="s">
        <v>186</v>
      </c>
      <c r="H2463" t="s">
        <v>14</v>
      </c>
      <c r="I2463" t="s">
        <v>1935</v>
      </c>
      <c r="J2463" t="s">
        <v>1936</v>
      </c>
      <c r="K2463" s="8">
        <v>11</v>
      </c>
    </row>
    <row r="2464" spans="1:11">
      <c r="A2464" t="s">
        <v>4402</v>
      </c>
      <c r="B2464" s="15">
        <v>45871</v>
      </c>
      <c r="C2464" s="4">
        <v>45870</v>
      </c>
      <c r="D2464" t="s">
        <v>44</v>
      </c>
      <c r="E2464" t="s">
        <v>21</v>
      </c>
      <c r="F2464" t="s">
        <v>46</v>
      </c>
      <c r="G2464" t="s">
        <v>186</v>
      </c>
      <c r="H2464" t="s">
        <v>5</v>
      </c>
      <c r="I2464" t="s">
        <v>1935</v>
      </c>
      <c r="J2464" t="s">
        <v>1938</v>
      </c>
      <c r="K2464" s="8">
        <v>35</v>
      </c>
    </row>
    <row r="2465" spans="1:11">
      <c r="A2465" t="s">
        <v>4403</v>
      </c>
      <c r="B2465" s="15">
        <v>45890</v>
      </c>
      <c r="C2465" s="4">
        <v>45870</v>
      </c>
      <c r="D2465" t="s">
        <v>44</v>
      </c>
      <c r="E2465" t="s">
        <v>21</v>
      </c>
      <c r="F2465" t="s">
        <v>46</v>
      </c>
      <c r="G2465" t="s">
        <v>216</v>
      </c>
      <c r="H2465" t="s">
        <v>14</v>
      </c>
      <c r="I2465" t="s">
        <v>1935</v>
      </c>
      <c r="J2465" t="s">
        <v>1936</v>
      </c>
      <c r="K2465" s="8">
        <v>29</v>
      </c>
    </row>
    <row r="2466" spans="1:11">
      <c r="A2466" t="s">
        <v>4404</v>
      </c>
      <c r="B2466" s="15">
        <v>45897</v>
      </c>
      <c r="C2466" s="4">
        <v>45870</v>
      </c>
      <c r="D2466" t="s">
        <v>44</v>
      </c>
      <c r="E2466" t="s">
        <v>21</v>
      </c>
      <c r="F2466" t="s">
        <v>46</v>
      </c>
      <c r="G2466" t="s">
        <v>186</v>
      </c>
      <c r="H2466" t="s">
        <v>5</v>
      </c>
      <c r="I2466" t="s">
        <v>1935</v>
      </c>
      <c r="J2466" t="s">
        <v>1936</v>
      </c>
      <c r="K2466" s="8">
        <v>23</v>
      </c>
    </row>
    <row r="2467" spans="1:11">
      <c r="A2467" t="s">
        <v>4405</v>
      </c>
      <c r="B2467" s="15">
        <v>45871</v>
      </c>
      <c r="C2467" s="4">
        <v>45870</v>
      </c>
      <c r="D2467" t="s">
        <v>44</v>
      </c>
      <c r="E2467" t="s">
        <v>21</v>
      </c>
      <c r="F2467" t="s">
        <v>46</v>
      </c>
      <c r="G2467" t="s">
        <v>186</v>
      </c>
      <c r="H2467" t="s">
        <v>5</v>
      </c>
      <c r="I2467" t="s">
        <v>1935</v>
      </c>
      <c r="J2467" t="s">
        <v>1936</v>
      </c>
      <c r="K2467" s="8">
        <v>26</v>
      </c>
    </row>
    <row r="2468" spans="1:11">
      <c r="A2468" t="s">
        <v>4406</v>
      </c>
      <c r="B2468" s="15">
        <v>45894</v>
      </c>
      <c r="C2468" s="4">
        <v>45870</v>
      </c>
      <c r="D2468" t="s">
        <v>44</v>
      </c>
      <c r="E2468" t="s">
        <v>21</v>
      </c>
      <c r="F2468" t="s">
        <v>46</v>
      </c>
      <c r="G2468" t="s">
        <v>216</v>
      </c>
      <c r="H2468" t="s">
        <v>14</v>
      </c>
      <c r="I2468" t="s">
        <v>1935</v>
      </c>
      <c r="J2468" t="s">
        <v>1936</v>
      </c>
      <c r="K2468" s="8">
        <v>20</v>
      </c>
    </row>
    <row r="2469" spans="1:11">
      <c r="A2469" t="s">
        <v>4407</v>
      </c>
      <c r="B2469" s="15">
        <v>45884</v>
      </c>
      <c r="C2469" s="4">
        <v>45870</v>
      </c>
      <c r="D2469" t="s">
        <v>47</v>
      </c>
      <c r="E2469" t="s">
        <v>21</v>
      </c>
      <c r="F2469" t="s">
        <v>49</v>
      </c>
      <c r="G2469" t="s">
        <v>170</v>
      </c>
      <c r="H2469" t="s">
        <v>11</v>
      </c>
      <c r="I2469" t="s">
        <v>1935</v>
      </c>
      <c r="J2469" t="s">
        <v>1936</v>
      </c>
      <c r="K2469" s="8">
        <v>29</v>
      </c>
    </row>
    <row r="2470" spans="1:11">
      <c r="A2470" t="s">
        <v>4408</v>
      </c>
      <c r="B2470" s="15">
        <v>45883</v>
      </c>
      <c r="C2470" s="4">
        <v>45870</v>
      </c>
      <c r="D2470" t="s">
        <v>47</v>
      </c>
      <c r="E2470" t="s">
        <v>21</v>
      </c>
      <c r="F2470" t="s">
        <v>49</v>
      </c>
      <c r="G2470" t="s">
        <v>218</v>
      </c>
      <c r="H2470" t="s">
        <v>14</v>
      </c>
      <c r="I2470" t="s">
        <v>1935</v>
      </c>
      <c r="J2470" t="s">
        <v>1936</v>
      </c>
      <c r="K2470" s="8">
        <v>32</v>
      </c>
    </row>
    <row r="2471" spans="1:11">
      <c r="A2471" t="s">
        <v>4409</v>
      </c>
      <c r="B2471" s="15">
        <v>45892</v>
      </c>
      <c r="C2471" s="4">
        <v>45870</v>
      </c>
      <c r="D2471" t="s">
        <v>47</v>
      </c>
      <c r="E2471" t="s">
        <v>21</v>
      </c>
      <c r="F2471" t="s">
        <v>49</v>
      </c>
      <c r="G2471" t="s">
        <v>194</v>
      </c>
      <c r="H2471" t="s">
        <v>14</v>
      </c>
      <c r="I2471" t="s">
        <v>1935</v>
      </c>
      <c r="J2471" t="s">
        <v>1936</v>
      </c>
      <c r="K2471" s="8">
        <v>8</v>
      </c>
    </row>
    <row r="2472" spans="1:11">
      <c r="A2472" t="s">
        <v>4410</v>
      </c>
      <c r="B2472" s="15">
        <v>45893</v>
      </c>
      <c r="C2472" s="4">
        <v>45870</v>
      </c>
      <c r="D2472" t="s">
        <v>47</v>
      </c>
      <c r="E2472" t="s">
        <v>21</v>
      </c>
      <c r="F2472" t="s">
        <v>49</v>
      </c>
      <c r="G2472" t="s">
        <v>218</v>
      </c>
      <c r="H2472" t="s">
        <v>14</v>
      </c>
      <c r="I2472" t="s">
        <v>1942</v>
      </c>
      <c r="J2472" t="s">
        <v>1936</v>
      </c>
      <c r="K2472" s="8">
        <v>4</v>
      </c>
    </row>
    <row r="2473" spans="1:11">
      <c r="A2473" t="s">
        <v>4411</v>
      </c>
      <c r="B2473" s="15">
        <v>45882</v>
      </c>
      <c r="C2473" s="4">
        <v>45870</v>
      </c>
      <c r="D2473" t="s">
        <v>47</v>
      </c>
      <c r="E2473" t="s">
        <v>21</v>
      </c>
      <c r="F2473" t="s">
        <v>49</v>
      </c>
      <c r="G2473" t="s">
        <v>218</v>
      </c>
      <c r="H2473" t="s">
        <v>14</v>
      </c>
      <c r="I2473" t="s">
        <v>1935</v>
      </c>
      <c r="J2473" t="s">
        <v>1938</v>
      </c>
      <c r="K2473" s="8">
        <v>16</v>
      </c>
    </row>
    <row r="2474" spans="1:11">
      <c r="A2474" t="s">
        <v>4412</v>
      </c>
      <c r="B2474" s="15">
        <v>45871</v>
      </c>
      <c r="C2474" s="4">
        <v>45870</v>
      </c>
      <c r="D2474" t="s">
        <v>47</v>
      </c>
      <c r="E2474" t="s">
        <v>21</v>
      </c>
      <c r="F2474" t="s">
        <v>49</v>
      </c>
      <c r="G2474" t="s">
        <v>218</v>
      </c>
      <c r="H2474" t="s">
        <v>14</v>
      </c>
      <c r="I2474" t="s">
        <v>1935</v>
      </c>
      <c r="J2474" t="s">
        <v>1936</v>
      </c>
      <c r="K2474" s="8">
        <v>17</v>
      </c>
    </row>
    <row r="2475" spans="1:11">
      <c r="A2475" t="s">
        <v>4413</v>
      </c>
      <c r="B2475" s="15">
        <v>45877</v>
      </c>
      <c r="C2475" s="4">
        <v>45870</v>
      </c>
      <c r="D2475" t="s">
        <v>47</v>
      </c>
      <c r="E2475" t="s">
        <v>21</v>
      </c>
      <c r="F2475" t="s">
        <v>49</v>
      </c>
      <c r="G2475" t="s">
        <v>218</v>
      </c>
      <c r="H2475" t="s">
        <v>14</v>
      </c>
      <c r="I2475" t="s">
        <v>1935</v>
      </c>
      <c r="J2475" t="s">
        <v>1936</v>
      </c>
      <c r="K2475" s="8">
        <v>10</v>
      </c>
    </row>
    <row r="2476" spans="1:11">
      <c r="A2476" t="s">
        <v>4414</v>
      </c>
      <c r="B2476" s="15">
        <v>45876</v>
      </c>
      <c r="C2476" s="4">
        <v>45870</v>
      </c>
      <c r="D2476" t="s">
        <v>47</v>
      </c>
      <c r="E2476" t="s">
        <v>21</v>
      </c>
      <c r="F2476" t="s">
        <v>49</v>
      </c>
      <c r="G2476" t="s">
        <v>218</v>
      </c>
      <c r="H2476" t="s">
        <v>14</v>
      </c>
      <c r="I2476" t="s">
        <v>1935</v>
      </c>
      <c r="J2476" t="s">
        <v>1936</v>
      </c>
      <c r="K2476" s="8">
        <v>28</v>
      </c>
    </row>
    <row r="2477" spans="1:11">
      <c r="A2477" t="s">
        <v>4415</v>
      </c>
      <c r="B2477" s="15">
        <v>45897</v>
      </c>
      <c r="C2477" s="4">
        <v>45870</v>
      </c>
      <c r="D2477" t="s">
        <v>47</v>
      </c>
      <c r="E2477" t="s">
        <v>21</v>
      </c>
      <c r="F2477" t="s">
        <v>49</v>
      </c>
      <c r="G2477" t="s">
        <v>218</v>
      </c>
      <c r="H2477" t="s">
        <v>14</v>
      </c>
      <c r="I2477" t="s">
        <v>1935</v>
      </c>
      <c r="J2477" t="s">
        <v>1936</v>
      </c>
      <c r="K2477" s="8">
        <v>11</v>
      </c>
    </row>
    <row r="2478" spans="1:11">
      <c r="A2478" t="s">
        <v>4416</v>
      </c>
      <c r="B2478" s="15">
        <v>45888</v>
      </c>
      <c r="C2478" s="4">
        <v>45870</v>
      </c>
      <c r="D2478" t="s">
        <v>47</v>
      </c>
      <c r="E2478" t="s">
        <v>21</v>
      </c>
      <c r="F2478" t="s">
        <v>49</v>
      </c>
      <c r="G2478" t="s">
        <v>170</v>
      </c>
      <c r="H2478" t="s">
        <v>8</v>
      </c>
      <c r="I2478" t="s">
        <v>1935</v>
      </c>
      <c r="J2478" t="s">
        <v>1936</v>
      </c>
      <c r="K2478" s="8">
        <v>13</v>
      </c>
    </row>
    <row r="2479" spans="1:11">
      <c r="A2479" t="s">
        <v>4417</v>
      </c>
      <c r="B2479" s="15">
        <v>45880</v>
      </c>
      <c r="C2479" s="4">
        <v>45870</v>
      </c>
      <c r="D2479" t="s">
        <v>50</v>
      </c>
      <c r="E2479" t="s">
        <v>23</v>
      </c>
      <c r="F2479" t="s">
        <v>52</v>
      </c>
      <c r="G2479" t="s">
        <v>310</v>
      </c>
      <c r="H2479" t="s">
        <v>11</v>
      </c>
      <c r="I2479" t="s">
        <v>1935</v>
      </c>
      <c r="J2479" t="s">
        <v>1936</v>
      </c>
      <c r="K2479" s="8">
        <v>16</v>
      </c>
    </row>
    <row r="2480" spans="1:11">
      <c r="A2480" t="s">
        <v>4418</v>
      </c>
      <c r="B2480" s="15">
        <v>45896</v>
      </c>
      <c r="C2480" s="4">
        <v>45870</v>
      </c>
      <c r="D2480" t="s">
        <v>50</v>
      </c>
      <c r="E2480" t="s">
        <v>23</v>
      </c>
      <c r="F2480" t="s">
        <v>52</v>
      </c>
      <c r="G2480" t="s">
        <v>238</v>
      </c>
      <c r="H2480" t="s">
        <v>8</v>
      </c>
      <c r="I2480" t="s">
        <v>1935</v>
      </c>
      <c r="J2480" t="s">
        <v>1938</v>
      </c>
      <c r="K2480" s="8">
        <v>27</v>
      </c>
    </row>
    <row r="2481" spans="1:11">
      <c r="A2481" t="s">
        <v>4419</v>
      </c>
      <c r="B2481" s="15">
        <v>45879</v>
      </c>
      <c r="C2481" s="4">
        <v>45870</v>
      </c>
      <c r="D2481" t="s">
        <v>50</v>
      </c>
      <c r="E2481" t="s">
        <v>23</v>
      </c>
      <c r="F2481" t="s">
        <v>52</v>
      </c>
      <c r="G2481" t="s">
        <v>280</v>
      </c>
      <c r="H2481" t="s">
        <v>11</v>
      </c>
      <c r="I2481" t="s">
        <v>1935</v>
      </c>
      <c r="J2481" t="s">
        <v>1938</v>
      </c>
      <c r="K2481" s="8">
        <v>18</v>
      </c>
    </row>
    <row r="2482" spans="1:11">
      <c r="A2482" t="s">
        <v>4420</v>
      </c>
      <c r="B2482" s="15">
        <v>45885</v>
      </c>
      <c r="C2482" s="4">
        <v>45870</v>
      </c>
      <c r="D2482" t="s">
        <v>50</v>
      </c>
      <c r="E2482" t="s">
        <v>23</v>
      </c>
      <c r="F2482" t="s">
        <v>52</v>
      </c>
      <c r="G2482" t="s">
        <v>298</v>
      </c>
      <c r="H2482" t="s">
        <v>5</v>
      </c>
      <c r="I2482" t="s">
        <v>1935</v>
      </c>
      <c r="J2482" t="s">
        <v>1936</v>
      </c>
      <c r="K2482" s="8">
        <v>33</v>
      </c>
    </row>
    <row r="2483" spans="1:11">
      <c r="A2483" t="s">
        <v>4421</v>
      </c>
      <c r="B2483" s="15">
        <v>45881</v>
      </c>
      <c r="C2483" s="4">
        <v>45870</v>
      </c>
      <c r="D2483" t="s">
        <v>50</v>
      </c>
      <c r="E2483" t="s">
        <v>23</v>
      </c>
      <c r="F2483" t="s">
        <v>52</v>
      </c>
      <c r="G2483" t="s">
        <v>292</v>
      </c>
      <c r="H2483" t="s">
        <v>11</v>
      </c>
      <c r="I2483" t="s">
        <v>1935</v>
      </c>
      <c r="J2483" t="s">
        <v>1936</v>
      </c>
      <c r="K2483" s="8">
        <v>21</v>
      </c>
    </row>
    <row r="2484" spans="1:11">
      <c r="A2484" t="s">
        <v>4422</v>
      </c>
      <c r="B2484" s="15">
        <v>45899</v>
      </c>
      <c r="C2484" s="4">
        <v>45870</v>
      </c>
      <c r="D2484" t="s">
        <v>50</v>
      </c>
      <c r="E2484" t="s">
        <v>23</v>
      </c>
      <c r="F2484" t="s">
        <v>52</v>
      </c>
      <c r="G2484" t="s">
        <v>292</v>
      </c>
      <c r="H2484" t="s">
        <v>11</v>
      </c>
      <c r="I2484" t="s">
        <v>1935</v>
      </c>
      <c r="J2484" t="s">
        <v>1936</v>
      </c>
      <c r="K2484" s="8">
        <v>27</v>
      </c>
    </row>
    <row r="2485" spans="1:11">
      <c r="A2485" t="s">
        <v>4423</v>
      </c>
      <c r="B2485" s="15">
        <v>45886</v>
      </c>
      <c r="C2485" s="4">
        <v>45870</v>
      </c>
      <c r="D2485" t="s">
        <v>50</v>
      </c>
      <c r="E2485" t="s">
        <v>23</v>
      </c>
      <c r="F2485" t="s">
        <v>52</v>
      </c>
      <c r="G2485" t="s">
        <v>292</v>
      </c>
      <c r="H2485" t="s">
        <v>11</v>
      </c>
      <c r="I2485" t="s">
        <v>1942</v>
      </c>
      <c r="J2485" t="s">
        <v>1936</v>
      </c>
      <c r="K2485" s="8">
        <v>3</v>
      </c>
    </row>
    <row r="2486" spans="1:11">
      <c r="A2486" t="s">
        <v>4424</v>
      </c>
      <c r="B2486" s="15">
        <v>45899</v>
      </c>
      <c r="C2486" s="4">
        <v>45870</v>
      </c>
      <c r="D2486" t="s">
        <v>50</v>
      </c>
      <c r="E2486" t="s">
        <v>23</v>
      </c>
      <c r="F2486" t="s">
        <v>52</v>
      </c>
      <c r="G2486" t="s">
        <v>274</v>
      </c>
      <c r="H2486" t="s">
        <v>5</v>
      </c>
      <c r="I2486" t="s">
        <v>1935</v>
      </c>
      <c r="J2486" t="s">
        <v>1936</v>
      </c>
      <c r="K2486" s="8">
        <v>32</v>
      </c>
    </row>
    <row r="2487" spans="1:11">
      <c r="A2487" t="s">
        <v>4425</v>
      </c>
      <c r="B2487" s="15">
        <v>45881</v>
      </c>
      <c r="C2487" s="4">
        <v>45870</v>
      </c>
      <c r="D2487" t="s">
        <v>50</v>
      </c>
      <c r="E2487" t="s">
        <v>23</v>
      </c>
      <c r="F2487" t="s">
        <v>52</v>
      </c>
      <c r="G2487" t="s">
        <v>298</v>
      </c>
      <c r="H2487" t="s">
        <v>5</v>
      </c>
      <c r="I2487" t="s">
        <v>1935</v>
      </c>
      <c r="J2487" t="s">
        <v>1936</v>
      </c>
      <c r="K2487" s="8">
        <v>31</v>
      </c>
    </row>
    <row r="2488" spans="1:11">
      <c r="A2488" t="s">
        <v>4426</v>
      </c>
      <c r="B2488" s="15">
        <v>45876</v>
      </c>
      <c r="C2488" s="4">
        <v>45870</v>
      </c>
      <c r="D2488" t="s">
        <v>50</v>
      </c>
      <c r="E2488" t="s">
        <v>23</v>
      </c>
      <c r="F2488" t="s">
        <v>52</v>
      </c>
      <c r="G2488" t="s">
        <v>280</v>
      </c>
      <c r="H2488" t="s">
        <v>11</v>
      </c>
      <c r="I2488" t="s">
        <v>1935</v>
      </c>
      <c r="J2488" t="s">
        <v>1938</v>
      </c>
      <c r="K2488" s="8">
        <v>13</v>
      </c>
    </row>
    <row r="2489" spans="1:11">
      <c r="A2489" t="s">
        <v>4427</v>
      </c>
      <c r="B2489" s="15">
        <v>45881</v>
      </c>
      <c r="C2489" s="4">
        <v>45870</v>
      </c>
      <c r="D2489" t="s">
        <v>50</v>
      </c>
      <c r="E2489" t="s">
        <v>23</v>
      </c>
      <c r="F2489" t="s">
        <v>52</v>
      </c>
      <c r="G2489" t="s">
        <v>298</v>
      </c>
      <c r="H2489" t="s">
        <v>5</v>
      </c>
      <c r="I2489" t="s">
        <v>1935</v>
      </c>
      <c r="J2489" t="s">
        <v>1954</v>
      </c>
      <c r="K2489" s="8">
        <v>32</v>
      </c>
    </row>
    <row r="2490" spans="1:11">
      <c r="A2490" t="s">
        <v>4428</v>
      </c>
      <c r="B2490" s="15">
        <v>45888</v>
      </c>
      <c r="C2490" s="4">
        <v>45870</v>
      </c>
      <c r="D2490" t="s">
        <v>50</v>
      </c>
      <c r="E2490" t="s">
        <v>23</v>
      </c>
      <c r="F2490" t="s">
        <v>52</v>
      </c>
      <c r="G2490" t="s">
        <v>298</v>
      </c>
      <c r="H2490" t="s">
        <v>5</v>
      </c>
      <c r="I2490" t="s">
        <v>1935</v>
      </c>
      <c r="J2490" t="s">
        <v>1936</v>
      </c>
      <c r="K2490" s="8">
        <v>9</v>
      </c>
    </row>
    <row r="2491" spans="1:11">
      <c r="A2491" t="s">
        <v>4429</v>
      </c>
      <c r="B2491" s="15">
        <v>45890</v>
      </c>
      <c r="C2491" s="4">
        <v>45870</v>
      </c>
      <c r="D2491" t="s">
        <v>53</v>
      </c>
      <c r="E2491" t="s">
        <v>23</v>
      </c>
      <c r="F2491" t="s">
        <v>55</v>
      </c>
      <c r="G2491" t="s">
        <v>258</v>
      </c>
      <c r="H2491" t="s">
        <v>14</v>
      </c>
      <c r="I2491" t="s">
        <v>1942</v>
      </c>
      <c r="J2491" t="s">
        <v>1936</v>
      </c>
      <c r="K2491" s="8">
        <v>4</v>
      </c>
    </row>
    <row r="2492" spans="1:11">
      <c r="A2492" t="s">
        <v>4430</v>
      </c>
      <c r="B2492" s="15">
        <v>45888</v>
      </c>
      <c r="C2492" s="4">
        <v>45870</v>
      </c>
      <c r="D2492" t="s">
        <v>53</v>
      </c>
      <c r="E2492" t="s">
        <v>23</v>
      </c>
      <c r="F2492" t="s">
        <v>55</v>
      </c>
      <c r="G2492" t="s">
        <v>282</v>
      </c>
      <c r="H2492" t="s">
        <v>8</v>
      </c>
      <c r="I2492" t="s">
        <v>1935</v>
      </c>
      <c r="J2492" t="s">
        <v>1936</v>
      </c>
      <c r="K2492" s="8">
        <v>33</v>
      </c>
    </row>
    <row r="2493" spans="1:11">
      <c r="A2493" t="s">
        <v>4431</v>
      </c>
      <c r="B2493" s="15">
        <v>45882</v>
      </c>
      <c r="C2493" s="4">
        <v>45870</v>
      </c>
      <c r="D2493" t="s">
        <v>53</v>
      </c>
      <c r="E2493" t="s">
        <v>23</v>
      </c>
      <c r="F2493" t="s">
        <v>55</v>
      </c>
      <c r="G2493" t="s">
        <v>240</v>
      </c>
      <c r="H2493" t="s">
        <v>14</v>
      </c>
      <c r="I2493" t="s">
        <v>1935</v>
      </c>
      <c r="J2493" t="s">
        <v>1938</v>
      </c>
      <c r="K2493" s="8">
        <v>28</v>
      </c>
    </row>
    <row r="2494" spans="1:11">
      <c r="A2494" t="s">
        <v>4432</v>
      </c>
      <c r="B2494" s="15">
        <v>45898</v>
      </c>
      <c r="C2494" s="4">
        <v>45870</v>
      </c>
      <c r="D2494" t="s">
        <v>53</v>
      </c>
      <c r="E2494" t="s">
        <v>23</v>
      </c>
      <c r="F2494" t="s">
        <v>55</v>
      </c>
      <c r="G2494" t="s">
        <v>240</v>
      </c>
      <c r="H2494" t="s">
        <v>14</v>
      </c>
      <c r="I2494" t="s">
        <v>1935</v>
      </c>
      <c r="J2494" t="s">
        <v>1936</v>
      </c>
      <c r="K2494" s="8">
        <v>12</v>
      </c>
    </row>
    <row r="2495" spans="1:11">
      <c r="A2495" t="s">
        <v>4433</v>
      </c>
      <c r="B2495" s="15">
        <v>45877</v>
      </c>
      <c r="C2495" s="4">
        <v>45870</v>
      </c>
      <c r="D2495" t="s">
        <v>53</v>
      </c>
      <c r="E2495" t="s">
        <v>23</v>
      </c>
      <c r="F2495" t="s">
        <v>55</v>
      </c>
      <c r="G2495" t="s">
        <v>300</v>
      </c>
      <c r="H2495" t="s">
        <v>8</v>
      </c>
      <c r="I2495" t="s">
        <v>1935</v>
      </c>
      <c r="J2495" t="s">
        <v>1936</v>
      </c>
      <c r="K2495" s="8">
        <v>27</v>
      </c>
    </row>
    <row r="2496" spans="1:11">
      <c r="A2496" t="s">
        <v>4434</v>
      </c>
      <c r="B2496" s="15">
        <v>45870</v>
      </c>
      <c r="C2496" s="4">
        <v>45870</v>
      </c>
      <c r="D2496" t="s">
        <v>53</v>
      </c>
      <c r="E2496" t="s">
        <v>23</v>
      </c>
      <c r="F2496" t="s">
        <v>55</v>
      </c>
      <c r="G2496" t="s">
        <v>270</v>
      </c>
      <c r="H2496" t="s">
        <v>8</v>
      </c>
      <c r="I2496" t="s">
        <v>1942</v>
      </c>
      <c r="J2496" t="s">
        <v>1936</v>
      </c>
      <c r="K2496" s="8">
        <v>6</v>
      </c>
    </row>
    <row r="2497" spans="1:11">
      <c r="A2497" t="s">
        <v>4435</v>
      </c>
      <c r="B2497" s="15">
        <v>45872</v>
      </c>
      <c r="C2497" s="4">
        <v>45870</v>
      </c>
      <c r="D2497" t="s">
        <v>53</v>
      </c>
      <c r="E2497" t="s">
        <v>23</v>
      </c>
      <c r="F2497" t="s">
        <v>55</v>
      </c>
      <c r="G2497" t="s">
        <v>258</v>
      </c>
      <c r="H2497" t="s">
        <v>5</v>
      </c>
      <c r="I2497" t="s">
        <v>1935</v>
      </c>
      <c r="J2497" t="s">
        <v>1936</v>
      </c>
      <c r="K2497" s="8">
        <v>19</v>
      </c>
    </row>
    <row r="2498" spans="1:11">
      <c r="A2498" t="s">
        <v>4436</v>
      </c>
      <c r="B2498" s="15">
        <v>45875</v>
      </c>
      <c r="C2498" s="4">
        <v>45870</v>
      </c>
      <c r="D2498" t="s">
        <v>53</v>
      </c>
      <c r="E2498" t="s">
        <v>23</v>
      </c>
      <c r="F2498" t="s">
        <v>55</v>
      </c>
      <c r="G2498" t="s">
        <v>270</v>
      </c>
      <c r="H2498" t="s">
        <v>5</v>
      </c>
      <c r="I2498" t="s">
        <v>1935</v>
      </c>
      <c r="J2498" t="s">
        <v>1938</v>
      </c>
      <c r="K2498" s="8">
        <v>32</v>
      </c>
    </row>
    <row r="2499" spans="1:11">
      <c r="A2499" t="s">
        <v>4437</v>
      </c>
      <c r="B2499" s="15">
        <v>45873</v>
      </c>
      <c r="C2499" s="4">
        <v>45870</v>
      </c>
      <c r="D2499" t="s">
        <v>53</v>
      </c>
      <c r="E2499" t="s">
        <v>23</v>
      </c>
      <c r="F2499" t="s">
        <v>55</v>
      </c>
      <c r="G2499" t="s">
        <v>264</v>
      </c>
      <c r="H2499" t="s">
        <v>14</v>
      </c>
      <c r="I2499" t="s">
        <v>1935</v>
      </c>
      <c r="J2499" t="s">
        <v>1936</v>
      </c>
      <c r="K2499" s="8">
        <v>14</v>
      </c>
    </row>
    <row r="2500" spans="1:11">
      <c r="A2500" t="s">
        <v>4438</v>
      </c>
      <c r="B2500" s="15">
        <v>45883</v>
      </c>
      <c r="C2500" s="4">
        <v>45870</v>
      </c>
      <c r="D2500" t="s">
        <v>53</v>
      </c>
      <c r="E2500" t="s">
        <v>23</v>
      </c>
      <c r="F2500" t="s">
        <v>55</v>
      </c>
      <c r="G2500" t="s">
        <v>312</v>
      </c>
      <c r="H2500" t="s">
        <v>5</v>
      </c>
      <c r="I2500" t="s">
        <v>1942</v>
      </c>
      <c r="J2500" t="s">
        <v>1936</v>
      </c>
      <c r="K2500" s="8">
        <v>4</v>
      </c>
    </row>
    <row r="2501" spans="1:11">
      <c r="A2501" t="s">
        <v>4439</v>
      </c>
      <c r="B2501" s="15">
        <v>45893</v>
      </c>
      <c r="C2501" s="4">
        <v>45870</v>
      </c>
      <c r="D2501" t="s">
        <v>53</v>
      </c>
      <c r="E2501" t="s">
        <v>23</v>
      </c>
      <c r="F2501" t="s">
        <v>55</v>
      </c>
      <c r="G2501" t="s">
        <v>270</v>
      </c>
      <c r="H2501" t="s">
        <v>8</v>
      </c>
      <c r="I2501" t="s">
        <v>1935</v>
      </c>
      <c r="J2501" t="s">
        <v>1936</v>
      </c>
      <c r="K2501" s="8">
        <v>18</v>
      </c>
    </row>
    <row r="2502" spans="1:11">
      <c r="A2502" t="s">
        <v>4440</v>
      </c>
      <c r="B2502" s="15">
        <v>45875</v>
      </c>
      <c r="C2502" s="4">
        <v>45870</v>
      </c>
      <c r="D2502" t="s">
        <v>53</v>
      </c>
      <c r="E2502" t="s">
        <v>23</v>
      </c>
      <c r="F2502" t="s">
        <v>55</v>
      </c>
      <c r="G2502" t="s">
        <v>306</v>
      </c>
      <c r="H2502" t="s">
        <v>5</v>
      </c>
      <c r="I2502" t="s">
        <v>1935</v>
      </c>
      <c r="J2502" t="s">
        <v>1954</v>
      </c>
      <c r="K2502" s="8">
        <v>10</v>
      </c>
    </row>
    <row r="2503" spans="1:11">
      <c r="A2503" t="s">
        <v>4441</v>
      </c>
      <c r="B2503" s="15">
        <v>45870</v>
      </c>
      <c r="C2503" s="4">
        <v>45870</v>
      </c>
      <c r="D2503" t="s">
        <v>56</v>
      </c>
      <c r="E2503" t="s">
        <v>23</v>
      </c>
      <c r="F2503" t="s">
        <v>58</v>
      </c>
      <c r="G2503" t="s">
        <v>266</v>
      </c>
      <c r="H2503" t="s">
        <v>8</v>
      </c>
      <c r="I2503" t="s">
        <v>1935</v>
      </c>
      <c r="J2503" t="s">
        <v>1936</v>
      </c>
      <c r="K2503" s="8">
        <v>13</v>
      </c>
    </row>
    <row r="2504" spans="1:11">
      <c r="A2504" t="s">
        <v>4442</v>
      </c>
      <c r="B2504" s="15">
        <v>45900</v>
      </c>
      <c r="C2504" s="4">
        <v>45870</v>
      </c>
      <c r="D2504" t="s">
        <v>56</v>
      </c>
      <c r="E2504" t="s">
        <v>23</v>
      </c>
      <c r="F2504" t="s">
        <v>58</v>
      </c>
      <c r="G2504" t="s">
        <v>278</v>
      </c>
      <c r="H2504" t="s">
        <v>14</v>
      </c>
      <c r="I2504" t="s">
        <v>1935</v>
      </c>
      <c r="J2504" t="s">
        <v>1954</v>
      </c>
      <c r="K2504" s="8">
        <v>31</v>
      </c>
    </row>
    <row r="2505" spans="1:11">
      <c r="A2505" t="s">
        <v>4443</v>
      </c>
      <c r="B2505" s="15">
        <v>45881</v>
      </c>
      <c r="C2505" s="4">
        <v>45870</v>
      </c>
      <c r="D2505" t="s">
        <v>56</v>
      </c>
      <c r="E2505" t="s">
        <v>23</v>
      </c>
      <c r="F2505" t="s">
        <v>58</v>
      </c>
      <c r="G2505" t="s">
        <v>308</v>
      </c>
      <c r="H2505" t="s">
        <v>11</v>
      </c>
      <c r="I2505" t="s">
        <v>1935</v>
      </c>
      <c r="J2505" t="s">
        <v>1936</v>
      </c>
      <c r="K2505" s="8">
        <v>35</v>
      </c>
    </row>
    <row r="2506" spans="1:11">
      <c r="A2506" t="s">
        <v>4444</v>
      </c>
      <c r="B2506" s="15">
        <v>45875</v>
      </c>
      <c r="C2506" s="4">
        <v>45870</v>
      </c>
      <c r="D2506" t="s">
        <v>56</v>
      </c>
      <c r="E2506" t="s">
        <v>23</v>
      </c>
      <c r="F2506" t="s">
        <v>58</v>
      </c>
      <c r="G2506" t="s">
        <v>248</v>
      </c>
      <c r="H2506" t="s">
        <v>11</v>
      </c>
      <c r="I2506" t="s">
        <v>1935</v>
      </c>
      <c r="J2506" t="s">
        <v>1936</v>
      </c>
      <c r="K2506" s="8">
        <v>10</v>
      </c>
    </row>
    <row r="2507" spans="1:11">
      <c r="A2507" t="s">
        <v>4445</v>
      </c>
      <c r="B2507" s="15">
        <v>45885</v>
      </c>
      <c r="C2507" s="4">
        <v>45870</v>
      </c>
      <c r="D2507" t="s">
        <v>56</v>
      </c>
      <c r="E2507" t="s">
        <v>23</v>
      </c>
      <c r="F2507" t="s">
        <v>58</v>
      </c>
      <c r="G2507" t="s">
        <v>266</v>
      </c>
      <c r="H2507" t="s">
        <v>8</v>
      </c>
      <c r="I2507" t="s">
        <v>1935</v>
      </c>
      <c r="J2507" t="s">
        <v>1954</v>
      </c>
      <c r="K2507" s="8">
        <v>27</v>
      </c>
    </row>
    <row r="2508" spans="1:11">
      <c r="A2508" t="s">
        <v>4446</v>
      </c>
      <c r="B2508" s="15">
        <v>45873</v>
      </c>
      <c r="C2508" s="4">
        <v>45870</v>
      </c>
      <c r="D2508" t="s">
        <v>56</v>
      </c>
      <c r="E2508" t="s">
        <v>23</v>
      </c>
      <c r="F2508" t="s">
        <v>58</v>
      </c>
      <c r="G2508" t="s">
        <v>260</v>
      </c>
      <c r="H2508" t="s">
        <v>8</v>
      </c>
      <c r="I2508" t="s">
        <v>1935</v>
      </c>
      <c r="J2508" t="s">
        <v>1936</v>
      </c>
      <c r="K2508" s="8">
        <v>16</v>
      </c>
    </row>
    <row r="2509" spans="1:11">
      <c r="A2509" t="s">
        <v>4447</v>
      </c>
      <c r="B2509" s="15">
        <v>45885</v>
      </c>
      <c r="C2509" s="4">
        <v>45870</v>
      </c>
      <c r="D2509" t="s">
        <v>56</v>
      </c>
      <c r="E2509" t="s">
        <v>23</v>
      </c>
      <c r="F2509" t="s">
        <v>58</v>
      </c>
      <c r="G2509" t="s">
        <v>242</v>
      </c>
      <c r="H2509" t="s">
        <v>11</v>
      </c>
      <c r="I2509" t="s">
        <v>1935</v>
      </c>
      <c r="J2509" t="s">
        <v>1936</v>
      </c>
      <c r="K2509" s="8">
        <v>28</v>
      </c>
    </row>
    <row r="2510" spans="1:11">
      <c r="A2510" t="s">
        <v>4448</v>
      </c>
      <c r="B2510" s="15">
        <v>45899</v>
      </c>
      <c r="C2510" s="4">
        <v>45870</v>
      </c>
      <c r="D2510" t="s">
        <v>56</v>
      </c>
      <c r="E2510" t="s">
        <v>23</v>
      </c>
      <c r="F2510" t="s">
        <v>58</v>
      </c>
      <c r="G2510" t="s">
        <v>272</v>
      </c>
      <c r="H2510" t="s">
        <v>11</v>
      </c>
      <c r="I2510" t="s">
        <v>1935</v>
      </c>
      <c r="J2510" t="s">
        <v>1936</v>
      </c>
      <c r="K2510" s="8">
        <v>10</v>
      </c>
    </row>
    <row r="2511" spans="1:11">
      <c r="A2511" t="s">
        <v>4449</v>
      </c>
      <c r="B2511" s="15">
        <v>45870</v>
      </c>
      <c r="C2511" s="4">
        <v>45870</v>
      </c>
      <c r="D2511" t="s">
        <v>56</v>
      </c>
      <c r="E2511" t="s">
        <v>23</v>
      </c>
      <c r="F2511" t="s">
        <v>58</v>
      </c>
      <c r="G2511" t="s">
        <v>278</v>
      </c>
      <c r="H2511" t="s">
        <v>5</v>
      </c>
      <c r="I2511" t="s">
        <v>1935</v>
      </c>
      <c r="J2511" t="s">
        <v>1936</v>
      </c>
      <c r="K2511" s="8">
        <v>14</v>
      </c>
    </row>
    <row r="2512" spans="1:11">
      <c r="A2512" t="s">
        <v>4450</v>
      </c>
      <c r="B2512" s="15">
        <v>45891</v>
      </c>
      <c r="C2512" s="4">
        <v>45870</v>
      </c>
      <c r="D2512" t="s">
        <v>56</v>
      </c>
      <c r="E2512" t="s">
        <v>23</v>
      </c>
      <c r="F2512" t="s">
        <v>58</v>
      </c>
      <c r="G2512" t="s">
        <v>242</v>
      </c>
      <c r="H2512" t="s">
        <v>5</v>
      </c>
      <c r="I2512" t="s">
        <v>1995</v>
      </c>
      <c r="J2512" t="s">
        <v>1938</v>
      </c>
      <c r="K2512" s="8">
        <v>3</v>
      </c>
    </row>
    <row r="2513" spans="1:11">
      <c r="A2513" t="s">
        <v>4451</v>
      </c>
      <c r="B2513" s="15">
        <v>45886</v>
      </c>
      <c r="C2513" s="4">
        <v>45870</v>
      </c>
      <c r="D2513" t="s">
        <v>59</v>
      </c>
      <c r="E2513" t="s">
        <v>25</v>
      </c>
      <c r="F2513" t="s">
        <v>61</v>
      </c>
      <c r="G2513" t="s">
        <v>368</v>
      </c>
      <c r="H2513" t="s">
        <v>14</v>
      </c>
      <c r="I2513" t="s">
        <v>1935</v>
      </c>
      <c r="J2513" t="s">
        <v>1936</v>
      </c>
      <c r="K2513" s="8">
        <v>20</v>
      </c>
    </row>
    <row r="2514" spans="1:11">
      <c r="A2514" t="s">
        <v>4452</v>
      </c>
      <c r="B2514" s="15">
        <v>45874</v>
      </c>
      <c r="C2514" s="4">
        <v>45870</v>
      </c>
      <c r="D2514" t="s">
        <v>59</v>
      </c>
      <c r="E2514" t="s">
        <v>25</v>
      </c>
      <c r="F2514" t="s">
        <v>61</v>
      </c>
      <c r="G2514" t="s">
        <v>344</v>
      </c>
      <c r="H2514" t="s">
        <v>8</v>
      </c>
      <c r="I2514" t="s">
        <v>1935</v>
      </c>
      <c r="J2514" t="s">
        <v>1936</v>
      </c>
      <c r="K2514" s="8">
        <v>35</v>
      </c>
    </row>
    <row r="2515" spans="1:11">
      <c r="A2515" t="s">
        <v>4453</v>
      </c>
      <c r="B2515" s="15">
        <v>45874</v>
      </c>
      <c r="C2515" s="4">
        <v>45870</v>
      </c>
      <c r="D2515" t="s">
        <v>59</v>
      </c>
      <c r="E2515" t="s">
        <v>25</v>
      </c>
      <c r="F2515" t="s">
        <v>61</v>
      </c>
      <c r="G2515" t="s">
        <v>332</v>
      </c>
      <c r="H2515" t="s">
        <v>8</v>
      </c>
      <c r="I2515" t="s">
        <v>1935</v>
      </c>
      <c r="J2515" t="s">
        <v>1936</v>
      </c>
      <c r="K2515" s="8">
        <v>18</v>
      </c>
    </row>
    <row r="2516" spans="1:11">
      <c r="A2516" t="s">
        <v>4454</v>
      </c>
      <c r="B2516" s="15">
        <v>45870</v>
      </c>
      <c r="C2516" s="4">
        <v>45870</v>
      </c>
      <c r="D2516" t="s">
        <v>59</v>
      </c>
      <c r="E2516" t="s">
        <v>25</v>
      </c>
      <c r="F2516" t="s">
        <v>61</v>
      </c>
      <c r="G2516" t="s">
        <v>326</v>
      </c>
      <c r="H2516" t="s">
        <v>8</v>
      </c>
      <c r="I2516" t="s">
        <v>1935</v>
      </c>
      <c r="J2516" t="s">
        <v>1954</v>
      </c>
      <c r="K2516" s="8">
        <v>29</v>
      </c>
    </row>
    <row r="2517" spans="1:11">
      <c r="A2517" t="s">
        <v>4455</v>
      </c>
      <c r="B2517" s="15">
        <v>45878</v>
      </c>
      <c r="C2517" s="4">
        <v>45870</v>
      </c>
      <c r="D2517" t="s">
        <v>59</v>
      </c>
      <c r="E2517" t="s">
        <v>25</v>
      </c>
      <c r="F2517" t="s">
        <v>61</v>
      </c>
      <c r="G2517" t="s">
        <v>314</v>
      </c>
      <c r="H2517" t="s">
        <v>5</v>
      </c>
      <c r="I2517" t="s">
        <v>1935</v>
      </c>
      <c r="J2517" t="s">
        <v>1936</v>
      </c>
      <c r="K2517" s="8">
        <v>10</v>
      </c>
    </row>
    <row r="2518" spans="1:11">
      <c r="A2518" t="s">
        <v>4456</v>
      </c>
      <c r="B2518" s="15">
        <v>45890</v>
      </c>
      <c r="C2518" s="4">
        <v>45870</v>
      </c>
      <c r="D2518" t="s">
        <v>59</v>
      </c>
      <c r="E2518" t="s">
        <v>25</v>
      </c>
      <c r="F2518" t="s">
        <v>61</v>
      </c>
      <c r="G2518" t="s">
        <v>374</v>
      </c>
      <c r="H2518" t="s">
        <v>8</v>
      </c>
      <c r="I2518" t="s">
        <v>1935</v>
      </c>
      <c r="J2518" t="s">
        <v>1936</v>
      </c>
      <c r="K2518" s="8">
        <v>13</v>
      </c>
    </row>
    <row r="2519" spans="1:11">
      <c r="A2519" t="s">
        <v>4457</v>
      </c>
      <c r="B2519" s="15">
        <v>45886</v>
      </c>
      <c r="C2519" s="4">
        <v>45870</v>
      </c>
      <c r="D2519" t="s">
        <v>59</v>
      </c>
      <c r="E2519" t="s">
        <v>25</v>
      </c>
      <c r="F2519" t="s">
        <v>61</v>
      </c>
      <c r="G2519" t="s">
        <v>326</v>
      </c>
      <c r="H2519" t="s">
        <v>5</v>
      </c>
      <c r="I2519" t="s">
        <v>1935</v>
      </c>
      <c r="J2519" t="s">
        <v>1936</v>
      </c>
      <c r="K2519" s="8">
        <v>24</v>
      </c>
    </row>
    <row r="2520" spans="1:11">
      <c r="A2520" t="s">
        <v>4458</v>
      </c>
      <c r="B2520" s="15">
        <v>45898</v>
      </c>
      <c r="C2520" s="4">
        <v>45870</v>
      </c>
      <c r="D2520" t="s">
        <v>59</v>
      </c>
      <c r="E2520" t="s">
        <v>25</v>
      </c>
      <c r="F2520" t="s">
        <v>61</v>
      </c>
      <c r="G2520" t="s">
        <v>326</v>
      </c>
      <c r="H2520" t="s">
        <v>8</v>
      </c>
      <c r="I2520" t="s">
        <v>1935</v>
      </c>
      <c r="J2520" t="s">
        <v>1936</v>
      </c>
      <c r="K2520" s="8">
        <v>15</v>
      </c>
    </row>
    <row r="2521" spans="1:11">
      <c r="A2521" t="s">
        <v>4459</v>
      </c>
      <c r="B2521" s="15">
        <v>45889</v>
      </c>
      <c r="C2521" s="4">
        <v>45870</v>
      </c>
      <c r="D2521" t="s">
        <v>59</v>
      </c>
      <c r="E2521" t="s">
        <v>25</v>
      </c>
      <c r="F2521" t="s">
        <v>61</v>
      </c>
      <c r="G2521" t="s">
        <v>380</v>
      </c>
      <c r="H2521" t="s">
        <v>11</v>
      </c>
      <c r="I2521" t="s">
        <v>1935</v>
      </c>
      <c r="J2521" t="s">
        <v>1936</v>
      </c>
      <c r="K2521" s="8">
        <v>10</v>
      </c>
    </row>
    <row r="2522" spans="1:11">
      <c r="A2522" t="s">
        <v>4460</v>
      </c>
      <c r="B2522" s="15">
        <v>45875</v>
      </c>
      <c r="C2522" s="4">
        <v>45870</v>
      </c>
      <c r="D2522" t="s">
        <v>62</v>
      </c>
      <c r="E2522" t="s">
        <v>25</v>
      </c>
      <c r="F2522" t="s">
        <v>64</v>
      </c>
      <c r="G2522" t="s">
        <v>322</v>
      </c>
      <c r="H2522" t="s">
        <v>14</v>
      </c>
      <c r="I2522" t="s">
        <v>1935</v>
      </c>
      <c r="J2522" t="s">
        <v>1936</v>
      </c>
      <c r="K2522" s="8">
        <v>13</v>
      </c>
    </row>
    <row r="2523" spans="1:11">
      <c r="A2523" t="s">
        <v>4461</v>
      </c>
      <c r="B2523" s="15">
        <v>45876</v>
      </c>
      <c r="C2523" s="4">
        <v>45870</v>
      </c>
      <c r="D2523" t="s">
        <v>62</v>
      </c>
      <c r="E2523" t="s">
        <v>25</v>
      </c>
      <c r="F2523" t="s">
        <v>64</v>
      </c>
      <c r="G2523" t="s">
        <v>358</v>
      </c>
      <c r="H2523" t="s">
        <v>11</v>
      </c>
      <c r="I2523" t="s">
        <v>1935</v>
      </c>
      <c r="J2523" t="s">
        <v>1936</v>
      </c>
      <c r="K2523" s="8">
        <v>24</v>
      </c>
    </row>
    <row r="2524" spans="1:11">
      <c r="A2524" t="s">
        <v>4462</v>
      </c>
      <c r="B2524" s="15">
        <v>45889</v>
      </c>
      <c r="C2524" s="4">
        <v>45870</v>
      </c>
      <c r="D2524" t="s">
        <v>62</v>
      </c>
      <c r="E2524" t="s">
        <v>25</v>
      </c>
      <c r="F2524" t="s">
        <v>64</v>
      </c>
      <c r="G2524" t="s">
        <v>322</v>
      </c>
      <c r="H2524" t="s">
        <v>8</v>
      </c>
      <c r="I2524" t="s">
        <v>1935</v>
      </c>
      <c r="J2524" t="s">
        <v>1936</v>
      </c>
      <c r="K2524" s="8">
        <v>9</v>
      </c>
    </row>
    <row r="2525" spans="1:11">
      <c r="A2525" t="s">
        <v>4463</v>
      </c>
      <c r="B2525" s="15">
        <v>45876</v>
      </c>
      <c r="C2525" s="4">
        <v>45870</v>
      </c>
      <c r="D2525" t="s">
        <v>62</v>
      </c>
      <c r="E2525" t="s">
        <v>25</v>
      </c>
      <c r="F2525" t="s">
        <v>64</v>
      </c>
      <c r="G2525" t="s">
        <v>316</v>
      </c>
      <c r="H2525" t="s">
        <v>8</v>
      </c>
      <c r="I2525" t="s">
        <v>1995</v>
      </c>
      <c r="J2525" t="s">
        <v>1936</v>
      </c>
      <c r="K2525" s="8">
        <v>6</v>
      </c>
    </row>
    <row r="2526" spans="1:11">
      <c r="A2526" t="s">
        <v>4464</v>
      </c>
      <c r="B2526" s="15">
        <v>45900</v>
      </c>
      <c r="C2526" s="4">
        <v>45870</v>
      </c>
      <c r="D2526" t="s">
        <v>62</v>
      </c>
      <c r="E2526" t="s">
        <v>25</v>
      </c>
      <c r="F2526" t="s">
        <v>64</v>
      </c>
      <c r="G2526" t="s">
        <v>376</v>
      </c>
      <c r="H2526" t="s">
        <v>8</v>
      </c>
      <c r="I2526" t="s">
        <v>1935</v>
      </c>
      <c r="J2526" t="s">
        <v>1936</v>
      </c>
      <c r="K2526" s="8">
        <v>17</v>
      </c>
    </row>
    <row r="2527" spans="1:11">
      <c r="A2527" t="s">
        <v>4465</v>
      </c>
      <c r="B2527" s="15">
        <v>45880</v>
      </c>
      <c r="C2527" s="4">
        <v>45870</v>
      </c>
      <c r="D2527" t="s">
        <v>62</v>
      </c>
      <c r="E2527" t="s">
        <v>25</v>
      </c>
      <c r="F2527" t="s">
        <v>64</v>
      </c>
      <c r="G2527" t="s">
        <v>322</v>
      </c>
      <c r="H2527" t="s">
        <v>8</v>
      </c>
      <c r="I2527" t="s">
        <v>1935</v>
      </c>
      <c r="J2527" t="s">
        <v>1936</v>
      </c>
      <c r="K2527" s="8">
        <v>33</v>
      </c>
    </row>
    <row r="2528" spans="1:11">
      <c r="A2528" t="s">
        <v>4466</v>
      </c>
      <c r="B2528" s="15">
        <v>45879</v>
      </c>
      <c r="C2528" s="4">
        <v>45870</v>
      </c>
      <c r="D2528" t="s">
        <v>62</v>
      </c>
      <c r="E2528" t="s">
        <v>25</v>
      </c>
      <c r="F2528" t="s">
        <v>64</v>
      </c>
      <c r="G2528" t="s">
        <v>340</v>
      </c>
      <c r="H2528" t="s">
        <v>8</v>
      </c>
      <c r="I2528" t="s">
        <v>1942</v>
      </c>
      <c r="J2528" t="s">
        <v>1938</v>
      </c>
      <c r="K2528" s="8">
        <v>5</v>
      </c>
    </row>
    <row r="2529" spans="1:11">
      <c r="A2529" t="s">
        <v>4467</v>
      </c>
      <c r="B2529" s="15">
        <v>45871</v>
      </c>
      <c r="C2529" s="4">
        <v>45870</v>
      </c>
      <c r="D2529" t="s">
        <v>62</v>
      </c>
      <c r="E2529" t="s">
        <v>25</v>
      </c>
      <c r="F2529" t="s">
        <v>64</v>
      </c>
      <c r="G2529" t="s">
        <v>340</v>
      </c>
      <c r="H2529" t="s">
        <v>11</v>
      </c>
      <c r="I2529" t="s">
        <v>1935</v>
      </c>
      <c r="J2529" t="s">
        <v>1936</v>
      </c>
      <c r="K2529" s="8">
        <v>12</v>
      </c>
    </row>
    <row r="2530" spans="1:11">
      <c r="A2530" t="s">
        <v>4468</v>
      </c>
      <c r="B2530" s="15">
        <v>45870</v>
      </c>
      <c r="C2530" s="4">
        <v>45870</v>
      </c>
      <c r="D2530" t="s">
        <v>62</v>
      </c>
      <c r="E2530" t="s">
        <v>25</v>
      </c>
      <c r="F2530" t="s">
        <v>64</v>
      </c>
      <c r="G2530" t="s">
        <v>358</v>
      </c>
      <c r="H2530" t="s">
        <v>8</v>
      </c>
      <c r="I2530" t="s">
        <v>1935</v>
      </c>
      <c r="J2530" t="s">
        <v>1936</v>
      </c>
      <c r="K2530" s="8">
        <v>26</v>
      </c>
    </row>
    <row r="2531" spans="1:11">
      <c r="A2531" t="s">
        <v>4469</v>
      </c>
      <c r="B2531" s="15">
        <v>45881</v>
      </c>
      <c r="C2531" s="4">
        <v>45870</v>
      </c>
      <c r="D2531" t="s">
        <v>62</v>
      </c>
      <c r="E2531" t="s">
        <v>25</v>
      </c>
      <c r="F2531" t="s">
        <v>64</v>
      </c>
      <c r="G2531" t="s">
        <v>328</v>
      </c>
      <c r="H2531" t="s">
        <v>5</v>
      </c>
      <c r="I2531" t="s">
        <v>1935</v>
      </c>
      <c r="J2531" t="s">
        <v>1936</v>
      </c>
      <c r="K2531" s="8">
        <v>10</v>
      </c>
    </row>
    <row r="2532" spans="1:11">
      <c r="A2532" t="s">
        <v>4470</v>
      </c>
      <c r="B2532" s="15">
        <v>45875</v>
      </c>
      <c r="C2532" s="4">
        <v>45870</v>
      </c>
      <c r="D2532" t="s">
        <v>65</v>
      </c>
      <c r="E2532" t="s">
        <v>25</v>
      </c>
      <c r="F2532" t="s">
        <v>67</v>
      </c>
      <c r="G2532" t="s">
        <v>354</v>
      </c>
      <c r="H2532" t="s">
        <v>5</v>
      </c>
      <c r="I2532" t="s">
        <v>1935</v>
      </c>
      <c r="J2532" t="s">
        <v>1936</v>
      </c>
      <c r="K2532" s="8">
        <v>27</v>
      </c>
    </row>
    <row r="2533" spans="1:11">
      <c r="A2533" t="s">
        <v>4471</v>
      </c>
      <c r="B2533" s="15">
        <v>45890</v>
      </c>
      <c r="C2533" s="4">
        <v>45870</v>
      </c>
      <c r="D2533" t="s">
        <v>65</v>
      </c>
      <c r="E2533" t="s">
        <v>25</v>
      </c>
      <c r="F2533" t="s">
        <v>67</v>
      </c>
      <c r="G2533" t="s">
        <v>354</v>
      </c>
      <c r="H2533" t="s">
        <v>14</v>
      </c>
      <c r="I2533" t="s">
        <v>1935</v>
      </c>
      <c r="J2533" t="s">
        <v>1936</v>
      </c>
      <c r="K2533" s="8">
        <v>33</v>
      </c>
    </row>
    <row r="2534" spans="1:11">
      <c r="A2534" t="s">
        <v>4472</v>
      </c>
      <c r="B2534" s="15">
        <v>45873</v>
      </c>
      <c r="C2534" s="4">
        <v>45870</v>
      </c>
      <c r="D2534" t="s">
        <v>65</v>
      </c>
      <c r="E2534" t="s">
        <v>25</v>
      </c>
      <c r="F2534" t="s">
        <v>67</v>
      </c>
      <c r="G2534" t="s">
        <v>342</v>
      </c>
      <c r="H2534" t="s">
        <v>11</v>
      </c>
      <c r="I2534" t="s">
        <v>1935</v>
      </c>
      <c r="J2534" t="s">
        <v>1954</v>
      </c>
      <c r="K2534" s="8">
        <v>20</v>
      </c>
    </row>
    <row r="2535" spans="1:11">
      <c r="A2535" t="s">
        <v>4473</v>
      </c>
      <c r="B2535" s="15">
        <v>45896</v>
      </c>
      <c r="C2535" s="4">
        <v>45870</v>
      </c>
      <c r="D2535" t="s">
        <v>65</v>
      </c>
      <c r="E2535" t="s">
        <v>25</v>
      </c>
      <c r="F2535" t="s">
        <v>67</v>
      </c>
      <c r="G2535" t="s">
        <v>348</v>
      </c>
      <c r="H2535" t="s">
        <v>11</v>
      </c>
      <c r="I2535" t="s">
        <v>1935</v>
      </c>
      <c r="J2535" t="s">
        <v>1936</v>
      </c>
      <c r="K2535" s="8">
        <v>24</v>
      </c>
    </row>
    <row r="2536" spans="1:11">
      <c r="A2536" t="s">
        <v>4474</v>
      </c>
      <c r="B2536" s="15">
        <v>45896</v>
      </c>
      <c r="C2536" s="4">
        <v>45870</v>
      </c>
      <c r="D2536" t="s">
        <v>65</v>
      </c>
      <c r="E2536" t="s">
        <v>25</v>
      </c>
      <c r="F2536" t="s">
        <v>67</v>
      </c>
      <c r="G2536" t="s">
        <v>342</v>
      </c>
      <c r="H2536" t="s">
        <v>5</v>
      </c>
      <c r="I2536" t="s">
        <v>1935</v>
      </c>
      <c r="J2536" t="s">
        <v>1936</v>
      </c>
      <c r="K2536" s="8">
        <v>24</v>
      </c>
    </row>
    <row r="2537" spans="1:11">
      <c r="A2537" t="s">
        <v>4475</v>
      </c>
      <c r="B2537" s="15">
        <v>45872</v>
      </c>
      <c r="C2537" s="4">
        <v>45870</v>
      </c>
      <c r="D2537" t="s">
        <v>65</v>
      </c>
      <c r="E2537" t="s">
        <v>25</v>
      </c>
      <c r="F2537" t="s">
        <v>67</v>
      </c>
      <c r="G2537" t="s">
        <v>318</v>
      </c>
      <c r="H2537" t="s">
        <v>14</v>
      </c>
      <c r="I2537" t="s">
        <v>1935</v>
      </c>
      <c r="J2537" t="s">
        <v>1954</v>
      </c>
      <c r="K2537" s="8">
        <v>12</v>
      </c>
    </row>
    <row r="2538" spans="1:11">
      <c r="A2538" t="s">
        <v>4476</v>
      </c>
      <c r="B2538" s="15">
        <v>45880</v>
      </c>
      <c r="C2538" s="4">
        <v>45870</v>
      </c>
      <c r="D2538" t="s">
        <v>65</v>
      </c>
      <c r="E2538" t="s">
        <v>25</v>
      </c>
      <c r="F2538" t="s">
        <v>67</v>
      </c>
      <c r="G2538" t="s">
        <v>354</v>
      </c>
      <c r="H2538" t="s">
        <v>8</v>
      </c>
      <c r="I2538" t="s">
        <v>1935</v>
      </c>
      <c r="J2538" t="s">
        <v>1936</v>
      </c>
      <c r="K2538" s="8">
        <v>11</v>
      </c>
    </row>
    <row r="2539" spans="1:11">
      <c r="A2539" t="s">
        <v>4477</v>
      </c>
      <c r="B2539" s="15">
        <v>45881</v>
      </c>
      <c r="C2539" s="4">
        <v>45870</v>
      </c>
      <c r="D2539" t="s">
        <v>65</v>
      </c>
      <c r="E2539" t="s">
        <v>25</v>
      </c>
      <c r="F2539" t="s">
        <v>67</v>
      </c>
      <c r="G2539" t="s">
        <v>342</v>
      </c>
      <c r="H2539" t="s">
        <v>8</v>
      </c>
      <c r="I2539" t="s">
        <v>1935</v>
      </c>
      <c r="J2539" t="s">
        <v>1936</v>
      </c>
      <c r="K2539" s="8">
        <v>8</v>
      </c>
    </row>
    <row r="2540" spans="1:11">
      <c r="A2540" t="s">
        <v>4478</v>
      </c>
      <c r="B2540" s="15">
        <v>45895</v>
      </c>
      <c r="C2540" s="4">
        <v>45870</v>
      </c>
      <c r="D2540" t="s">
        <v>65</v>
      </c>
      <c r="E2540" t="s">
        <v>25</v>
      </c>
      <c r="F2540" t="s">
        <v>67</v>
      </c>
      <c r="G2540" t="s">
        <v>354</v>
      </c>
      <c r="H2540" t="s">
        <v>5</v>
      </c>
      <c r="I2540" t="s">
        <v>1935</v>
      </c>
      <c r="J2540" t="s">
        <v>1936</v>
      </c>
      <c r="K2540" s="8">
        <v>19</v>
      </c>
    </row>
    <row r="2541" spans="1:11">
      <c r="A2541" t="s">
        <v>4479</v>
      </c>
      <c r="B2541" s="15">
        <v>45871</v>
      </c>
      <c r="C2541" s="4">
        <v>45870</v>
      </c>
      <c r="D2541" t="s">
        <v>65</v>
      </c>
      <c r="E2541" t="s">
        <v>25</v>
      </c>
      <c r="F2541" t="s">
        <v>67</v>
      </c>
      <c r="G2541" t="s">
        <v>318</v>
      </c>
      <c r="H2541" t="s">
        <v>8</v>
      </c>
      <c r="I2541" t="s">
        <v>1942</v>
      </c>
      <c r="J2541" t="s">
        <v>1936</v>
      </c>
      <c r="K2541" s="8">
        <v>2</v>
      </c>
    </row>
    <row r="2542" spans="1:11">
      <c r="A2542" t="s">
        <v>4480</v>
      </c>
      <c r="B2542" s="15">
        <v>45910</v>
      </c>
      <c r="C2542" s="4">
        <v>45901</v>
      </c>
      <c r="D2542" t="s">
        <v>32</v>
      </c>
      <c r="E2542" t="s">
        <v>19</v>
      </c>
      <c r="F2542" t="s">
        <v>34</v>
      </c>
      <c r="G2542" t="s">
        <v>124</v>
      </c>
      <c r="H2542" t="s">
        <v>11</v>
      </c>
      <c r="I2542" t="s">
        <v>1935</v>
      </c>
      <c r="J2542" t="s">
        <v>1936</v>
      </c>
      <c r="K2542" s="8">
        <v>20</v>
      </c>
    </row>
    <row r="2543" spans="1:11">
      <c r="A2543" t="s">
        <v>4481</v>
      </c>
      <c r="B2543" s="15">
        <v>45920</v>
      </c>
      <c r="C2543" s="4">
        <v>45901</v>
      </c>
      <c r="D2543" t="s">
        <v>32</v>
      </c>
      <c r="E2543" t="s">
        <v>19</v>
      </c>
      <c r="F2543" t="s">
        <v>34</v>
      </c>
      <c r="G2543" t="s">
        <v>99</v>
      </c>
      <c r="H2543" t="s">
        <v>14</v>
      </c>
      <c r="I2543" t="s">
        <v>1995</v>
      </c>
      <c r="J2543" t="s">
        <v>1938</v>
      </c>
      <c r="K2543" s="8">
        <v>3</v>
      </c>
    </row>
    <row r="2544" spans="1:11">
      <c r="A2544" t="s">
        <v>4482</v>
      </c>
      <c r="B2544" s="15">
        <v>45928</v>
      </c>
      <c r="C2544" s="4">
        <v>45901</v>
      </c>
      <c r="D2544" t="s">
        <v>32</v>
      </c>
      <c r="E2544" t="s">
        <v>19</v>
      </c>
      <c r="F2544" t="s">
        <v>34</v>
      </c>
      <c r="G2544" t="s">
        <v>148</v>
      </c>
      <c r="H2544" t="s">
        <v>5</v>
      </c>
      <c r="I2544" t="s">
        <v>1942</v>
      </c>
      <c r="J2544" t="s">
        <v>1936</v>
      </c>
      <c r="K2544" s="8">
        <v>2</v>
      </c>
    </row>
    <row r="2545" spans="1:11">
      <c r="A2545" t="s">
        <v>4483</v>
      </c>
      <c r="B2545" s="15">
        <v>45915</v>
      </c>
      <c r="C2545" s="4">
        <v>45901</v>
      </c>
      <c r="D2545" t="s">
        <v>32</v>
      </c>
      <c r="E2545" t="s">
        <v>19</v>
      </c>
      <c r="F2545" t="s">
        <v>34</v>
      </c>
      <c r="G2545" t="s">
        <v>75</v>
      </c>
      <c r="H2545" t="s">
        <v>5</v>
      </c>
      <c r="I2545" t="s">
        <v>1935</v>
      </c>
      <c r="J2545" t="s">
        <v>1936</v>
      </c>
      <c r="K2545" s="8">
        <v>35</v>
      </c>
    </row>
    <row r="2546" spans="1:11">
      <c r="A2546" t="s">
        <v>4484</v>
      </c>
      <c r="B2546" s="15">
        <v>45906</v>
      </c>
      <c r="C2546" s="4">
        <v>45901</v>
      </c>
      <c r="D2546" t="s">
        <v>32</v>
      </c>
      <c r="E2546" t="s">
        <v>19</v>
      </c>
      <c r="F2546" t="s">
        <v>34</v>
      </c>
      <c r="G2546" t="s">
        <v>124</v>
      </c>
      <c r="H2546" t="s">
        <v>8</v>
      </c>
      <c r="I2546" t="s">
        <v>1935</v>
      </c>
      <c r="J2546" t="s">
        <v>1936</v>
      </c>
      <c r="K2546" s="8">
        <v>8</v>
      </c>
    </row>
    <row r="2547" spans="1:11">
      <c r="A2547" t="s">
        <v>4485</v>
      </c>
      <c r="B2547" s="15">
        <v>45923</v>
      </c>
      <c r="C2547" s="4">
        <v>45901</v>
      </c>
      <c r="D2547" t="s">
        <v>32</v>
      </c>
      <c r="E2547" t="s">
        <v>19</v>
      </c>
      <c r="F2547" t="s">
        <v>34</v>
      </c>
      <c r="G2547" t="s">
        <v>99</v>
      </c>
      <c r="H2547" t="s">
        <v>14</v>
      </c>
      <c r="I2547" t="s">
        <v>1935</v>
      </c>
      <c r="J2547" t="s">
        <v>1936</v>
      </c>
      <c r="K2547" s="8">
        <v>35</v>
      </c>
    </row>
    <row r="2548" spans="1:11">
      <c r="A2548" t="s">
        <v>4486</v>
      </c>
      <c r="B2548" s="15">
        <v>45922</v>
      </c>
      <c r="C2548" s="4">
        <v>45901</v>
      </c>
      <c r="D2548" t="s">
        <v>32</v>
      </c>
      <c r="E2548" t="s">
        <v>19</v>
      </c>
      <c r="F2548" t="s">
        <v>34</v>
      </c>
      <c r="G2548" t="s">
        <v>92</v>
      </c>
      <c r="H2548" t="s">
        <v>8</v>
      </c>
      <c r="I2548" t="s">
        <v>1935</v>
      </c>
      <c r="J2548" t="s">
        <v>1936</v>
      </c>
      <c r="K2548" s="8">
        <v>23</v>
      </c>
    </row>
    <row r="2549" spans="1:11">
      <c r="A2549" t="s">
        <v>4487</v>
      </c>
      <c r="B2549" s="15">
        <v>45924</v>
      </c>
      <c r="C2549" s="4">
        <v>45901</v>
      </c>
      <c r="D2549" t="s">
        <v>32</v>
      </c>
      <c r="E2549" t="s">
        <v>19</v>
      </c>
      <c r="F2549" t="s">
        <v>34</v>
      </c>
      <c r="G2549" t="s">
        <v>154</v>
      </c>
      <c r="H2549" t="s">
        <v>11</v>
      </c>
      <c r="I2549" t="s">
        <v>1935</v>
      </c>
      <c r="J2549" t="s">
        <v>1938</v>
      </c>
      <c r="K2549" s="8">
        <v>27</v>
      </c>
    </row>
    <row r="2550" spans="1:11">
      <c r="A2550" t="s">
        <v>4488</v>
      </c>
      <c r="B2550" s="15">
        <v>45920</v>
      </c>
      <c r="C2550" s="4">
        <v>45901</v>
      </c>
      <c r="D2550" t="s">
        <v>32</v>
      </c>
      <c r="E2550" t="s">
        <v>19</v>
      </c>
      <c r="F2550" t="s">
        <v>34</v>
      </c>
      <c r="G2550" t="s">
        <v>75</v>
      </c>
      <c r="H2550" t="s">
        <v>5</v>
      </c>
      <c r="I2550" t="s">
        <v>1935</v>
      </c>
      <c r="J2550" t="s">
        <v>1936</v>
      </c>
      <c r="K2550" s="8">
        <v>29</v>
      </c>
    </row>
    <row r="2551" spans="1:11">
      <c r="A2551" t="s">
        <v>4489</v>
      </c>
      <c r="B2551" s="15">
        <v>45905</v>
      </c>
      <c r="C2551" s="4">
        <v>45901</v>
      </c>
      <c r="D2551" t="s">
        <v>35</v>
      </c>
      <c r="E2551" t="s">
        <v>19</v>
      </c>
      <c r="F2551" t="s">
        <v>37</v>
      </c>
      <c r="G2551" t="s">
        <v>78</v>
      </c>
      <c r="H2551" t="s">
        <v>8</v>
      </c>
      <c r="I2551" t="s">
        <v>1935</v>
      </c>
      <c r="J2551" t="s">
        <v>1936</v>
      </c>
      <c r="K2551" s="8">
        <v>9</v>
      </c>
    </row>
    <row r="2552" spans="1:11">
      <c r="A2552" t="s">
        <v>4490</v>
      </c>
      <c r="B2552" s="15">
        <v>45906</v>
      </c>
      <c r="C2552" s="4">
        <v>45901</v>
      </c>
      <c r="D2552" t="s">
        <v>35</v>
      </c>
      <c r="E2552" t="s">
        <v>19</v>
      </c>
      <c r="F2552" t="s">
        <v>37</v>
      </c>
      <c r="G2552" t="s">
        <v>162</v>
      </c>
      <c r="H2552" t="s">
        <v>5</v>
      </c>
      <c r="I2552" t="s">
        <v>1935</v>
      </c>
      <c r="J2552" t="s">
        <v>1936</v>
      </c>
      <c r="K2552" s="8">
        <v>20</v>
      </c>
    </row>
    <row r="2553" spans="1:11">
      <c r="A2553" t="s">
        <v>4491</v>
      </c>
      <c r="B2553" s="15">
        <v>45918</v>
      </c>
      <c r="C2553" s="4">
        <v>45901</v>
      </c>
      <c r="D2553" t="s">
        <v>35</v>
      </c>
      <c r="E2553" t="s">
        <v>19</v>
      </c>
      <c r="F2553" t="s">
        <v>37</v>
      </c>
      <c r="G2553" t="s">
        <v>101</v>
      </c>
      <c r="H2553" t="s">
        <v>8</v>
      </c>
      <c r="I2553" t="s">
        <v>1935</v>
      </c>
      <c r="J2553" t="s">
        <v>1936</v>
      </c>
      <c r="K2553" s="8">
        <v>13</v>
      </c>
    </row>
    <row r="2554" spans="1:11">
      <c r="A2554" t="s">
        <v>4492</v>
      </c>
      <c r="B2554" s="15">
        <v>45917</v>
      </c>
      <c r="C2554" s="4">
        <v>45901</v>
      </c>
      <c r="D2554" t="s">
        <v>35</v>
      </c>
      <c r="E2554" t="s">
        <v>19</v>
      </c>
      <c r="F2554" t="s">
        <v>37</v>
      </c>
      <c r="G2554" t="s">
        <v>101</v>
      </c>
      <c r="H2554" t="s">
        <v>8</v>
      </c>
      <c r="I2554" t="s">
        <v>1935</v>
      </c>
      <c r="J2554" t="s">
        <v>1954</v>
      </c>
      <c r="K2554" s="8">
        <v>19</v>
      </c>
    </row>
    <row r="2555" spans="1:11">
      <c r="A2555" t="s">
        <v>4493</v>
      </c>
      <c r="B2555" s="15">
        <v>45913</v>
      </c>
      <c r="C2555" s="4">
        <v>45901</v>
      </c>
      <c r="D2555" t="s">
        <v>35</v>
      </c>
      <c r="E2555" t="s">
        <v>19</v>
      </c>
      <c r="F2555" t="s">
        <v>37</v>
      </c>
      <c r="G2555" t="s">
        <v>78</v>
      </c>
      <c r="H2555" t="s">
        <v>8</v>
      </c>
      <c r="I2555" t="s">
        <v>1935</v>
      </c>
      <c r="J2555" t="s">
        <v>1936</v>
      </c>
      <c r="K2555" s="8">
        <v>35</v>
      </c>
    </row>
    <row r="2556" spans="1:11">
      <c r="A2556" t="s">
        <v>4494</v>
      </c>
      <c r="B2556" s="15">
        <v>45929</v>
      </c>
      <c r="C2556" s="4">
        <v>45901</v>
      </c>
      <c r="D2556" t="s">
        <v>35</v>
      </c>
      <c r="E2556" t="s">
        <v>19</v>
      </c>
      <c r="F2556" t="s">
        <v>37</v>
      </c>
      <c r="G2556" t="s">
        <v>107</v>
      </c>
      <c r="H2556" t="s">
        <v>8</v>
      </c>
      <c r="I2556" t="s">
        <v>1935</v>
      </c>
      <c r="J2556" t="s">
        <v>1954</v>
      </c>
      <c r="K2556" s="8">
        <v>8</v>
      </c>
    </row>
    <row r="2557" spans="1:11">
      <c r="A2557" t="s">
        <v>4495</v>
      </c>
      <c r="B2557" s="15">
        <v>45905</v>
      </c>
      <c r="C2557" s="4">
        <v>45901</v>
      </c>
      <c r="D2557" t="s">
        <v>35</v>
      </c>
      <c r="E2557" t="s">
        <v>19</v>
      </c>
      <c r="F2557" t="s">
        <v>37</v>
      </c>
      <c r="G2557" t="s">
        <v>101</v>
      </c>
      <c r="H2557" t="s">
        <v>14</v>
      </c>
      <c r="I2557" t="s">
        <v>1935</v>
      </c>
      <c r="J2557" t="s">
        <v>1936</v>
      </c>
      <c r="K2557" s="8">
        <v>29</v>
      </c>
    </row>
    <row r="2558" spans="1:11">
      <c r="A2558" t="s">
        <v>4496</v>
      </c>
      <c r="B2558" s="15">
        <v>45904</v>
      </c>
      <c r="C2558" s="4">
        <v>45901</v>
      </c>
      <c r="D2558" t="s">
        <v>35</v>
      </c>
      <c r="E2558" t="s">
        <v>19</v>
      </c>
      <c r="F2558" t="s">
        <v>37</v>
      </c>
      <c r="G2558" t="s">
        <v>78</v>
      </c>
      <c r="H2558" t="s">
        <v>8</v>
      </c>
      <c r="I2558" t="s">
        <v>1935</v>
      </c>
      <c r="J2558" t="s">
        <v>1936</v>
      </c>
      <c r="K2558" s="8">
        <v>18</v>
      </c>
    </row>
    <row r="2559" spans="1:11">
      <c r="A2559" t="s">
        <v>4497</v>
      </c>
      <c r="B2559" s="15">
        <v>45923</v>
      </c>
      <c r="C2559" s="4">
        <v>45901</v>
      </c>
      <c r="D2559" t="s">
        <v>35</v>
      </c>
      <c r="E2559" t="s">
        <v>19</v>
      </c>
      <c r="F2559" t="s">
        <v>37</v>
      </c>
      <c r="G2559" t="s">
        <v>126</v>
      </c>
      <c r="H2559" t="s">
        <v>5</v>
      </c>
      <c r="I2559" t="s">
        <v>1935</v>
      </c>
      <c r="J2559" t="s">
        <v>1954</v>
      </c>
      <c r="K2559" s="8">
        <v>25</v>
      </c>
    </row>
    <row r="2560" spans="1:11">
      <c r="A2560" t="s">
        <v>4498</v>
      </c>
      <c r="B2560" s="15">
        <v>45906</v>
      </c>
      <c r="C2560" s="4">
        <v>45901</v>
      </c>
      <c r="D2560" t="s">
        <v>35</v>
      </c>
      <c r="E2560" t="s">
        <v>19</v>
      </c>
      <c r="F2560" t="s">
        <v>37</v>
      </c>
      <c r="G2560" t="s">
        <v>101</v>
      </c>
      <c r="H2560" t="s">
        <v>8</v>
      </c>
      <c r="I2560" t="s">
        <v>1935</v>
      </c>
      <c r="J2560" t="s">
        <v>1938</v>
      </c>
      <c r="K2560" s="8">
        <v>13</v>
      </c>
    </row>
    <row r="2561" spans="1:11">
      <c r="A2561" t="s">
        <v>4499</v>
      </c>
      <c r="B2561" s="15">
        <v>45908</v>
      </c>
      <c r="C2561" s="4">
        <v>45901</v>
      </c>
      <c r="D2561" t="s">
        <v>38</v>
      </c>
      <c r="E2561" t="s">
        <v>19</v>
      </c>
      <c r="F2561" t="s">
        <v>40</v>
      </c>
      <c r="G2561" t="s">
        <v>90</v>
      </c>
      <c r="H2561" t="s">
        <v>5</v>
      </c>
      <c r="I2561" t="s">
        <v>1935</v>
      </c>
      <c r="J2561" t="s">
        <v>1938</v>
      </c>
      <c r="K2561" s="8">
        <v>28</v>
      </c>
    </row>
    <row r="2562" spans="1:11">
      <c r="A2562" t="s">
        <v>4500</v>
      </c>
      <c r="B2562" s="15">
        <v>45904</v>
      </c>
      <c r="C2562" s="4">
        <v>45901</v>
      </c>
      <c r="D2562" t="s">
        <v>38</v>
      </c>
      <c r="E2562" t="s">
        <v>19</v>
      </c>
      <c r="F2562" t="s">
        <v>40</v>
      </c>
      <c r="G2562" t="s">
        <v>82</v>
      </c>
      <c r="H2562" t="s">
        <v>8</v>
      </c>
      <c r="I2562" t="s">
        <v>1935</v>
      </c>
      <c r="J2562" t="s">
        <v>1936</v>
      </c>
      <c r="K2562" s="8">
        <v>11</v>
      </c>
    </row>
    <row r="2563" spans="1:11">
      <c r="A2563" t="s">
        <v>4501</v>
      </c>
      <c r="B2563" s="15">
        <v>45922</v>
      </c>
      <c r="C2563" s="4">
        <v>45901</v>
      </c>
      <c r="D2563" t="s">
        <v>38</v>
      </c>
      <c r="E2563" t="s">
        <v>19</v>
      </c>
      <c r="F2563" t="s">
        <v>40</v>
      </c>
      <c r="G2563" t="s">
        <v>134</v>
      </c>
      <c r="H2563" t="s">
        <v>14</v>
      </c>
      <c r="I2563" t="s">
        <v>1935</v>
      </c>
      <c r="J2563" t="s">
        <v>1936</v>
      </c>
      <c r="K2563" s="8">
        <v>22</v>
      </c>
    </row>
    <row r="2564" spans="1:11">
      <c r="A2564" t="s">
        <v>4502</v>
      </c>
      <c r="B2564" s="15">
        <v>45928</v>
      </c>
      <c r="C2564" s="4">
        <v>45901</v>
      </c>
      <c r="D2564" t="s">
        <v>38</v>
      </c>
      <c r="E2564" t="s">
        <v>19</v>
      </c>
      <c r="F2564" t="s">
        <v>40</v>
      </c>
      <c r="G2564" t="s">
        <v>134</v>
      </c>
      <c r="H2564" t="s">
        <v>14</v>
      </c>
      <c r="I2564" t="s">
        <v>1935</v>
      </c>
      <c r="J2564" t="s">
        <v>1936</v>
      </c>
      <c r="K2564" s="8">
        <v>33</v>
      </c>
    </row>
    <row r="2565" spans="1:11">
      <c r="A2565" t="s">
        <v>4503</v>
      </c>
      <c r="B2565" s="15">
        <v>45927</v>
      </c>
      <c r="C2565" s="4">
        <v>45901</v>
      </c>
      <c r="D2565" t="s">
        <v>38</v>
      </c>
      <c r="E2565" t="s">
        <v>19</v>
      </c>
      <c r="F2565" t="s">
        <v>40</v>
      </c>
      <c r="G2565" t="s">
        <v>128</v>
      </c>
      <c r="H2565" t="s">
        <v>8</v>
      </c>
      <c r="I2565" t="s">
        <v>1995</v>
      </c>
      <c r="J2565" t="s">
        <v>1936</v>
      </c>
      <c r="K2565" s="8">
        <v>7</v>
      </c>
    </row>
    <row r="2566" spans="1:11">
      <c r="A2566" t="s">
        <v>4504</v>
      </c>
      <c r="B2566" s="15">
        <v>45922</v>
      </c>
      <c r="C2566" s="4">
        <v>45901</v>
      </c>
      <c r="D2566" t="s">
        <v>38</v>
      </c>
      <c r="E2566" t="s">
        <v>19</v>
      </c>
      <c r="F2566" t="s">
        <v>40</v>
      </c>
      <c r="G2566" t="s">
        <v>109</v>
      </c>
      <c r="H2566" t="s">
        <v>11</v>
      </c>
      <c r="I2566" t="s">
        <v>1935</v>
      </c>
      <c r="J2566" t="s">
        <v>1936</v>
      </c>
      <c r="K2566" s="8">
        <v>26</v>
      </c>
    </row>
    <row r="2567" spans="1:11">
      <c r="A2567" t="s">
        <v>4505</v>
      </c>
      <c r="B2567" s="15">
        <v>45924</v>
      </c>
      <c r="C2567" s="4">
        <v>45901</v>
      </c>
      <c r="D2567" t="s">
        <v>38</v>
      </c>
      <c r="E2567" t="s">
        <v>19</v>
      </c>
      <c r="F2567" t="s">
        <v>40</v>
      </c>
      <c r="G2567" t="s">
        <v>103</v>
      </c>
      <c r="H2567" t="s">
        <v>5</v>
      </c>
      <c r="I2567" t="s">
        <v>1935</v>
      </c>
      <c r="J2567" t="s">
        <v>1936</v>
      </c>
      <c r="K2567" s="8">
        <v>25</v>
      </c>
    </row>
    <row r="2568" spans="1:11">
      <c r="A2568" t="s">
        <v>4506</v>
      </c>
      <c r="B2568" s="15">
        <v>45903</v>
      </c>
      <c r="C2568" s="4">
        <v>45901</v>
      </c>
      <c r="D2568" t="s">
        <v>38</v>
      </c>
      <c r="E2568" t="s">
        <v>19</v>
      </c>
      <c r="F2568" t="s">
        <v>40</v>
      </c>
      <c r="G2568" t="s">
        <v>164</v>
      </c>
      <c r="H2568" t="s">
        <v>14</v>
      </c>
      <c r="I2568" t="s">
        <v>1935</v>
      </c>
      <c r="J2568" t="s">
        <v>1936</v>
      </c>
      <c r="K2568" s="8">
        <v>18</v>
      </c>
    </row>
    <row r="2569" spans="1:11">
      <c r="A2569" t="s">
        <v>4507</v>
      </c>
      <c r="B2569" s="15">
        <v>45930</v>
      </c>
      <c r="C2569" s="4">
        <v>45901</v>
      </c>
      <c r="D2569" t="s">
        <v>38</v>
      </c>
      <c r="E2569" t="s">
        <v>19</v>
      </c>
      <c r="F2569" t="s">
        <v>40</v>
      </c>
      <c r="G2569" t="s">
        <v>158</v>
      </c>
      <c r="H2569" t="s">
        <v>8</v>
      </c>
      <c r="I2569" t="s">
        <v>1935</v>
      </c>
      <c r="J2569" t="s">
        <v>1936</v>
      </c>
      <c r="K2569" s="8">
        <v>29</v>
      </c>
    </row>
    <row r="2570" spans="1:11">
      <c r="A2570" t="s">
        <v>4508</v>
      </c>
      <c r="B2570" s="15">
        <v>45902</v>
      </c>
      <c r="C2570" s="4">
        <v>45901</v>
      </c>
      <c r="D2570" t="s">
        <v>41</v>
      </c>
      <c r="E2570" t="s">
        <v>21</v>
      </c>
      <c r="F2570" t="s">
        <v>43</v>
      </c>
      <c r="G2570" t="s">
        <v>214</v>
      </c>
      <c r="H2570" t="s">
        <v>8</v>
      </c>
      <c r="I2570" t="s">
        <v>1935</v>
      </c>
      <c r="J2570" t="s">
        <v>1936</v>
      </c>
      <c r="K2570" s="8">
        <v>18</v>
      </c>
    </row>
    <row r="2571" spans="1:11">
      <c r="A2571" t="s">
        <v>4509</v>
      </c>
      <c r="B2571" s="15">
        <v>45917</v>
      </c>
      <c r="C2571" s="4">
        <v>45901</v>
      </c>
      <c r="D2571" t="s">
        <v>41</v>
      </c>
      <c r="E2571" t="s">
        <v>21</v>
      </c>
      <c r="F2571" t="s">
        <v>43</v>
      </c>
      <c r="G2571" t="s">
        <v>208</v>
      </c>
      <c r="H2571" t="s">
        <v>11</v>
      </c>
      <c r="I2571" t="s">
        <v>1935</v>
      </c>
      <c r="J2571" t="s">
        <v>1936</v>
      </c>
      <c r="K2571" s="8">
        <v>22</v>
      </c>
    </row>
    <row r="2572" spans="1:11">
      <c r="A2572" t="s">
        <v>4510</v>
      </c>
      <c r="B2572" s="15">
        <v>45922</v>
      </c>
      <c r="C2572" s="4">
        <v>45901</v>
      </c>
      <c r="D2572" t="s">
        <v>41</v>
      </c>
      <c r="E2572" t="s">
        <v>21</v>
      </c>
      <c r="F2572" t="s">
        <v>43</v>
      </c>
      <c r="G2572" t="s">
        <v>208</v>
      </c>
      <c r="H2572" t="s">
        <v>11</v>
      </c>
      <c r="I2572" t="s">
        <v>1935</v>
      </c>
      <c r="J2572" t="s">
        <v>1936</v>
      </c>
      <c r="K2572" s="8">
        <v>21</v>
      </c>
    </row>
    <row r="2573" spans="1:11">
      <c r="A2573" t="s">
        <v>4511</v>
      </c>
      <c r="B2573" s="15">
        <v>45921</v>
      </c>
      <c r="C2573" s="4">
        <v>45901</v>
      </c>
      <c r="D2573" t="s">
        <v>41</v>
      </c>
      <c r="E2573" t="s">
        <v>21</v>
      </c>
      <c r="F2573" t="s">
        <v>43</v>
      </c>
      <c r="G2573" t="s">
        <v>214</v>
      </c>
      <c r="H2573" t="s">
        <v>14</v>
      </c>
      <c r="I2573" t="s">
        <v>1935</v>
      </c>
      <c r="J2573" t="s">
        <v>1936</v>
      </c>
      <c r="K2573" s="8">
        <v>21</v>
      </c>
    </row>
    <row r="2574" spans="1:11">
      <c r="A2574" t="s">
        <v>4512</v>
      </c>
      <c r="B2574" s="15">
        <v>45916</v>
      </c>
      <c r="C2574" s="4">
        <v>45901</v>
      </c>
      <c r="D2574" t="s">
        <v>41</v>
      </c>
      <c r="E2574" t="s">
        <v>21</v>
      </c>
      <c r="F2574" t="s">
        <v>43</v>
      </c>
      <c r="G2574" t="s">
        <v>214</v>
      </c>
      <c r="H2574" t="s">
        <v>5</v>
      </c>
      <c r="I2574" t="s">
        <v>1935</v>
      </c>
      <c r="J2574" t="s">
        <v>1936</v>
      </c>
      <c r="K2574" s="8">
        <v>35</v>
      </c>
    </row>
    <row r="2575" spans="1:11">
      <c r="A2575" t="s">
        <v>4513</v>
      </c>
      <c r="B2575" s="15">
        <v>45904</v>
      </c>
      <c r="C2575" s="4">
        <v>45901</v>
      </c>
      <c r="D2575" t="s">
        <v>41</v>
      </c>
      <c r="E2575" t="s">
        <v>21</v>
      </c>
      <c r="F2575" t="s">
        <v>43</v>
      </c>
      <c r="G2575" t="s">
        <v>208</v>
      </c>
      <c r="H2575" t="s">
        <v>14</v>
      </c>
      <c r="I2575" t="s">
        <v>1935</v>
      </c>
      <c r="J2575" t="s">
        <v>1936</v>
      </c>
      <c r="K2575" s="8">
        <v>18</v>
      </c>
    </row>
    <row r="2576" spans="1:11">
      <c r="A2576" t="s">
        <v>4514</v>
      </c>
      <c r="B2576" s="15">
        <v>45922</v>
      </c>
      <c r="C2576" s="4">
        <v>45901</v>
      </c>
      <c r="D2576" t="s">
        <v>41</v>
      </c>
      <c r="E2576" t="s">
        <v>21</v>
      </c>
      <c r="F2576" t="s">
        <v>43</v>
      </c>
      <c r="G2576" t="s">
        <v>166</v>
      </c>
      <c r="H2576" t="s">
        <v>14</v>
      </c>
      <c r="I2576" t="s">
        <v>1942</v>
      </c>
      <c r="J2576" t="s">
        <v>1936</v>
      </c>
      <c r="K2576" s="8">
        <v>8</v>
      </c>
    </row>
    <row r="2577" spans="1:11">
      <c r="A2577" t="s">
        <v>4515</v>
      </c>
      <c r="B2577" s="15">
        <v>45908</v>
      </c>
      <c r="C2577" s="4">
        <v>45901</v>
      </c>
      <c r="D2577" t="s">
        <v>41</v>
      </c>
      <c r="E2577" t="s">
        <v>21</v>
      </c>
      <c r="F2577" t="s">
        <v>43</v>
      </c>
      <c r="G2577" t="s">
        <v>220</v>
      </c>
      <c r="H2577" t="s">
        <v>11</v>
      </c>
      <c r="I2577" t="s">
        <v>1935</v>
      </c>
      <c r="J2577" t="s">
        <v>1936</v>
      </c>
      <c r="K2577" s="8">
        <v>19</v>
      </c>
    </row>
    <row r="2578" spans="1:11">
      <c r="A2578" t="s">
        <v>4516</v>
      </c>
      <c r="B2578" s="15">
        <v>45923</v>
      </c>
      <c r="C2578" s="4">
        <v>45901</v>
      </c>
      <c r="D2578" t="s">
        <v>41</v>
      </c>
      <c r="E2578" t="s">
        <v>21</v>
      </c>
      <c r="F2578" t="s">
        <v>43</v>
      </c>
      <c r="G2578" t="s">
        <v>220</v>
      </c>
      <c r="H2578" t="s">
        <v>11</v>
      </c>
      <c r="I2578" t="s">
        <v>1935</v>
      </c>
      <c r="J2578" t="s">
        <v>1936</v>
      </c>
      <c r="K2578" s="8">
        <v>18</v>
      </c>
    </row>
    <row r="2579" spans="1:11">
      <c r="A2579" t="s">
        <v>4517</v>
      </c>
      <c r="B2579" s="15">
        <v>45902</v>
      </c>
      <c r="C2579" s="4">
        <v>45901</v>
      </c>
      <c r="D2579" t="s">
        <v>41</v>
      </c>
      <c r="E2579" t="s">
        <v>21</v>
      </c>
      <c r="F2579" t="s">
        <v>43</v>
      </c>
      <c r="G2579" t="s">
        <v>190</v>
      </c>
      <c r="H2579" t="s">
        <v>5</v>
      </c>
      <c r="I2579" t="s">
        <v>1935</v>
      </c>
      <c r="J2579" t="s">
        <v>1936</v>
      </c>
      <c r="K2579" s="8">
        <v>34</v>
      </c>
    </row>
    <row r="2580" spans="1:11">
      <c r="A2580" t="s">
        <v>4518</v>
      </c>
      <c r="B2580" s="15">
        <v>45920</v>
      </c>
      <c r="C2580" s="4">
        <v>45901</v>
      </c>
      <c r="D2580" t="s">
        <v>44</v>
      </c>
      <c r="E2580" t="s">
        <v>21</v>
      </c>
      <c r="F2580" t="s">
        <v>46</v>
      </c>
      <c r="G2580" t="s">
        <v>234</v>
      </c>
      <c r="H2580" t="s">
        <v>5</v>
      </c>
      <c r="I2580" t="s">
        <v>1935</v>
      </c>
      <c r="J2580" t="s">
        <v>1936</v>
      </c>
      <c r="K2580" s="8">
        <v>21</v>
      </c>
    </row>
    <row r="2581" spans="1:11">
      <c r="A2581" t="s">
        <v>4519</v>
      </c>
      <c r="B2581" s="15">
        <v>45905</v>
      </c>
      <c r="C2581" s="4">
        <v>45901</v>
      </c>
      <c r="D2581" t="s">
        <v>44</v>
      </c>
      <c r="E2581" t="s">
        <v>21</v>
      </c>
      <c r="F2581" t="s">
        <v>46</v>
      </c>
      <c r="G2581" t="s">
        <v>216</v>
      </c>
      <c r="H2581" t="s">
        <v>14</v>
      </c>
      <c r="I2581" t="s">
        <v>1935</v>
      </c>
      <c r="J2581" t="s">
        <v>1936</v>
      </c>
      <c r="K2581" s="8">
        <v>28</v>
      </c>
    </row>
    <row r="2582" spans="1:11">
      <c r="A2582" t="s">
        <v>4520</v>
      </c>
      <c r="B2582" s="15">
        <v>45920</v>
      </c>
      <c r="C2582" s="4">
        <v>45901</v>
      </c>
      <c r="D2582" t="s">
        <v>44</v>
      </c>
      <c r="E2582" t="s">
        <v>21</v>
      </c>
      <c r="F2582" t="s">
        <v>46</v>
      </c>
      <c r="G2582" t="s">
        <v>180</v>
      </c>
      <c r="H2582" t="s">
        <v>11</v>
      </c>
      <c r="I2582" t="s">
        <v>1942</v>
      </c>
      <c r="J2582" t="s">
        <v>1936</v>
      </c>
      <c r="K2582" s="8">
        <v>1</v>
      </c>
    </row>
    <row r="2583" spans="1:11">
      <c r="A2583" t="s">
        <v>4521</v>
      </c>
      <c r="B2583" s="15">
        <v>45901</v>
      </c>
      <c r="C2583" s="4">
        <v>45901</v>
      </c>
      <c r="D2583" t="s">
        <v>44</v>
      </c>
      <c r="E2583" t="s">
        <v>21</v>
      </c>
      <c r="F2583" t="s">
        <v>46</v>
      </c>
      <c r="G2583" t="s">
        <v>216</v>
      </c>
      <c r="H2583" t="s">
        <v>14</v>
      </c>
      <c r="I2583" t="s">
        <v>1942</v>
      </c>
      <c r="J2583" t="s">
        <v>1936</v>
      </c>
      <c r="K2583" s="8">
        <v>4</v>
      </c>
    </row>
    <row r="2584" spans="1:11">
      <c r="A2584" t="s">
        <v>4522</v>
      </c>
      <c r="B2584" s="15">
        <v>45929</v>
      </c>
      <c r="C2584" s="4">
        <v>45901</v>
      </c>
      <c r="D2584" t="s">
        <v>44</v>
      </c>
      <c r="E2584" t="s">
        <v>21</v>
      </c>
      <c r="F2584" t="s">
        <v>46</v>
      </c>
      <c r="G2584" t="s">
        <v>186</v>
      </c>
      <c r="H2584" t="s">
        <v>5</v>
      </c>
      <c r="I2584" t="s">
        <v>1935</v>
      </c>
      <c r="J2584" t="s">
        <v>1936</v>
      </c>
      <c r="K2584" s="8">
        <v>14</v>
      </c>
    </row>
    <row r="2585" spans="1:11">
      <c r="A2585" t="s">
        <v>4523</v>
      </c>
      <c r="B2585" s="15">
        <v>45921</v>
      </c>
      <c r="C2585" s="4">
        <v>45901</v>
      </c>
      <c r="D2585" t="s">
        <v>44</v>
      </c>
      <c r="E2585" t="s">
        <v>21</v>
      </c>
      <c r="F2585" t="s">
        <v>46</v>
      </c>
      <c r="G2585" t="s">
        <v>174</v>
      </c>
      <c r="H2585" t="s">
        <v>11</v>
      </c>
      <c r="I2585" t="s">
        <v>1935</v>
      </c>
      <c r="J2585" t="s">
        <v>1936</v>
      </c>
      <c r="K2585" s="8">
        <v>15</v>
      </c>
    </row>
    <row r="2586" spans="1:11">
      <c r="A2586" t="s">
        <v>4524</v>
      </c>
      <c r="B2586" s="15">
        <v>45913</v>
      </c>
      <c r="C2586" s="4">
        <v>45901</v>
      </c>
      <c r="D2586" t="s">
        <v>44</v>
      </c>
      <c r="E2586" t="s">
        <v>21</v>
      </c>
      <c r="F2586" t="s">
        <v>46</v>
      </c>
      <c r="G2586" t="s">
        <v>234</v>
      </c>
      <c r="H2586" t="s">
        <v>5</v>
      </c>
      <c r="I2586" t="s">
        <v>1935</v>
      </c>
      <c r="J2586" t="s">
        <v>1936</v>
      </c>
      <c r="K2586" s="8">
        <v>25</v>
      </c>
    </row>
    <row r="2587" spans="1:11">
      <c r="A2587" t="s">
        <v>4525</v>
      </c>
      <c r="B2587" s="15">
        <v>45922</v>
      </c>
      <c r="C2587" s="4">
        <v>45901</v>
      </c>
      <c r="D2587" t="s">
        <v>44</v>
      </c>
      <c r="E2587" t="s">
        <v>21</v>
      </c>
      <c r="F2587" t="s">
        <v>46</v>
      </c>
      <c r="G2587" t="s">
        <v>180</v>
      </c>
      <c r="H2587" t="s">
        <v>14</v>
      </c>
      <c r="I2587" t="s">
        <v>1935</v>
      </c>
      <c r="J2587" t="s">
        <v>1936</v>
      </c>
      <c r="K2587" s="8">
        <v>33</v>
      </c>
    </row>
    <row r="2588" spans="1:11">
      <c r="A2588" t="s">
        <v>4526</v>
      </c>
      <c r="B2588" s="15">
        <v>45911</v>
      </c>
      <c r="C2588" s="4">
        <v>45901</v>
      </c>
      <c r="D2588" t="s">
        <v>44</v>
      </c>
      <c r="E2588" t="s">
        <v>21</v>
      </c>
      <c r="F2588" t="s">
        <v>46</v>
      </c>
      <c r="G2588" t="s">
        <v>228</v>
      </c>
      <c r="H2588" t="s">
        <v>11</v>
      </c>
      <c r="I2588" t="s">
        <v>1935</v>
      </c>
      <c r="J2588" t="s">
        <v>1936</v>
      </c>
      <c r="K2588" s="8">
        <v>24</v>
      </c>
    </row>
    <row r="2589" spans="1:11">
      <c r="A2589" t="s">
        <v>4527</v>
      </c>
      <c r="B2589" s="15">
        <v>45914</v>
      </c>
      <c r="C2589" s="4">
        <v>45901</v>
      </c>
      <c r="D2589" t="s">
        <v>44</v>
      </c>
      <c r="E2589" t="s">
        <v>21</v>
      </c>
      <c r="F2589" t="s">
        <v>46</v>
      </c>
      <c r="G2589" t="s">
        <v>186</v>
      </c>
      <c r="H2589" t="s">
        <v>11</v>
      </c>
      <c r="I2589" t="s">
        <v>1935</v>
      </c>
      <c r="J2589" t="s">
        <v>1936</v>
      </c>
      <c r="K2589" s="8">
        <v>11</v>
      </c>
    </row>
    <row r="2590" spans="1:11">
      <c r="A2590" t="s">
        <v>4528</v>
      </c>
      <c r="B2590" s="15">
        <v>45922</v>
      </c>
      <c r="C2590" s="4">
        <v>45901</v>
      </c>
      <c r="D2590" t="s">
        <v>47</v>
      </c>
      <c r="E2590" t="s">
        <v>21</v>
      </c>
      <c r="F2590" t="s">
        <v>49</v>
      </c>
      <c r="G2590" t="s">
        <v>218</v>
      </c>
      <c r="H2590" t="s">
        <v>14</v>
      </c>
      <c r="I2590" t="s">
        <v>1935</v>
      </c>
      <c r="J2590" t="s">
        <v>1936</v>
      </c>
      <c r="K2590" s="8">
        <v>10</v>
      </c>
    </row>
    <row r="2591" spans="1:11">
      <c r="A2591" t="s">
        <v>4529</v>
      </c>
      <c r="B2591" s="15">
        <v>45905</v>
      </c>
      <c r="C2591" s="4">
        <v>45901</v>
      </c>
      <c r="D2591" t="s">
        <v>47</v>
      </c>
      <c r="E2591" t="s">
        <v>21</v>
      </c>
      <c r="F2591" t="s">
        <v>49</v>
      </c>
      <c r="G2591" t="s">
        <v>218</v>
      </c>
      <c r="H2591" t="s">
        <v>14</v>
      </c>
      <c r="I2591" t="s">
        <v>1935</v>
      </c>
      <c r="J2591" t="s">
        <v>1936</v>
      </c>
      <c r="K2591" s="8">
        <v>33</v>
      </c>
    </row>
    <row r="2592" spans="1:11">
      <c r="A2592" t="s">
        <v>4530</v>
      </c>
      <c r="B2592" s="15">
        <v>45925</v>
      </c>
      <c r="C2592" s="4">
        <v>45901</v>
      </c>
      <c r="D2592" t="s">
        <v>47</v>
      </c>
      <c r="E2592" t="s">
        <v>21</v>
      </c>
      <c r="F2592" t="s">
        <v>49</v>
      </c>
      <c r="G2592" t="s">
        <v>182</v>
      </c>
      <c r="H2592" t="s">
        <v>5</v>
      </c>
      <c r="I2592" t="s">
        <v>1935</v>
      </c>
      <c r="J2592" t="s">
        <v>1938</v>
      </c>
      <c r="K2592" s="8">
        <v>23</v>
      </c>
    </row>
    <row r="2593" spans="1:11">
      <c r="A2593" t="s">
        <v>4531</v>
      </c>
      <c r="B2593" s="15">
        <v>45911</v>
      </c>
      <c r="C2593" s="4">
        <v>45901</v>
      </c>
      <c r="D2593" t="s">
        <v>47</v>
      </c>
      <c r="E2593" t="s">
        <v>21</v>
      </c>
      <c r="F2593" t="s">
        <v>49</v>
      </c>
      <c r="G2593" t="s">
        <v>212</v>
      </c>
      <c r="H2593" t="s">
        <v>11</v>
      </c>
      <c r="I2593" t="s">
        <v>1935</v>
      </c>
      <c r="J2593" t="s">
        <v>1938</v>
      </c>
      <c r="K2593" s="8">
        <v>15</v>
      </c>
    </row>
    <row r="2594" spans="1:11">
      <c r="A2594" t="s">
        <v>4532</v>
      </c>
      <c r="B2594" s="15">
        <v>45924</v>
      </c>
      <c r="C2594" s="4">
        <v>45901</v>
      </c>
      <c r="D2594" t="s">
        <v>47</v>
      </c>
      <c r="E2594" t="s">
        <v>21</v>
      </c>
      <c r="F2594" t="s">
        <v>49</v>
      </c>
      <c r="G2594" t="s">
        <v>218</v>
      </c>
      <c r="H2594" t="s">
        <v>14</v>
      </c>
      <c r="I2594" t="s">
        <v>1935</v>
      </c>
      <c r="J2594" t="s">
        <v>1936</v>
      </c>
      <c r="K2594" s="8">
        <v>21</v>
      </c>
    </row>
    <row r="2595" spans="1:11">
      <c r="A2595" t="s">
        <v>4533</v>
      </c>
      <c r="B2595" s="15">
        <v>45911</v>
      </c>
      <c r="C2595" s="4">
        <v>45901</v>
      </c>
      <c r="D2595" t="s">
        <v>47</v>
      </c>
      <c r="E2595" t="s">
        <v>21</v>
      </c>
      <c r="F2595" t="s">
        <v>49</v>
      </c>
      <c r="G2595" t="s">
        <v>188</v>
      </c>
      <c r="H2595" t="s">
        <v>14</v>
      </c>
      <c r="I2595" t="s">
        <v>1935</v>
      </c>
      <c r="J2595" t="s">
        <v>1938</v>
      </c>
      <c r="K2595" s="8">
        <v>15</v>
      </c>
    </row>
    <row r="2596" spans="1:11">
      <c r="A2596" t="s">
        <v>4534</v>
      </c>
      <c r="B2596" s="15">
        <v>45925</v>
      </c>
      <c r="C2596" s="4">
        <v>45901</v>
      </c>
      <c r="D2596" t="s">
        <v>47</v>
      </c>
      <c r="E2596" t="s">
        <v>21</v>
      </c>
      <c r="F2596" t="s">
        <v>49</v>
      </c>
      <c r="G2596" t="s">
        <v>218</v>
      </c>
      <c r="H2596" t="s">
        <v>11</v>
      </c>
      <c r="I2596" t="s">
        <v>1935</v>
      </c>
      <c r="J2596" t="s">
        <v>1936</v>
      </c>
      <c r="K2596" s="8">
        <v>14</v>
      </c>
    </row>
    <row r="2597" spans="1:11">
      <c r="A2597" t="s">
        <v>4535</v>
      </c>
      <c r="B2597" s="15">
        <v>45915</v>
      </c>
      <c r="C2597" s="4">
        <v>45901</v>
      </c>
      <c r="D2597" t="s">
        <v>47</v>
      </c>
      <c r="E2597" t="s">
        <v>21</v>
      </c>
      <c r="F2597" t="s">
        <v>49</v>
      </c>
      <c r="G2597" t="s">
        <v>218</v>
      </c>
      <c r="H2597" t="s">
        <v>8</v>
      </c>
      <c r="I2597" t="s">
        <v>1935</v>
      </c>
      <c r="J2597" t="s">
        <v>1938</v>
      </c>
      <c r="K2597" s="8">
        <v>25</v>
      </c>
    </row>
    <row r="2598" spans="1:11">
      <c r="A2598" t="s">
        <v>4536</v>
      </c>
      <c r="B2598" s="15">
        <v>45925</v>
      </c>
      <c r="C2598" s="4">
        <v>45901</v>
      </c>
      <c r="D2598" t="s">
        <v>47</v>
      </c>
      <c r="E2598" t="s">
        <v>21</v>
      </c>
      <c r="F2598" t="s">
        <v>49</v>
      </c>
      <c r="G2598" t="s">
        <v>218</v>
      </c>
      <c r="H2598" t="s">
        <v>14</v>
      </c>
      <c r="I2598" t="s">
        <v>1935</v>
      </c>
      <c r="J2598" t="s">
        <v>1936</v>
      </c>
      <c r="K2598" s="8">
        <v>10</v>
      </c>
    </row>
    <row r="2599" spans="1:11">
      <c r="A2599" t="s">
        <v>4537</v>
      </c>
      <c r="B2599" s="15">
        <v>45910</v>
      </c>
      <c r="C2599" s="4">
        <v>45901</v>
      </c>
      <c r="D2599" t="s">
        <v>47</v>
      </c>
      <c r="E2599" t="s">
        <v>21</v>
      </c>
      <c r="F2599" t="s">
        <v>49</v>
      </c>
      <c r="G2599" t="s">
        <v>218</v>
      </c>
      <c r="H2599" t="s">
        <v>14</v>
      </c>
      <c r="I2599" t="s">
        <v>1935</v>
      </c>
      <c r="J2599" t="s">
        <v>1936</v>
      </c>
      <c r="K2599" s="8">
        <v>12</v>
      </c>
    </row>
    <row r="2600" spans="1:11">
      <c r="A2600" t="s">
        <v>4538</v>
      </c>
      <c r="B2600" s="15">
        <v>45908</v>
      </c>
      <c r="C2600" s="4">
        <v>45901</v>
      </c>
      <c r="D2600" t="s">
        <v>47</v>
      </c>
      <c r="E2600" t="s">
        <v>21</v>
      </c>
      <c r="F2600" t="s">
        <v>49</v>
      </c>
      <c r="G2600" t="s">
        <v>218</v>
      </c>
      <c r="H2600" t="s">
        <v>14</v>
      </c>
      <c r="I2600" t="s">
        <v>1935</v>
      </c>
      <c r="J2600" t="s">
        <v>1936</v>
      </c>
      <c r="K2600" s="8">
        <v>35</v>
      </c>
    </row>
    <row r="2601" spans="1:11">
      <c r="A2601" t="s">
        <v>4539</v>
      </c>
      <c r="B2601" s="15">
        <v>45909</v>
      </c>
      <c r="C2601" s="4">
        <v>45901</v>
      </c>
      <c r="D2601" t="s">
        <v>50</v>
      </c>
      <c r="E2601" t="s">
        <v>23</v>
      </c>
      <c r="F2601" t="s">
        <v>52</v>
      </c>
      <c r="G2601" t="s">
        <v>298</v>
      </c>
      <c r="H2601" t="s">
        <v>5</v>
      </c>
      <c r="I2601" t="s">
        <v>1935</v>
      </c>
      <c r="J2601" t="s">
        <v>1936</v>
      </c>
      <c r="K2601" s="8">
        <v>24</v>
      </c>
    </row>
    <row r="2602" spans="1:11">
      <c r="A2602" t="s">
        <v>4540</v>
      </c>
      <c r="B2602" s="15">
        <v>45924</v>
      </c>
      <c r="C2602" s="4">
        <v>45901</v>
      </c>
      <c r="D2602" t="s">
        <v>50</v>
      </c>
      <c r="E2602" t="s">
        <v>23</v>
      </c>
      <c r="F2602" t="s">
        <v>52</v>
      </c>
      <c r="G2602" t="s">
        <v>280</v>
      </c>
      <c r="H2602" t="s">
        <v>11</v>
      </c>
      <c r="I2602" t="s">
        <v>1935</v>
      </c>
      <c r="J2602" t="s">
        <v>1938</v>
      </c>
      <c r="K2602" s="8">
        <v>21</v>
      </c>
    </row>
    <row r="2603" spans="1:11">
      <c r="A2603" t="s">
        <v>4541</v>
      </c>
      <c r="B2603" s="15">
        <v>45917</v>
      </c>
      <c r="C2603" s="4">
        <v>45901</v>
      </c>
      <c r="D2603" t="s">
        <v>50</v>
      </c>
      <c r="E2603" t="s">
        <v>23</v>
      </c>
      <c r="F2603" t="s">
        <v>52</v>
      </c>
      <c r="G2603" t="s">
        <v>274</v>
      </c>
      <c r="H2603" t="s">
        <v>14</v>
      </c>
      <c r="I2603" t="s">
        <v>1935</v>
      </c>
      <c r="J2603" t="s">
        <v>1936</v>
      </c>
      <c r="K2603" s="8">
        <v>18</v>
      </c>
    </row>
    <row r="2604" spans="1:11">
      <c r="A2604" t="s">
        <v>4542</v>
      </c>
      <c r="B2604" s="15">
        <v>45916</v>
      </c>
      <c r="C2604" s="4">
        <v>45901</v>
      </c>
      <c r="D2604" t="s">
        <v>50</v>
      </c>
      <c r="E2604" t="s">
        <v>23</v>
      </c>
      <c r="F2604" t="s">
        <v>52</v>
      </c>
      <c r="G2604" t="s">
        <v>238</v>
      </c>
      <c r="H2604" t="s">
        <v>8</v>
      </c>
      <c r="I2604" t="s">
        <v>1935</v>
      </c>
      <c r="J2604" t="s">
        <v>1936</v>
      </c>
      <c r="K2604" s="8">
        <v>27</v>
      </c>
    </row>
    <row r="2605" spans="1:11">
      <c r="A2605" t="s">
        <v>4543</v>
      </c>
      <c r="B2605" s="15">
        <v>45907</v>
      </c>
      <c r="C2605" s="4">
        <v>45901</v>
      </c>
      <c r="D2605" t="s">
        <v>50</v>
      </c>
      <c r="E2605" t="s">
        <v>23</v>
      </c>
      <c r="F2605" t="s">
        <v>52</v>
      </c>
      <c r="G2605" t="s">
        <v>304</v>
      </c>
      <c r="H2605" t="s">
        <v>14</v>
      </c>
      <c r="I2605" t="s">
        <v>1935</v>
      </c>
      <c r="J2605" t="s">
        <v>1938</v>
      </c>
      <c r="K2605" s="8">
        <v>24</v>
      </c>
    </row>
    <row r="2606" spans="1:11">
      <c r="A2606" t="s">
        <v>4544</v>
      </c>
      <c r="B2606" s="15">
        <v>45919</v>
      </c>
      <c r="C2606" s="4">
        <v>45901</v>
      </c>
      <c r="D2606" t="s">
        <v>50</v>
      </c>
      <c r="E2606" t="s">
        <v>23</v>
      </c>
      <c r="F2606" t="s">
        <v>52</v>
      </c>
      <c r="G2606" t="s">
        <v>292</v>
      </c>
      <c r="H2606" t="s">
        <v>11</v>
      </c>
      <c r="I2606" t="s">
        <v>1935</v>
      </c>
      <c r="J2606" t="s">
        <v>1936</v>
      </c>
      <c r="K2606" s="8">
        <v>27</v>
      </c>
    </row>
    <row r="2607" spans="1:11">
      <c r="A2607" t="s">
        <v>4545</v>
      </c>
      <c r="B2607" s="15">
        <v>45901</v>
      </c>
      <c r="C2607" s="4">
        <v>45901</v>
      </c>
      <c r="D2607" t="s">
        <v>50</v>
      </c>
      <c r="E2607" t="s">
        <v>23</v>
      </c>
      <c r="F2607" t="s">
        <v>52</v>
      </c>
      <c r="G2607" t="s">
        <v>274</v>
      </c>
      <c r="H2607" t="s">
        <v>8</v>
      </c>
      <c r="I2607" t="s">
        <v>1935</v>
      </c>
      <c r="J2607" t="s">
        <v>1936</v>
      </c>
      <c r="K2607" s="8">
        <v>35</v>
      </c>
    </row>
    <row r="2608" spans="1:11">
      <c r="A2608" t="s">
        <v>4546</v>
      </c>
      <c r="B2608" s="15">
        <v>45917</v>
      </c>
      <c r="C2608" s="4">
        <v>45901</v>
      </c>
      <c r="D2608" t="s">
        <v>50</v>
      </c>
      <c r="E2608" t="s">
        <v>23</v>
      </c>
      <c r="F2608" t="s">
        <v>52</v>
      </c>
      <c r="G2608" t="s">
        <v>298</v>
      </c>
      <c r="H2608" t="s">
        <v>5</v>
      </c>
      <c r="I2608" t="s">
        <v>1935</v>
      </c>
      <c r="J2608" t="s">
        <v>1938</v>
      </c>
      <c r="K2608" s="8">
        <v>24</v>
      </c>
    </row>
    <row r="2609" spans="1:11">
      <c r="A2609" t="s">
        <v>4547</v>
      </c>
      <c r="B2609" s="15">
        <v>45920</v>
      </c>
      <c r="C2609" s="4">
        <v>45901</v>
      </c>
      <c r="D2609" t="s">
        <v>50</v>
      </c>
      <c r="E2609" t="s">
        <v>23</v>
      </c>
      <c r="F2609" t="s">
        <v>52</v>
      </c>
      <c r="G2609" t="s">
        <v>280</v>
      </c>
      <c r="H2609" t="s">
        <v>11</v>
      </c>
      <c r="I2609" t="s">
        <v>1935</v>
      </c>
      <c r="J2609" t="s">
        <v>1936</v>
      </c>
      <c r="K2609" s="8">
        <v>15</v>
      </c>
    </row>
    <row r="2610" spans="1:11">
      <c r="A2610" t="s">
        <v>4548</v>
      </c>
      <c r="B2610" s="15">
        <v>45917</v>
      </c>
      <c r="C2610" s="4">
        <v>45901</v>
      </c>
      <c r="D2610" t="s">
        <v>50</v>
      </c>
      <c r="E2610" t="s">
        <v>23</v>
      </c>
      <c r="F2610" t="s">
        <v>52</v>
      </c>
      <c r="G2610" t="s">
        <v>238</v>
      </c>
      <c r="H2610" t="s">
        <v>8</v>
      </c>
      <c r="I2610" t="s">
        <v>1935</v>
      </c>
      <c r="J2610" t="s">
        <v>1938</v>
      </c>
      <c r="K2610" s="8">
        <v>13</v>
      </c>
    </row>
    <row r="2611" spans="1:11">
      <c r="A2611" t="s">
        <v>4549</v>
      </c>
      <c r="B2611" s="15">
        <v>45927</v>
      </c>
      <c r="C2611" s="4">
        <v>45901</v>
      </c>
      <c r="D2611" t="s">
        <v>50</v>
      </c>
      <c r="E2611" t="s">
        <v>23</v>
      </c>
      <c r="F2611" t="s">
        <v>52</v>
      </c>
      <c r="G2611" t="s">
        <v>292</v>
      </c>
      <c r="H2611" t="s">
        <v>5</v>
      </c>
      <c r="I2611" t="s">
        <v>1935</v>
      </c>
      <c r="J2611" t="s">
        <v>1936</v>
      </c>
      <c r="K2611" s="8">
        <v>23</v>
      </c>
    </row>
    <row r="2612" spans="1:11">
      <c r="A2612" t="s">
        <v>4550</v>
      </c>
      <c r="B2612" s="15">
        <v>45921</v>
      </c>
      <c r="C2612" s="4">
        <v>45901</v>
      </c>
      <c r="D2612" t="s">
        <v>53</v>
      </c>
      <c r="E2612" t="s">
        <v>23</v>
      </c>
      <c r="F2612" t="s">
        <v>55</v>
      </c>
      <c r="G2612" t="s">
        <v>270</v>
      </c>
      <c r="H2612" t="s">
        <v>8</v>
      </c>
      <c r="I2612" t="s">
        <v>1935</v>
      </c>
      <c r="J2612" t="s">
        <v>1936</v>
      </c>
      <c r="K2612" s="8">
        <v>22</v>
      </c>
    </row>
    <row r="2613" spans="1:11">
      <c r="A2613" t="s">
        <v>4551</v>
      </c>
      <c r="B2613" s="15">
        <v>45913</v>
      </c>
      <c r="C2613" s="4">
        <v>45901</v>
      </c>
      <c r="D2613" t="s">
        <v>53</v>
      </c>
      <c r="E2613" t="s">
        <v>23</v>
      </c>
      <c r="F2613" t="s">
        <v>55</v>
      </c>
      <c r="G2613" t="s">
        <v>240</v>
      </c>
      <c r="H2613" t="s">
        <v>14</v>
      </c>
      <c r="I2613" t="s">
        <v>1942</v>
      </c>
      <c r="J2613" t="s">
        <v>1936</v>
      </c>
      <c r="K2613" s="8">
        <v>1</v>
      </c>
    </row>
    <row r="2614" spans="1:11">
      <c r="A2614" t="s">
        <v>4552</v>
      </c>
      <c r="B2614" s="15">
        <v>45908</v>
      </c>
      <c r="C2614" s="4">
        <v>45901</v>
      </c>
      <c r="D2614" t="s">
        <v>53</v>
      </c>
      <c r="E2614" t="s">
        <v>23</v>
      </c>
      <c r="F2614" t="s">
        <v>55</v>
      </c>
      <c r="G2614" t="s">
        <v>276</v>
      </c>
      <c r="H2614" t="s">
        <v>5</v>
      </c>
      <c r="I2614" t="s">
        <v>1935</v>
      </c>
      <c r="J2614" t="s">
        <v>1936</v>
      </c>
      <c r="K2614" s="8">
        <v>24</v>
      </c>
    </row>
    <row r="2615" spans="1:11">
      <c r="A2615" t="s">
        <v>4553</v>
      </c>
      <c r="B2615" s="15">
        <v>45906</v>
      </c>
      <c r="C2615" s="4">
        <v>45901</v>
      </c>
      <c r="D2615" t="s">
        <v>53</v>
      </c>
      <c r="E2615" t="s">
        <v>23</v>
      </c>
      <c r="F2615" t="s">
        <v>55</v>
      </c>
      <c r="G2615" t="s">
        <v>282</v>
      </c>
      <c r="H2615" t="s">
        <v>11</v>
      </c>
      <c r="I2615" t="s">
        <v>1935</v>
      </c>
      <c r="J2615" t="s">
        <v>1936</v>
      </c>
      <c r="K2615" s="8">
        <v>10</v>
      </c>
    </row>
    <row r="2616" spans="1:11">
      <c r="A2616" t="s">
        <v>4554</v>
      </c>
      <c r="B2616" s="15">
        <v>45922</v>
      </c>
      <c r="C2616" s="4">
        <v>45901</v>
      </c>
      <c r="D2616" t="s">
        <v>53</v>
      </c>
      <c r="E2616" t="s">
        <v>23</v>
      </c>
      <c r="F2616" t="s">
        <v>55</v>
      </c>
      <c r="G2616" t="s">
        <v>246</v>
      </c>
      <c r="H2616" t="s">
        <v>14</v>
      </c>
      <c r="I2616" t="s">
        <v>1935</v>
      </c>
      <c r="J2616" t="s">
        <v>1936</v>
      </c>
      <c r="K2616" s="8">
        <v>35</v>
      </c>
    </row>
    <row r="2617" spans="1:11">
      <c r="A2617" t="s">
        <v>4555</v>
      </c>
      <c r="B2617" s="15">
        <v>45925</v>
      </c>
      <c r="C2617" s="4">
        <v>45901</v>
      </c>
      <c r="D2617" t="s">
        <v>53</v>
      </c>
      <c r="E2617" t="s">
        <v>23</v>
      </c>
      <c r="F2617" t="s">
        <v>55</v>
      </c>
      <c r="G2617" t="s">
        <v>306</v>
      </c>
      <c r="H2617" t="s">
        <v>8</v>
      </c>
      <c r="I2617" t="s">
        <v>1935</v>
      </c>
      <c r="J2617" t="s">
        <v>1936</v>
      </c>
      <c r="K2617" s="8">
        <v>29</v>
      </c>
    </row>
    <row r="2618" spans="1:11">
      <c r="A2618" t="s">
        <v>4556</v>
      </c>
      <c r="B2618" s="15">
        <v>45902</v>
      </c>
      <c r="C2618" s="4">
        <v>45901</v>
      </c>
      <c r="D2618" t="s">
        <v>53</v>
      </c>
      <c r="E2618" t="s">
        <v>23</v>
      </c>
      <c r="F2618" t="s">
        <v>55</v>
      </c>
      <c r="G2618" t="s">
        <v>258</v>
      </c>
      <c r="H2618" t="s">
        <v>11</v>
      </c>
      <c r="I2618" t="s">
        <v>1935</v>
      </c>
      <c r="J2618" t="s">
        <v>1938</v>
      </c>
      <c r="K2618" s="8">
        <v>23</v>
      </c>
    </row>
    <row r="2619" spans="1:11">
      <c r="A2619" t="s">
        <v>4557</v>
      </c>
      <c r="B2619" s="15">
        <v>45921</v>
      </c>
      <c r="C2619" s="4">
        <v>45901</v>
      </c>
      <c r="D2619" t="s">
        <v>53</v>
      </c>
      <c r="E2619" t="s">
        <v>23</v>
      </c>
      <c r="F2619" t="s">
        <v>55</v>
      </c>
      <c r="G2619" t="s">
        <v>264</v>
      </c>
      <c r="H2619" t="s">
        <v>14</v>
      </c>
      <c r="I2619" t="s">
        <v>1942</v>
      </c>
      <c r="J2619" t="s">
        <v>1936</v>
      </c>
      <c r="K2619" s="8">
        <v>0</v>
      </c>
    </row>
    <row r="2620" spans="1:11">
      <c r="A2620" t="s">
        <v>4558</v>
      </c>
      <c r="B2620" s="15">
        <v>45920</v>
      </c>
      <c r="C2620" s="4">
        <v>45901</v>
      </c>
      <c r="D2620" t="s">
        <v>53</v>
      </c>
      <c r="E2620" t="s">
        <v>23</v>
      </c>
      <c r="F2620" t="s">
        <v>55</v>
      </c>
      <c r="G2620" t="s">
        <v>246</v>
      </c>
      <c r="H2620" t="s">
        <v>5</v>
      </c>
      <c r="I2620" t="s">
        <v>1935</v>
      </c>
      <c r="J2620" t="s">
        <v>1938</v>
      </c>
      <c r="K2620" s="8">
        <v>27</v>
      </c>
    </row>
    <row r="2621" spans="1:11">
      <c r="A2621" t="s">
        <v>4559</v>
      </c>
      <c r="B2621" s="15">
        <v>45916</v>
      </c>
      <c r="C2621" s="4">
        <v>45901</v>
      </c>
      <c r="D2621" t="s">
        <v>53</v>
      </c>
      <c r="E2621" t="s">
        <v>23</v>
      </c>
      <c r="F2621" t="s">
        <v>55</v>
      </c>
      <c r="G2621" t="s">
        <v>294</v>
      </c>
      <c r="H2621" t="s">
        <v>14</v>
      </c>
      <c r="I2621" t="s">
        <v>1935</v>
      </c>
      <c r="J2621" t="s">
        <v>1954</v>
      </c>
      <c r="K2621" s="8">
        <v>14</v>
      </c>
    </row>
    <row r="2622" spans="1:11">
      <c r="A2622" t="s">
        <v>4560</v>
      </c>
      <c r="B2622" s="15">
        <v>45907</v>
      </c>
      <c r="C2622" s="4">
        <v>45901</v>
      </c>
      <c r="D2622" t="s">
        <v>56</v>
      </c>
      <c r="E2622" t="s">
        <v>23</v>
      </c>
      <c r="F2622" t="s">
        <v>58</v>
      </c>
      <c r="G2622" t="s">
        <v>284</v>
      </c>
      <c r="H2622" t="s">
        <v>14</v>
      </c>
      <c r="I2622" t="s">
        <v>1935</v>
      </c>
      <c r="J2622" t="s">
        <v>1936</v>
      </c>
      <c r="K2622" s="8">
        <v>18</v>
      </c>
    </row>
    <row r="2623" spans="1:11">
      <c r="A2623" t="s">
        <v>4561</v>
      </c>
      <c r="B2623" s="15">
        <v>45907</v>
      </c>
      <c r="C2623" s="4">
        <v>45901</v>
      </c>
      <c r="D2623" t="s">
        <v>56</v>
      </c>
      <c r="E2623" t="s">
        <v>23</v>
      </c>
      <c r="F2623" t="s">
        <v>58</v>
      </c>
      <c r="G2623" t="s">
        <v>278</v>
      </c>
      <c r="H2623" t="s">
        <v>14</v>
      </c>
      <c r="I2623" t="s">
        <v>1935</v>
      </c>
      <c r="J2623" t="s">
        <v>1936</v>
      </c>
      <c r="K2623" s="8">
        <v>25</v>
      </c>
    </row>
    <row r="2624" spans="1:11">
      <c r="A2624" t="s">
        <v>4562</v>
      </c>
      <c r="B2624" s="15">
        <v>45918</v>
      </c>
      <c r="C2624" s="4">
        <v>45901</v>
      </c>
      <c r="D2624" t="s">
        <v>56</v>
      </c>
      <c r="E2624" t="s">
        <v>23</v>
      </c>
      <c r="F2624" t="s">
        <v>58</v>
      </c>
      <c r="G2624" t="s">
        <v>296</v>
      </c>
      <c r="H2624" t="s">
        <v>5</v>
      </c>
      <c r="I2624" t="s">
        <v>1935</v>
      </c>
      <c r="J2624" t="s">
        <v>1936</v>
      </c>
      <c r="K2624" s="8">
        <v>9</v>
      </c>
    </row>
    <row r="2625" spans="1:11">
      <c r="A2625" t="s">
        <v>4563</v>
      </c>
      <c r="B2625" s="15">
        <v>45930</v>
      </c>
      <c r="C2625" s="4">
        <v>45901</v>
      </c>
      <c r="D2625" t="s">
        <v>56</v>
      </c>
      <c r="E2625" t="s">
        <v>23</v>
      </c>
      <c r="F2625" t="s">
        <v>58</v>
      </c>
      <c r="G2625" t="s">
        <v>278</v>
      </c>
      <c r="H2625" t="s">
        <v>14</v>
      </c>
      <c r="I2625" t="s">
        <v>1935</v>
      </c>
      <c r="J2625" t="s">
        <v>1936</v>
      </c>
      <c r="K2625" s="8">
        <v>12</v>
      </c>
    </row>
    <row r="2626" spans="1:11">
      <c r="A2626" t="s">
        <v>4564</v>
      </c>
      <c r="B2626" s="15">
        <v>45906</v>
      </c>
      <c r="C2626" s="4">
        <v>45901</v>
      </c>
      <c r="D2626" t="s">
        <v>56</v>
      </c>
      <c r="E2626" t="s">
        <v>23</v>
      </c>
      <c r="F2626" t="s">
        <v>58</v>
      </c>
      <c r="G2626" t="s">
        <v>248</v>
      </c>
      <c r="H2626" t="s">
        <v>11</v>
      </c>
      <c r="I2626" t="s">
        <v>1942</v>
      </c>
      <c r="J2626" t="s">
        <v>1936</v>
      </c>
      <c r="K2626" s="8">
        <v>5</v>
      </c>
    </row>
    <row r="2627" spans="1:11">
      <c r="A2627" t="s">
        <v>4565</v>
      </c>
      <c r="B2627" s="15">
        <v>45906</v>
      </c>
      <c r="C2627" s="4">
        <v>45901</v>
      </c>
      <c r="D2627" t="s">
        <v>56</v>
      </c>
      <c r="E2627" t="s">
        <v>23</v>
      </c>
      <c r="F2627" t="s">
        <v>58</v>
      </c>
      <c r="G2627" t="s">
        <v>242</v>
      </c>
      <c r="H2627" t="s">
        <v>5</v>
      </c>
      <c r="I2627" t="s">
        <v>1935</v>
      </c>
      <c r="J2627" t="s">
        <v>1936</v>
      </c>
      <c r="K2627" s="8">
        <v>35</v>
      </c>
    </row>
    <row r="2628" spans="1:11">
      <c r="A2628" t="s">
        <v>4566</v>
      </c>
      <c r="B2628" s="15">
        <v>45921</v>
      </c>
      <c r="C2628" s="4">
        <v>45901</v>
      </c>
      <c r="D2628" t="s">
        <v>56</v>
      </c>
      <c r="E2628" t="s">
        <v>23</v>
      </c>
      <c r="F2628" t="s">
        <v>58</v>
      </c>
      <c r="G2628" t="s">
        <v>302</v>
      </c>
      <c r="H2628" t="s">
        <v>5</v>
      </c>
      <c r="I2628" t="s">
        <v>1935</v>
      </c>
      <c r="J2628" t="s">
        <v>1954</v>
      </c>
      <c r="K2628" s="8">
        <v>27</v>
      </c>
    </row>
    <row r="2629" spans="1:11">
      <c r="A2629" t="s">
        <v>4567</v>
      </c>
      <c r="B2629" s="15">
        <v>45914</v>
      </c>
      <c r="C2629" s="4">
        <v>45901</v>
      </c>
      <c r="D2629" t="s">
        <v>56</v>
      </c>
      <c r="E2629" t="s">
        <v>23</v>
      </c>
      <c r="F2629" t="s">
        <v>58</v>
      </c>
      <c r="G2629" t="s">
        <v>296</v>
      </c>
      <c r="H2629" t="s">
        <v>5</v>
      </c>
      <c r="I2629" t="s">
        <v>1935</v>
      </c>
      <c r="J2629" t="s">
        <v>1938</v>
      </c>
      <c r="K2629" s="8">
        <v>31</v>
      </c>
    </row>
    <row r="2630" spans="1:11">
      <c r="A2630" t="s">
        <v>4568</v>
      </c>
      <c r="B2630" s="15">
        <v>45923</v>
      </c>
      <c r="C2630" s="4">
        <v>45901</v>
      </c>
      <c r="D2630" t="s">
        <v>56</v>
      </c>
      <c r="E2630" t="s">
        <v>23</v>
      </c>
      <c r="F2630" t="s">
        <v>58</v>
      </c>
      <c r="G2630" t="s">
        <v>284</v>
      </c>
      <c r="H2630" t="s">
        <v>14</v>
      </c>
      <c r="I2630" t="s">
        <v>1935</v>
      </c>
      <c r="J2630" t="s">
        <v>1954</v>
      </c>
      <c r="K2630" s="8">
        <v>20</v>
      </c>
    </row>
    <row r="2631" spans="1:11">
      <c r="A2631" t="s">
        <v>4569</v>
      </c>
      <c r="B2631" s="15">
        <v>45913</v>
      </c>
      <c r="C2631" s="4">
        <v>45901</v>
      </c>
      <c r="D2631" t="s">
        <v>56</v>
      </c>
      <c r="E2631" t="s">
        <v>23</v>
      </c>
      <c r="F2631" t="s">
        <v>58</v>
      </c>
      <c r="G2631" t="s">
        <v>254</v>
      </c>
      <c r="H2631" t="s">
        <v>5</v>
      </c>
      <c r="I2631" t="s">
        <v>1935</v>
      </c>
      <c r="J2631" t="s">
        <v>1938</v>
      </c>
      <c r="K2631" s="8">
        <v>21</v>
      </c>
    </row>
    <row r="2632" spans="1:11">
      <c r="A2632" t="s">
        <v>4570</v>
      </c>
      <c r="B2632" s="15">
        <v>45922</v>
      </c>
      <c r="C2632" s="4">
        <v>45901</v>
      </c>
      <c r="D2632" t="s">
        <v>56</v>
      </c>
      <c r="E2632" t="s">
        <v>23</v>
      </c>
      <c r="F2632" t="s">
        <v>58</v>
      </c>
      <c r="G2632" t="s">
        <v>260</v>
      </c>
      <c r="H2632" t="s">
        <v>11</v>
      </c>
      <c r="I2632" t="s">
        <v>1935</v>
      </c>
      <c r="J2632" t="s">
        <v>1936</v>
      </c>
      <c r="K2632" s="8">
        <v>22</v>
      </c>
    </row>
    <row r="2633" spans="1:11">
      <c r="A2633" t="s">
        <v>4571</v>
      </c>
      <c r="B2633" s="15">
        <v>45915</v>
      </c>
      <c r="C2633" s="4">
        <v>45901</v>
      </c>
      <c r="D2633" t="s">
        <v>56</v>
      </c>
      <c r="E2633" t="s">
        <v>23</v>
      </c>
      <c r="F2633" t="s">
        <v>58</v>
      </c>
      <c r="G2633" t="s">
        <v>290</v>
      </c>
      <c r="H2633" t="s">
        <v>8</v>
      </c>
      <c r="I2633" t="s">
        <v>1935</v>
      </c>
      <c r="J2633" t="s">
        <v>1938</v>
      </c>
      <c r="K2633" s="8">
        <v>10</v>
      </c>
    </row>
    <row r="2634" spans="1:11">
      <c r="A2634" t="s">
        <v>4572</v>
      </c>
      <c r="B2634" s="15">
        <v>45919</v>
      </c>
      <c r="C2634" s="4">
        <v>45901</v>
      </c>
      <c r="D2634" t="s">
        <v>56</v>
      </c>
      <c r="E2634" t="s">
        <v>23</v>
      </c>
      <c r="F2634" t="s">
        <v>58</v>
      </c>
      <c r="G2634" t="s">
        <v>296</v>
      </c>
      <c r="H2634" t="s">
        <v>5</v>
      </c>
      <c r="I2634" t="s">
        <v>1995</v>
      </c>
      <c r="J2634" t="s">
        <v>1936</v>
      </c>
      <c r="K2634" s="8">
        <v>7</v>
      </c>
    </row>
    <row r="2635" spans="1:11">
      <c r="A2635" t="s">
        <v>4573</v>
      </c>
      <c r="B2635" s="15">
        <v>45926</v>
      </c>
      <c r="C2635" s="4">
        <v>45901</v>
      </c>
      <c r="D2635" t="s">
        <v>56</v>
      </c>
      <c r="E2635" t="s">
        <v>23</v>
      </c>
      <c r="F2635" t="s">
        <v>58</v>
      </c>
      <c r="G2635" t="s">
        <v>248</v>
      </c>
      <c r="H2635" t="s">
        <v>11</v>
      </c>
      <c r="I2635" t="s">
        <v>1935</v>
      </c>
      <c r="J2635" t="s">
        <v>1936</v>
      </c>
      <c r="K2635" s="8">
        <v>27</v>
      </c>
    </row>
    <row r="2636" spans="1:11">
      <c r="A2636" t="s">
        <v>4574</v>
      </c>
      <c r="B2636" s="15">
        <v>45907</v>
      </c>
      <c r="C2636" s="4">
        <v>45901</v>
      </c>
      <c r="D2636" t="s">
        <v>59</v>
      </c>
      <c r="E2636" t="s">
        <v>25</v>
      </c>
      <c r="F2636" t="s">
        <v>61</v>
      </c>
      <c r="G2636" t="s">
        <v>326</v>
      </c>
      <c r="H2636" t="s">
        <v>5</v>
      </c>
      <c r="I2636" t="s">
        <v>1935</v>
      </c>
      <c r="J2636" t="s">
        <v>1954</v>
      </c>
      <c r="K2636" s="8">
        <v>19</v>
      </c>
    </row>
    <row r="2637" spans="1:11">
      <c r="A2637" t="s">
        <v>4575</v>
      </c>
      <c r="B2637" s="15">
        <v>45914</v>
      </c>
      <c r="C2637" s="4">
        <v>45901</v>
      </c>
      <c r="D2637" t="s">
        <v>59</v>
      </c>
      <c r="E2637" t="s">
        <v>25</v>
      </c>
      <c r="F2637" t="s">
        <v>61</v>
      </c>
      <c r="G2637" t="s">
        <v>314</v>
      </c>
      <c r="H2637" t="s">
        <v>11</v>
      </c>
      <c r="I2637" t="s">
        <v>1935</v>
      </c>
      <c r="J2637" t="s">
        <v>1936</v>
      </c>
      <c r="K2637" s="8">
        <v>8</v>
      </c>
    </row>
    <row r="2638" spans="1:11">
      <c r="A2638" t="s">
        <v>4576</v>
      </c>
      <c r="B2638" s="15">
        <v>45910</v>
      </c>
      <c r="C2638" s="4">
        <v>45901</v>
      </c>
      <c r="D2638" t="s">
        <v>59</v>
      </c>
      <c r="E2638" t="s">
        <v>25</v>
      </c>
      <c r="F2638" t="s">
        <v>61</v>
      </c>
      <c r="G2638" t="s">
        <v>332</v>
      </c>
      <c r="H2638" t="s">
        <v>8</v>
      </c>
      <c r="I2638" t="s">
        <v>1935</v>
      </c>
      <c r="J2638" t="s">
        <v>1936</v>
      </c>
      <c r="K2638" s="8">
        <v>27</v>
      </c>
    </row>
    <row r="2639" spans="1:11">
      <c r="A2639" t="s">
        <v>4577</v>
      </c>
      <c r="B2639" s="15">
        <v>45922</v>
      </c>
      <c r="C2639" s="4">
        <v>45901</v>
      </c>
      <c r="D2639" t="s">
        <v>59</v>
      </c>
      <c r="E2639" t="s">
        <v>25</v>
      </c>
      <c r="F2639" t="s">
        <v>61</v>
      </c>
      <c r="G2639" t="s">
        <v>338</v>
      </c>
      <c r="H2639" t="s">
        <v>8</v>
      </c>
      <c r="I2639" t="s">
        <v>1935</v>
      </c>
      <c r="J2639" t="s">
        <v>1936</v>
      </c>
      <c r="K2639" s="8">
        <v>17</v>
      </c>
    </row>
    <row r="2640" spans="1:11">
      <c r="A2640" t="s">
        <v>4578</v>
      </c>
      <c r="B2640" s="15">
        <v>45921</v>
      </c>
      <c r="C2640" s="4">
        <v>45901</v>
      </c>
      <c r="D2640" t="s">
        <v>59</v>
      </c>
      <c r="E2640" t="s">
        <v>25</v>
      </c>
      <c r="F2640" t="s">
        <v>61</v>
      </c>
      <c r="G2640" t="s">
        <v>356</v>
      </c>
      <c r="H2640" t="s">
        <v>8</v>
      </c>
      <c r="I2640" t="s">
        <v>1935</v>
      </c>
      <c r="J2640" t="s">
        <v>1938</v>
      </c>
      <c r="K2640" s="8">
        <v>32</v>
      </c>
    </row>
    <row r="2641" spans="1:11">
      <c r="A2641" t="s">
        <v>4579</v>
      </c>
      <c r="B2641" s="15">
        <v>45909</v>
      </c>
      <c r="C2641" s="4">
        <v>45901</v>
      </c>
      <c r="D2641" t="s">
        <v>59</v>
      </c>
      <c r="E2641" t="s">
        <v>25</v>
      </c>
      <c r="F2641" t="s">
        <v>61</v>
      </c>
      <c r="G2641" t="s">
        <v>380</v>
      </c>
      <c r="H2641" t="s">
        <v>11</v>
      </c>
      <c r="I2641" t="s">
        <v>1935</v>
      </c>
      <c r="J2641" t="s">
        <v>1936</v>
      </c>
      <c r="K2641" s="8">
        <v>21</v>
      </c>
    </row>
    <row r="2642" spans="1:11">
      <c r="A2642" t="s">
        <v>4580</v>
      </c>
      <c r="B2642" s="15">
        <v>45923</v>
      </c>
      <c r="C2642" s="4">
        <v>45901</v>
      </c>
      <c r="D2642" t="s">
        <v>59</v>
      </c>
      <c r="E2642" t="s">
        <v>25</v>
      </c>
      <c r="F2642" t="s">
        <v>61</v>
      </c>
      <c r="G2642" t="s">
        <v>380</v>
      </c>
      <c r="H2642" t="s">
        <v>11</v>
      </c>
      <c r="I2642" t="s">
        <v>1935</v>
      </c>
      <c r="J2642" t="s">
        <v>1954</v>
      </c>
      <c r="K2642" s="8">
        <v>35</v>
      </c>
    </row>
    <row r="2643" spans="1:11">
      <c r="A2643" t="s">
        <v>4581</v>
      </c>
      <c r="B2643" s="15">
        <v>45903</v>
      </c>
      <c r="C2643" s="4">
        <v>45901</v>
      </c>
      <c r="D2643" t="s">
        <v>59</v>
      </c>
      <c r="E2643" t="s">
        <v>25</v>
      </c>
      <c r="F2643" t="s">
        <v>61</v>
      </c>
      <c r="G2643" t="s">
        <v>320</v>
      </c>
      <c r="H2643" t="s">
        <v>11</v>
      </c>
      <c r="I2643" t="s">
        <v>1935</v>
      </c>
      <c r="J2643" t="s">
        <v>1938</v>
      </c>
      <c r="K2643" s="8">
        <v>32</v>
      </c>
    </row>
    <row r="2644" spans="1:11">
      <c r="A2644" t="s">
        <v>4582</v>
      </c>
      <c r="B2644" s="15">
        <v>45924</v>
      </c>
      <c r="C2644" s="4">
        <v>45901</v>
      </c>
      <c r="D2644" t="s">
        <v>59</v>
      </c>
      <c r="E2644" t="s">
        <v>25</v>
      </c>
      <c r="F2644" t="s">
        <v>61</v>
      </c>
      <c r="G2644" t="s">
        <v>374</v>
      </c>
      <c r="H2644" t="s">
        <v>8</v>
      </c>
      <c r="I2644" t="s">
        <v>1935</v>
      </c>
      <c r="J2644" t="s">
        <v>1936</v>
      </c>
      <c r="K2644" s="8">
        <v>12</v>
      </c>
    </row>
    <row r="2645" spans="1:11">
      <c r="A2645" t="s">
        <v>4583</v>
      </c>
      <c r="B2645" s="15">
        <v>45904</v>
      </c>
      <c r="C2645" s="4">
        <v>45901</v>
      </c>
      <c r="D2645" t="s">
        <v>59</v>
      </c>
      <c r="E2645" t="s">
        <v>25</v>
      </c>
      <c r="F2645" t="s">
        <v>61</v>
      </c>
      <c r="G2645" t="s">
        <v>356</v>
      </c>
      <c r="H2645" t="s">
        <v>8</v>
      </c>
      <c r="I2645" t="s">
        <v>1935</v>
      </c>
      <c r="J2645" t="s">
        <v>1936</v>
      </c>
      <c r="K2645" s="8">
        <v>30</v>
      </c>
    </row>
    <row r="2646" spans="1:11">
      <c r="A2646" t="s">
        <v>4584</v>
      </c>
      <c r="B2646" s="15">
        <v>45925</v>
      </c>
      <c r="C2646" s="4">
        <v>45901</v>
      </c>
      <c r="D2646" t="s">
        <v>59</v>
      </c>
      <c r="E2646" t="s">
        <v>25</v>
      </c>
      <c r="F2646" t="s">
        <v>61</v>
      </c>
      <c r="G2646" t="s">
        <v>320</v>
      </c>
      <c r="H2646" t="s">
        <v>11</v>
      </c>
      <c r="I2646" t="s">
        <v>1995</v>
      </c>
      <c r="J2646" t="s">
        <v>1936</v>
      </c>
      <c r="K2646" s="8">
        <v>2</v>
      </c>
    </row>
    <row r="2647" spans="1:11">
      <c r="A2647" t="s">
        <v>4585</v>
      </c>
      <c r="B2647" s="15">
        <v>45912</v>
      </c>
      <c r="C2647" s="4">
        <v>45901</v>
      </c>
      <c r="D2647" t="s">
        <v>62</v>
      </c>
      <c r="E2647" t="s">
        <v>25</v>
      </c>
      <c r="F2647" t="s">
        <v>64</v>
      </c>
      <c r="G2647" t="s">
        <v>334</v>
      </c>
      <c r="H2647" t="s">
        <v>11</v>
      </c>
      <c r="I2647" t="s">
        <v>1935</v>
      </c>
      <c r="J2647" t="s">
        <v>1936</v>
      </c>
      <c r="K2647" s="8">
        <v>12</v>
      </c>
    </row>
    <row r="2648" spans="1:11">
      <c r="A2648" t="s">
        <v>4586</v>
      </c>
      <c r="B2648" s="15">
        <v>45920</v>
      </c>
      <c r="C2648" s="4">
        <v>45901</v>
      </c>
      <c r="D2648" t="s">
        <v>62</v>
      </c>
      <c r="E2648" t="s">
        <v>25</v>
      </c>
      <c r="F2648" t="s">
        <v>64</v>
      </c>
      <c r="G2648" t="s">
        <v>370</v>
      </c>
      <c r="H2648" t="s">
        <v>5</v>
      </c>
      <c r="I2648" t="s">
        <v>1935</v>
      </c>
      <c r="J2648" t="s">
        <v>1936</v>
      </c>
      <c r="K2648" s="8">
        <v>31</v>
      </c>
    </row>
    <row r="2649" spans="1:11">
      <c r="A2649" t="s">
        <v>4587</v>
      </c>
      <c r="B2649" s="15">
        <v>45926</v>
      </c>
      <c r="C2649" s="4">
        <v>45901</v>
      </c>
      <c r="D2649" t="s">
        <v>62</v>
      </c>
      <c r="E2649" t="s">
        <v>25</v>
      </c>
      <c r="F2649" t="s">
        <v>64</v>
      </c>
      <c r="G2649" t="s">
        <v>376</v>
      </c>
      <c r="H2649" t="s">
        <v>8</v>
      </c>
      <c r="I2649" t="s">
        <v>1935</v>
      </c>
      <c r="J2649" t="s">
        <v>1938</v>
      </c>
      <c r="K2649" s="8">
        <v>27</v>
      </c>
    </row>
    <row r="2650" spans="1:11">
      <c r="A2650" t="s">
        <v>4588</v>
      </c>
      <c r="B2650" s="15">
        <v>45908</v>
      </c>
      <c r="C2650" s="4">
        <v>45901</v>
      </c>
      <c r="D2650" t="s">
        <v>62</v>
      </c>
      <c r="E2650" t="s">
        <v>25</v>
      </c>
      <c r="F2650" t="s">
        <v>64</v>
      </c>
      <c r="G2650" t="s">
        <v>322</v>
      </c>
      <c r="H2650" t="s">
        <v>14</v>
      </c>
      <c r="I2650" t="s">
        <v>1935</v>
      </c>
      <c r="J2650" t="s">
        <v>1938</v>
      </c>
      <c r="K2650" s="8">
        <v>14</v>
      </c>
    </row>
    <row r="2651" spans="1:11">
      <c r="A2651" t="s">
        <v>4589</v>
      </c>
      <c r="B2651" s="15">
        <v>45919</v>
      </c>
      <c r="C2651" s="4">
        <v>45901</v>
      </c>
      <c r="D2651" t="s">
        <v>62</v>
      </c>
      <c r="E2651" t="s">
        <v>25</v>
      </c>
      <c r="F2651" t="s">
        <v>64</v>
      </c>
      <c r="G2651" t="s">
        <v>370</v>
      </c>
      <c r="H2651" t="s">
        <v>8</v>
      </c>
      <c r="I2651" t="s">
        <v>1935</v>
      </c>
      <c r="J2651" t="s">
        <v>1938</v>
      </c>
      <c r="K2651" s="8">
        <v>21</v>
      </c>
    </row>
    <row r="2652" spans="1:11">
      <c r="A2652" t="s">
        <v>4590</v>
      </c>
      <c r="B2652" s="15">
        <v>45918</v>
      </c>
      <c r="C2652" s="4">
        <v>45901</v>
      </c>
      <c r="D2652" t="s">
        <v>62</v>
      </c>
      <c r="E2652" t="s">
        <v>25</v>
      </c>
      <c r="F2652" t="s">
        <v>64</v>
      </c>
      <c r="G2652" t="s">
        <v>346</v>
      </c>
      <c r="H2652" t="s">
        <v>11</v>
      </c>
      <c r="I2652" t="s">
        <v>1935</v>
      </c>
      <c r="J2652" t="s">
        <v>1936</v>
      </c>
      <c r="K2652" s="8">
        <v>18</v>
      </c>
    </row>
    <row r="2653" spans="1:11">
      <c r="A2653" t="s">
        <v>4591</v>
      </c>
      <c r="B2653" s="15">
        <v>45902</v>
      </c>
      <c r="C2653" s="4">
        <v>45901</v>
      </c>
      <c r="D2653" t="s">
        <v>62</v>
      </c>
      <c r="E2653" t="s">
        <v>25</v>
      </c>
      <c r="F2653" t="s">
        <v>64</v>
      </c>
      <c r="G2653" t="s">
        <v>370</v>
      </c>
      <c r="H2653" t="s">
        <v>11</v>
      </c>
      <c r="I2653" t="s">
        <v>1935</v>
      </c>
      <c r="J2653" t="s">
        <v>1936</v>
      </c>
      <c r="K2653" s="8">
        <v>14</v>
      </c>
    </row>
    <row r="2654" spans="1:11">
      <c r="A2654" t="s">
        <v>4592</v>
      </c>
      <c r="B2654" s="15">
        <v>45910</v>
      </c>
      <c r="C2654" s="4">
        <v>45901</v>
      </c>
      <c r="D2654" t="s">
        <v>62</v>
      </c>
      <c r="E2654" t="s">
        <v>25</v>
      </c>
      <c r="F2654" t="s">
        <v>64</v>
      </c>
      <c r="G2654" t="s">
        <v>346</v>
      </c>
      <c r="H2654" t="s">
        <v>11</v>
      </c>
      <c r="I2654" t="s">
        <v>1935</v>
      </c>
      <c r="J2654" t="s">
        <v>1936</v>
      </c>
      <c r="K2654" s="8">
        <v>17</v>
      </c>
    </row>
    <row r="2655" spans="1:11">
      <c r="A2655" t="s">
        <v>4593</v>
      </c>
      <c r="B2655" s="15">
        <v>45930</v>
      </c>
      <c r="C2655" s="4">
        <v>45901</v>
      </c>
      <c r="D2655" t="s">
        <v>62</v>
      </c>
      <c r="E2655" t="s">
        <v>25</v>
      </c>
      <c r="F2655" t="s">
        <v>64</v>
      </c>
      <c r="G2655" t="s">
        <v>370</v>
      </c>
      <c r="H2655" t="s">
        <v>8</v>
      </c>
      <c r="I2655" t="s">
        <v>1935</v>
      </c>
      <c r="J2655" t="s">
        <v>1936</v>
      </c>
      <c r="K2655" s="8">
        <v>27</v>
      </c>
    </row>
    <row r="2656" spans="1:11">
      <c r="A2656" t="s">
        <v>4594</v>
      </c>
      <c r="B2656" s="15">
        <v>45928</v>
      </c>
      <c r="C2656" s="4">
        <v>45901</v>
      </c>
      <c r="D2656" t="s">
        <v>62</v>
      </c>
      <c r="E2656" t="s">
        <v>25</v>
      </c>
      <c r="F2656" t="s">
        <v>64</v>
      </c>
      <c r="G2656" t="s">
        <v>328</v>
      </c>
      <c r="H2656" t="s">
        <v>8</v>
      </c>
      <c r="I2656" t="s">
        <v>1935</v>
      </c>
      <c r="J2656" t="s">
        <v>1936</v>
      </c>
      <c r="K2656" s="8">
        <v>22</v>
      </c>
    </row>
    <row r="2657" spans="1:11">
      <c r="A2657" t="s">
        <v>4595</v>
      </c>
      <c r="B2657" s="15">
        <v>45916</v>
      </c>
      <c r="C2657" s="4">
        <v>45901</v>
      </c>
      <c r="D2657" t="s">
        <v>65</v>
      </c>
      <c r="E2657" t="s">
        <v>25</v>
      </c>
      <c r="F2657" t="s">
        <v>67</v>
      </c>
      <c r="G2657" t="s">
        <v>366</v>
      </c>
      <c r="H2657" t="s">
        <v>14</v>
      </c>
      <c r="I2657" t="s">
        <v>1935</v>
      </c>
      <c r="J2657" t="s">
        <v>1938</v>
      </c>
      <c r="K2657" s="8">
        <v>21</v>
      </c>
    </row>
    <row r="2658" spans="1:11">
      <c r="A2658" t="s">
        <v>4596</v>
      </c>
      <c r="B2658" s="15">
        <v>45929</v>
      </c>
      <c r="C2658" s="4">
        <v>45901</v>
      </c>
      <c r="D2658" t="s">
        <v>65</v>
      </c>
      <c r="E2658" t="s">
        <v>25</v>
      </c>
      <c r="F2658" t="s">
        <v>67</v>
      </c>
      <c r="G2658" t="s">
        <v>372</v>
      </c>
      <c r="H2658" t="s">
        <v>5</v>
      </c>
      <c r="I2658" t="s">
        <v>1935</v>
      </c>
      <c r="J2658" t="s">
        <v>1936</v>
      </c>
      <c r="K2658" s="8">
        <v>19</v>
      </c>
    </row>
    <row r="2659" spans="1:11">
      <c r="A2659" t="s">
        <v>4597</v>
      </c>
      <c r="B2659" s="15">
        <v>45908</v>
      </c>
      <c r="C2659" s="4">
        <v>45901</v>
      </c>
      <c r="D2659" t="s">
        <v>65</v>
      </c>
      <c r="E2659" t="s">
        <v>25</v>
      </c>
      <c r="F2659" t="s">
        <v>67</v>
      </c>
      <c r="G2659" t="s">
        <v>348</v>
      </c>
      <c r="H2659" t="s">
        <v>11</v>
      </c>
      <c r="I2659" t="s">
        <v>1935</v>
      </c>
      <c r="J2659" t="s">
        <v>1938</v>
      </c>
      <c r="K2659" s="8">
        <v>22</v>
      </c>
    </row>
    <row r="2660" spans="1:11">
      <c r="A2660" t="s">
        <v>4598</v>
      </c>
      <c r="B2660" s="15">
        <v>45906</v>
      </c>
      <c r="C2660" s="4">
        <v>45901</v>
      </c>
      <c r="D2660" t="s">
        <v>65</v>
      </c>
      <c r="E2660" t="s">
        <v>25</v>
      </c>
      <c r="F2660" t="s">
        <v>67</v>
      </c>
      <c r="G2660" t="s">
        <v>348</v>
      </c>
      <c r="H2660" t="s">
        <v>11</v>
      </c>
      <c r="I2660" t="s">
        <v>1935</v>
      </c>
      <c r="J2660" t="s">
        <v>1936</v>
      </c>
      <c r="K2660" s="8">
        <v>22</v>
      </c>
    </row>
    <row r="2661" spans="1:11">
      <c r="A2661" t="s">
        <v>4599</v>
      </c>
      <c r="B2661" s="15">
        <v>45905</v>
      </c>
      <c r="C2661" s="4">
        <v>45901</v>
      </c>
      <c r="D2661" t="s">
        <v>65</v>
      </c>
      <c r="E2661" t="s">
        <v>25</v>
      </c>
      <c r="F2661" t="s">
        <v>67</v>
      </c>
      <c r="G2661" t="s">
        <v>348</v>
      </c>
      <c r="H2661" t="s">
        <v>11</v>
      </c>
      <c r="I2661" t="s">
        <v>1935</v>
      </c>
      <c r="J2661" t="s">
        <v>1936</v>
      </c>
      <c r="K2661" s="8">
        <v>8</v>
      </c>
    </row>
    <row r="2662" spans="1:11">
      <c r="A2662" t="s">
        <v>4600</v>
      </c>
      <c r="B2662" s="15">
        <v>45916</v>
      </c>
      <c r="C2662" s="4">
        <v>45901</v>
      </c>
      <c r="D2662" t="s">
        <v>65</v>
      </c>
      <c r="E2662" t="s">
        <v>25</v>
      </c>
      <c r="F2662" t="s">
        <v>67</v>
      </c>
      <c r="G2662" t="s">
        <v>318</v>
      </c>
      <c r="H2662" t="s">
        <v>14</v>
      </c>
      <c r="I2662" t="s">
        <v>1935</v>
      </c>
      <c r="J2662" t="s">
        <v>1938</v>
      </c>
      <c r="K2662" s="8">
        <v>30</v>
      </c>
    </row>
    <row r="2663" spans="1:11">
      <c r="A2663" t="s">
        <v>4601</v>
      </c>
      <c r="B2663" s="15">
        <v>45902</v>
      </c>
      <c r="C2663" s="4">
        <v>45901</v>
      </c>
      <c r="D2663" t="s">
        <v>65</v>
      </c>
      <c r="E2663" t="s">
        <v>25</v>
      </c>
      <c r="F2663" t="s">
        <v>67</v>
      </c>
      <c r="G2663" t="s">
        <v>348</v>
      </c>
      <c r="H2663" t="s">
        <v>11</v>
      </c>
      <c r="I2663" t="s">
        <v>1935</v>
      </c>
      <c r="J2663" t="s">
        <v>1936</v>
      </c>
      <c r="K2663" s="8">
        <v>10</v>
      </c>
    </row>
    <row r="2664" spans="1:11">
      <c r="A2664" t="s">
        <v>4602</v>
      </c>
      <c r="B2664" s="15">
        <v>45907</v>
      </c>
      <c r="C2664" s="4">
        <v>45901</v>
      </c>
      <c r="D2664" t="s">
        <v>65</v>
      </c>
      <c r="E2664" t="s">
        <v>25</v>
      </c>
      <c r="F2664" t="s">
        <v>67</v>
      </c>
      <c r="G2664" t="s">
        <v>348</v>
      </c>
      <c r="H2664" t="s">
        <v>11</v>
      </c>
      <c r="I2664" t="s">
        <v>1935</v>
      </c>
      <c r="J2664" t="s">
        <v>1936</v>
      </c>
      <c r="K2664" s="8">
        <v>31</v>
      </c>
    </row>
    <row r="2665" spans="1:11">
      <c r="A2665" t="s">
        <v>4603</v>
      </c>
      <c r="B2665" s="15">
        <v>45927</v>
      </c>
      <c r="C2665" s="4">
        <v>45901</v>
      </c>
      <c r="D2665" t="s">
        <v>65</v>
      </c>
      <c r="E2665" t="s">
        <v>25</v>
      </c>
      <c r="F2665" t="s">
        <v>67</v>
      </c>
      <c r="G2665" t="s">
        <v>354</v>
      </c>
      <c r="H2665" t="s">
        <v>11</v>
      </c>
      <c r="I2665" t="s">
        <v>1942</v>
      </c>
      <c r="J2665" t="s">
        <v>1936</v>
      </c>
      <c r="K2665" s="8">
        <v>0</v>
      </c>
    </row>
    <row r="2666" spans="1:11">
      <c r="A2666" t="s">
        <v>4604</v>
      </c>
      <c r="B2666" s="15">
        <v>45912</v>
      </c>
      <c r="C2666" s="4">
        <v>45901</v>
      </c>
      <c r="D2666" t="s">
        <v>65</v>
      </c>
      <c r="E2666" t="s">
        <v>25</v>
      </c>
      <c r="F2666" t="s">
        <v>67</v>
      </c>
      <c r="G2666" t="s">
        <v>318</v>
      </c>
      <c r="H2666" t="s">
        <v>14</v>
      </c>
      <c r="I2666" t="s">
        <v>1935</v>
      </c>
      <c r="J2666" t="s">
        <v>1938</v>
      </c>
      <c r="K2666" s="8">
        <v>19</v>
      </c>
    </row>
    <row r="2667" spans="1:11">
      <c r="A2667" t="s">
        <v>4605</v>
      </c>
      <c r="B2667" s="15">
        <v>45911</v>
      </c>
      <c r="C2667" s="4">
        <v>45901</v>
      </c>
      <c r="D2667" t="s">
        <v>65</v>
      </c>
      <c r="E2667" t="s">
        <v>25</v>
      </c>
      <c r="F2667" t="s">
        <v>67</v>
      </c>
      <c r="G2667" t="s">
        <v>330</v>
      </c>
      <c r="H2667" t="s">
        <v>8</v>
      </c>
      <c r="I2667" t="s">
        <v>1935</v>
      </c>
      <c r="J2667" t="s">
        <v>1938</v>
      </c>
      <c r="K2667" s="8">
        <v>20</v>
      </c>
    </row>
    <row r="2668" spans="1:11">
      <c r="A2668" t="s">
        <v>4606</v>
      </c>
      <c r="B2668" s="15">
        <v>45946</v>
      </c>
      <c r="C2668" s="4">
        <v>45931</v>
      </c>
      <c r="D2668" t="s">
        <v>32</v>
      </c>
      <c r="E2668" t="s">
        <v>19</v>
      </c>
      <c r="F2668" t="s">
        <v>34</v>
      </c>
      <c r="G2668" t="s">
        <v>142</v>
      </c>
      <c r="H2668" t="s">
        <v>5</v>
      </c>
      <c r="I2668" t="s">
        <v>1935</v>
      </c>
      <c r="J2668" t="s">
        <v>1936</v>
      </c>
      <c r="K2668" s="8">
        <v>15</v>
      </c>
    </row>
    <row r="2669" spans="1:11">
      <c r="A2669" t="s">
        <v>4607</v>
      </c>
      <c r="B2669" s="15">
        <v>45959</v>
      </c>
      <c r="C2669" s="4">
        <v>45931</v>
      </c>
      <c r="D2669" t="s">
        <v>32</v>
      </c>
      <c r="E2669" t="s">
        <v>19</v>
      </c>
      <c r="F2669" t="s">
        <v>34</v>
      </c>
      <c r="G2669" t="s">
        <v>75</v>
      </c>
      <c r="H2669" t="s">
        <v>5</v>
      </c>
      <c r="I2669" t="s">
        <v>1935</v>
      </c>
      <c r="J2669" t="s">
        <v>1938</v>
      </c>
      <c r="K2669" s="8">
        <v>10</v>
      </c>
    </row>
    <row r="2670" spans="1:11">
      <c r="A2670" t="s">
        <v>4608</v>
      </c>
      <c r="B2670" s="15">
        <v>45956</v>
      </c>
      <c r="C2670" s="4">
        <v>45931</v>
      </c>
      <c r="D2670" t="s">
        <v>32</v>
      </c>
      <c r="E2670" t="s">
        <v>19</v>
      </c>
      <c r="F2670" t="s">
        <v>34</v>
      </c>
      <c r="G2670" t="s">
        <v>92</v>
      </c>
      <c r="H2670" t="s">
        <v>8</v>
      </c>
      <c r="I2670" t="s">
        <v>1935</v>
      </c>
      <c r="J2670" t="s">
        <v>1938</v>
      </c>
      <c r="K2670" s="8">
        <v>32</v>
      </c>
    </row>
    <row r="2671" spans="1:11">
      <c r="A2671" t="s">
        <v>4609</v>
      </c>
      <c r="B2671" s="15">
        <v>45954</v>
      </c>
      <c r="C2671" s="4">
        <v>45931</v>
      </c>
      <c r="D2671" t="s">
        <v>32</v>
      </c>
      <c r="E2671" t="s">
        <v>19</v>
      </c>
      <c r="F2671" t="s">
        <v>34</v>
      </c>
      <c r="G2671" t="s">
        <v>124</v>
      </c>
      <c r="H2671" t="s">
        <v>11</v>
      </c>
      <c r="I2671" t="s">
        <v>1935</v>
      </c>
      <c r="J2671" t="s">
        <v>1936</v>
      </c>
      <c r="K2671" s="8">
        <v>22</v>
      </c>
    </row>
    <row r="2672" spans="1:11">
      <c r="A2672" t="s">
        <v>4610</v>
      </c>
      <c r="B2672" s="15">
        <v>45954</v>
      </c>
      <c r="C2672" s="4">
        <v>45931</v>
      </c>
      <c r="D2672" t="s">
        <v>32</v>
      </c>
      <c r="E2672" t="s">
        <v>19</v>
      </c>
      <c r="F2672" t="s">
        <v>34</v>
      </c>
      <c r="G2672" t="s">
        <v>92</v>
      </c>
      <c r="H2672" t="s">
        <v>8</v>
      </c>
      <c r="I2672" t="s">
        <v>1942</v>
      </c>
      <c r="J2672" t="s">
        <v>1936</v>
      </c>
      <c r="K2672" s="8">
        <v>6</v>
      </c>
    </row>
    <row r="2673" spans="1:11">
      <c r="A2673" t="s">
        <v>4611</v>
      </c>
      <c r="B2673" s="15">
        <v>45950</v>
      </c>
      <c r="C2673" s="4">
        <v>45931</v>
      </c>
      <c r="D2673" t="s">
        <v>32</v>
      </c>
      <c r="E2673" t="s">
        <v>19</v>
      </c>
      <c r="F2673" t="s">
        <v>34</v>
      </c>
      <c r="G2673" t="s">
        <v>111</v>
      </c>
      <c r="H2673" t="s">
        <v>8</v>
      </c>
      <c r="I2673" t="s">
        <v>1935</v>
      </c>
      <c r="J2673" t="s">
        <v>1936</v>
      </c>
      <c r="K2673" s="8">
        <v>13</v>
      </c>
    </row>
    <row r="2674" spans="1:11">
      <c r="A2674" t="s">
        <v>4612</v>
      </c>
      <c r="B2674" s="15">
        <v>45950</v>
      </c>
      <c r="C2674" s="4">
        <v>45931</v>
      </c>
      <c r="D2674" t="s">
        <v>32</v>
      </c>
      <c r="E2674" t="s">
        <v>19</v>
      </c>
      <c r="F2674" t="s">
        <v>34</v>
      </c>
      <c r="G2674" t="s">
        <v>142</v>
      </c>
      <c r="H2674" t="s">
        <v>8</v>
      </c>
      <c r="I2674" t="s">
        <v>1935</v>
      </c>
      <c r="J2674" t="s">
        <v>1936</v>
      </c>
      <c r="K2674" s="8">
        <v>33</v>
      </c>
    </row>
    <row r="2675" spans="1:11">
      <c r="A2675" t="s">
        <v>4613</v>
      </c>
      <c r="B2675" s="15">
        <v>45949</v>
      </c>
      <c r="C2675" s="4">
        <v>45931</v>
      </c>
      <c r="D2675" t="s">
        <v>32</v>
      </c>
      <c r="E2675" t="s">
        <v>19</v>
      </c>
      <c r="F2675" t="s">
        <v>34</v>
      </c>
      <c r="G2675" t="s">
        <v>99</v>
      </c>
      <c r="H2675" t="s">
        <v>14</v>
      </c>
      <c r="I2675" t="s">
        <v>1935</v>
      </c>
      <c r="J2675" t="s">
        <v>1936</v>
      </c>
      <c r="K2675" s="8">
        <v>33</v>
      </c>
    </row>
    <row r="2676" spans="1:11">
      <c r="A2676" t="s">
        <v>4614</v>
      </c>
      <c r="B2676" s="15">
        <v>45931</v>
      </c>
      <c r="C2676" s="4">
        <v>45931</v>
      </c>
      <c r="D2676" t="s">
        <v>32</v>
      </c>
      <c r="E2676" t="s">
        <v>19</v>
      </c>
      <c r="F2676" t="s">
        <v>34</v>
      </c>
      <c r="G2676" t="s">
        <v>99</v>
      </c>
      <c r="H2676" t="s">
        <v>14</v>
      </c>
      <c r="I2676" t="s">
        <v>1935</v>
      </c>
      <c r="J2676" t="s">
        <v>1936</v>
      </c>
      <c r="K2676" s="8">
        <v>15</v>
      </c>
    </row>
    <row r="2677" spans="1:11">
      <c r="A2677" t="s">
        <v>4615</v>
      </c>
      <c r="B2677" s="15">
        <v>45953</v>
      </c>
      <c r="C2677" s="4">
        <v>45931</v>
      </c>
      <c r="D2677" t="s">
        <v>32</v>
      </c>
      <c r="E2677" t="s">
        <v>19</v>
      </c>
      <c r="F2677" t="s">
        <v>34</v>
      </c>
      <c r="G2677" t="s">
        <v>75</v>
      </c>
      <c r="H2677" t="s">
        <v>5</v>
      </c>
      <c r="I2677" t="s">
        <v>1935</v>
      </c>
      <c r="J2677" t="s">
        <v>1936</v>
      </c>
      <c r="K2677" s="8">
        <v>31</v>
      </c>
    </row>
    <row r="2678" spans="1:11">
      <c r="A2678" t="s">
        <v>4616</v>
      </c>
      <c r="B2678" s="15">
        <v>45959</v>
      </c>
      <c r="C2678" s="4">
        <v>45931</v>
      </c>
      <c r="D2678" t="s">
        <v>32</v>
      </c>
      <c r="E2678" t="s">
        <v>19</v>
      </c>
      <c r="F2678" t="s">
        <v>34</v>
      </c>
      <c r="G2678" t="s">
        <v>75</v>
      </c>
      <c r="H2678" t="s">
        <v>5</v>
      </c>
      <c r="I2678" t="s">
        <v>1935</v>
      </c>
      <c r="J2678" t="s">
        <v>1938</v>
      </c>
      <c r="K2678" s="8">
        <v>25</v>
      </c>
    </row>
    <row r="2679" spans="1:11">
      <c r="A2679" t="s">
        <v>4617</v>
      </c>
      <c r="B2679" s="15">
        <v>45944</v>
      </c>
      <c r="C2679" s="4">
        <v>45931</v>
      </c>
      <c r="D2679" t="s">
        <v>35</v>
      </c>
      <c r="E2679" t="s">
        <v>19</v>
      </c>
      <c r="F2679" t="s">
        <v>37</v>
      </c>
      <c r="G2679" t="s">
        <v>88</v>
      </c>
      <c r="H2679" t="s">
        <v>8</v>
      </c>
      <c r="I2679" t="s">
        <v>1935</v>
      </c>
      <c r="J2679" t="s">
        <v>1936</v>
      </c>
      <c r="K2679" s="8">
        <v>13</v>
      </c>
    </row>
    <row r="2680" spans="1:11">
      <c r="A2680" t="s">
        <v>4618</v>
      </c>
      <c r="B2680" s="15">
        <v>45943</v>
      </c>
      <c r="C2680" s="4">
        <v>45931</v>
      </c>
      <c r="D2680" t="s">
        <v>35</v>
      </c>
      <c r="E2680" t="s">
        <v>19</v>
      </c>
      <c r="F2680" t="s">
        <v>37</v>
      </c>
      <c r="G2680" t="s">
        <v>88</v>
      </c>
      <c r="H2680" t="s">
        <v>8</v>
      </c>
      <c r="I2680" t="s">
        <v>1942</v>
      </c>
      <c r="J2680" t="s">
        <v>1936</v>
      </c>
      <c r="K2680" s="8">
        <v>8</v>
      </c>
    </row>
    <row r="2681" spans="1:11">
      <c r="A2681" t="s">
        <v>4619</v>
      </c>
      <c r="B2681" s="15">
        <v>45959</v>
      </c>
      <c r="C2681" s="4">
        <v>45931</v>
      </c>
      <c r="D2681" t="s">
        <v>35</v>
      </c>
      <c r="E2681" t="s">
        <v>19</v>
      </c>
      <c r="F2681" t="s">
        <v>37</v>
      </c>
      <c r="G2681" t="s">
        <v>101</v>
      </c>
      <c r="H2681" t="s">
        <v>8</v>
      </c>
      <c r="I2681" t="s">
        <v>1935</v>
      </c>
      <c r="J2681" t="s">
        <v>1936</v>
      </c>
      <c r="K2681" s="8">
        <v>34</v>
      </c>
    </row>
    <row r="2682" spans="1:11">
      <c r="A2682" t="s">
        <v>4620</v>
      </c>
      <c r="B2682" s="15">
        <v>45954</v>
      </c>
      <c r="C2682" s="4">
        <v>45931</v>
      </c>
      <c r="D2682" t="s">
        <v>35</v>
      </c>
      <c r="E2682" t="s">
        <v>19</v>
      </c>
      <c r="F2682" t="s">
        <v>37</v>
      </c>
      <c r="G2682" t="s">
        <v>107</v>
      </c>
      <c r="H2682" t="s">
        <v>8</v>
      </c>
      <c r="I2682" t="s">
        <v>1942</v>
      </c>
      <c r="J2682" t="s">
        <v>1936</v>
      </c>
      <c r="K2682" s="8">
        <v>0</v>
      </c>
    </row>
    <row r="2683" spans="1:11">
      <c r="A2683" t="s">
        <v>4621</v>
      </c>
      <c r="B2683" s="15">
        <v>45956</v>
      </c>
      <c r="C2683" s="4">
        <v>45931</v>
      </c>
      <c r="D2683" t="s">
        <v>35</v>
      </c>
      <c r="E2683" t="s">
        <v>19</v>
      </c>
      <c r="F2683" t="s">
        <v>37</v>
      </c>
      <c r="G2683" t="s">
        <v>101</v>
      </c>
      <c r="H2683" t="s">
        <v>11</v>
      </c>
      <c r="I2683" t="s">
        <v>1935</v>
      </c>
      <c r="J2683" t="s">
        <v>1938</v>
      </c>
      <c r="K2683" s="8">
        <v>16</v>
      </c>
    </row>
    <row r="2684" spans="1:11">
      <c r="A2684" t="s">
        <v>4622</v>
      </c>
      <c r="B2684" s="15">
        <v>45951</v>
      </c>
      <c r="C2684" s="4">
        <v>45931</v>
      </c>
      <c r="D2684" t="s">
        <v>35</v>
      </c>
      <c r="E2684" t="s">
        <v>19</v>
      </c>
      <c r="F2684" t="s">
        <v>37</v>
      </c>
      <c r="G2684" t="s">
        <v>88</v>
      </c>
      <c r="H2684" t="s">
        <v>8</v>
      </c>
      <c r="I2684" t="s">
        <v>1935</v>
      </c>
      <c r="J2684" t="s">
        <v>1938</v>
      </c>
      <c r="K2684" s="8">
        <v>24</v>
      </c>
    </row>
    <row r="2685" spans="1:11">
      <c r="A2685" t="s">
        <v>4623</v>
      </c>
      <c r="B2685" s="15">
        <v>45939</v>
      </c>
      <c r="C2685" s="4">
        <v>45931</v>
      </c>
      <c r="D2685" t="s">
        <v>35</v>
      </c>
      <c r="E2685" t="s">
        <v>19</v>
      </c>
      <c r="F2685" t="s">
        <v>37</v>
      </c>
      <c r="G2685" t="s">
        <v>88</v>
      </c>
      <c r="H2685" t="s">
        <v>8</v>
      </c>
      <c r="I2685" t="s">
        <v>1935</v>
      </c>
      <c r="J2685" t="s">
        <v>1936</v>
      </c>
      <c r="K2685" s="8">
        <v>22</v>
      </c>
    </row>
    <row r="2686" spans="1:11">
      <c r="A2686" t="s">
        <v>4624</v>
      </c>
      <c r="B2686" s="15">
        <v>45934</v>
      </c>
      <c r="C2686" s="4">
        <v>45931</v>
      </c>
      <c r="D2686" t="s">
        <v>35</v>
      </c>
      <c r="E2686" t="s">
        <v>19</v>
      </c>
      <c r="F2686" t="s">
        <v>37</v>
      </c>
      <c r="G2686" t="s">
        <v>107</v>
      </c>
      <c r="H2686" t="s">
        <v>8</v>
      </c>
      <c r="I2686" t="s">
        <v>1942</v>
      </c>
      <c r="J2686" t="s">
        <v>1936</v>
      </c>
      <c r="K2686" s="8">
        <v>5</v>
      </c>
    </row>
    <row r="2687" spans="1:11">
      <c r="A2687" t="s">
        <v>4625</v>
      </c>
      <c r="B2687" s="15">
        <v>45935</v>
      </c>
      <c r="C2687" s="4">
        <v>45931</v>
      </c>
      <c r="D2687" t="s">
        <v>35</v>
      </c>
      <c r="E2687" t="s">
        <v>19</v>
      </c>
      <c r="F2687" t="s">
        <v>37</v>
      </c>
      <c r="G2687" t="s">
        <v>101</v>
      </c>
      <c r="H2687" t="s">
        <v>8</v>
      </c>
      <c r="I2687" t="s">
        <v>1935</v>
      </c>
      <c r="J2687" t="s">
        <v>1936</v>
      </c>
      <c r="K2687" s="8">
        <v>28</v>
      </c>
    </row>
    <row r="2688" spans="1:11">
      <c r="A2688" t="s">
        <v>4626</v>
      </c>
      <c r="B2688" s="15">
        <v>45931</v>
      </c>
      <c r="C2688" s="4">
        <v>45931</v>
      </c>
      <c r="D2688" t="s">
        <v>35</v>
      </c>
      <c r="E2688" t="s">
        <v>19</v>
      </c>
      <c r="F2688" t="s">
        <v>37</v>
      </c>
      <c r="G2688" t="s">
        <v>101</v>
      </c>
      <c r="H2688" t="s">
        <v>8</v>
      </c>
      <c r="I2688" t="s">
        <v>1935</v>
      </c>
      <c r="J2688" t="s">
        <v>1936</v>
      </c>
      <c r="K2688" s="8">
        <v>22</v>
      </c>
    </row>
    <row r="2689" spans="1:11">
      <c r="A2689" t="s">
        <v>4627</v>
      </c>
      <c r="B2689" s="15">
        <v>45951</v>
      </c>
      <c r="C2689" s="4">
        <v>45931</v>
      </c>
      <c r="D2689" t="s">
        <v>35</v>
      </c>
      <c r="E2689" t="s">
        <v>19</v>
      </c>
      <c r="F2689" t="s">
        <v>37</v>
      </c>
      <c r="G2689" t="s">
        <v>107</v>
      </c>
      <c r="H2689" t="s">
        <v>8</v>
      </c>
      <c r="I2689" t="s">
        <v>1935</v>
      </c>
      <c r="J2689" t="s">
        <v>1954</v>
      </c>
      <c r="K2689" s="8">
        <v>12</v>
      </c>
    </row>
    <row r="2690" spans="1:11">
      <c r="A2690" t="s">
        <v>4628</v>
      </c>
      <c r="B2690" s="15">
        <v>45961</v>
      </c>
      <c r="C2690" s="4">
        <v>45931</v>
      </c>
      <c r="D2690" t="s">
        <v>38</v>
      </c>
      <c r="E2690" t="s">
        <v>19</v>
      </c>
      <c r="F2690" t="s">
        <v>40</v>
      </c>
      <c r="G2690" t="s">
        <v>122</v>
      </c>
      <c r="H2690" t="s">
        <v>8</v>
      </c>
      <c r="I2690" t="s">
        <v>1935</v>
      </c>
      <c r="J2690" t="s">
        <v>1936</v>
      </c>
      <c r="K2690" s="8">
        <v>28</v>
      </c>
    </row>
    <row r="2691" spans="1:11">
      <c r="A2691" t="s">
        <v>4629</v>
      </c>
      <c r="B2691" s="15">
        <v>45947</v>
      </c>
      <c r="C2691" s="4">
        <v>45931</v>
      </c>
      <c r="D2691" t="s">
        <v>38</v>
      </c>
      <c r="E2691" t="s">
        <v>19</v>
      </c>
      <c r="F2691" t="s">
        <v>40</v>
      </c>
      <c r="G2691" t="s">
        <v>134</v>
      </c>
      <c r="H2691" t="s">
        <v>8</v>
      </c>
      <c r="I2691" t="s">
        <v>1935</v>
      </c>
      <c r="J2691" t="s">
        <v>1936</v>
      </c>
      <c r="K2691" s="8">
        <v>12</v>
      </c>
    </row>
    <row r="2692" spans="1:11">
      <c r="A2692" t="s">
        <v>4630</v>
      </c>
      <c r="B2692" s="15">
        <v>45949</v>
      </c>
      <c r="C2692" s="4">
        <v>45931</v>
      </c>
      <c r="D2692" t="s">
        <v>38</v>
      </c>
      <c r="E2692" t="s">
        <v>19</v>
      </c>
      <c r="F2692" t="s">
        <v>40</v>
      </c>
      <c r="G2692" t="s">
        <v>134</v>
      </c>
      <c r="H2692" t="s">
        <v>14</v>
      </c>
      <c r="I2692" t="s">
        <v>1935</v>
      </c>
      <c r="J2692" t="s">
        <v>1936</v>
      </c>
      <c r="K2692" s="8">
        <v>9</v>
      </c>
    </row>
    <row r="2693" spans="1:11">
      <c r="A2693" t="s">
        <v>4631</v>
      </c>
      <c r="B2693" s="15">
        <v>45934</v>
      </c>
      <c r="C2693" s="4">
        <v>45931</v>
      </c>
      <c r="D2693" t="s">
        <v>38</v>
      </c>
      <c r="E2693" t="s">
        <v>19</v>
      </c>
      <c r="F2693" t="s">
        <v>40</v>
      </c>
      <c r="G2693" t="s">
        <v>122</v>
      </c>
      <c r="H2693" t="s">
        <v>5</v>
      </c>
      <c r="I2693" t="s">
        <v>1935</v>
      </c>
      <c r="J2693" t="s">
        <v>1936</v>
      </c>
      <c r="K2693" s="8">
        <v>31</v>
      </c>
    </row>
    <row r="2694" spans="1:11">
      <c r="A2694" t="s">
        <v>4632</v>
      </c>
      <c r="B2694" s="15">
        <v>45940</v>
      </c>
      <c r="C2694" s="4">
        <v>45931</v>
      </c>
      <c r="D2694" t="s">
        <v>38</v>
      </c>
      <c r="E2694" t="s">
        <v>19</v>
      </c>
      <c r="F2694" t="s">
        <v>40</v>
      </c>
      <c r="G2694" t="s">
        <v>134</v>
      </c>
      <c r="H2694" t="s">
        <v>14</v>
      </c>
      <c r="I2694" t="s">
        <v>1935</v>
      </c>
      <c r="J2694" t="s">
        <v>1936</v>
      </c>
      <c r="K2694" s="8">
        <v>17</v>
      </c>
    </row>
    <row r="2695" spans="1:11">
      <c r="A2695" t="s">
        <v>4633</v>
      </c>
      <c r="B2695" s="15">
        <v>45959</v>
      </c>
      <c r="C2695" s="4">
        <v>45931</v>
      </c>
      <c r="D2695" t="s">
        <v>38</v>
      </c>
      <c r="E2695" t="s">
        <v>19</v>
      </c>
      <c r="F2695" t="s">
        <v>40</v>
      </c>
      <c r="G2695" t="s">
        <v>96</v>
      </c>
      <c r="H2695" t="s">
        <v>11</v>
      </c>
      <c r="I2695" t="s">
        <v>1935</v>
      </c>
      <c r="J2695" t="s">
        <v>1954</v>
      </c>
      <c r="K2695" s="8">
        <v>31</v>
      </c>
    </row>
    <row r="2696" spans="1:11">
      <c r="A2696" t="s">
        <v>4634</v>
      </c>
      <c r="B2696" s="15">
        <v>45957</v>
      </c>
      <c r="C2696" s="4">
        <v>45931</v>
      </c>
      <c r="D2696" t="s">
        <v>38</v>
      </c>
      <c r="E2696" t="s">
        <v>19</v>
      </c>
      <c r="F2696" t="s">
        <v>40</v>
      </c>
      <c r="G2696" t="s">
        <v>134</v>
      </c>
      <c r="H2696" t="s">
        <v>14</v>
      </c>
      <c r="I2696" t="s">
        <v>1935</v>
      </c>
      <c r="J2696" t="s">
        <v>1936</v>
      </c>
      <c r="K2696" s="8">
        <v>19</v>
      </c>
    </row>
    <row r="2697" spans="1:11">
      <c r="A2697" t="s">
        <v>4635</v>
      </c>
      <c r="B2697" s="15">
        <v>45959</v>
      </c>
      <c r="C2697" s="4">
        <v>45931</v>
      </c>
      <c r="D2697" t="s">
        <v>38</v>
      </c>
      <c r="E2697" t="s">
        <v>19</v>
      </c>
      <c r="F2697" t="s">
        <v>40</v>
      </c>
      <c r="G2697" t="s">
        <v>109</v>
      </c>
      <c r="H2697" t="s">
        <v>11</v>
      </c>
      <c r="I2697" t="s">
        <v>1935</v>
      </c>
      <c r="J2697" t="s">
        <v>1936</v>
      </c>
      <c r="K2697" s="8">
        <v>23</v>
      </c>
    </row>
    <row r="2698" spans="1:11">
      <c r="A2698" t="s">
        <v>4636</v>
      </c>
      <c r="B2698" s="15">
        <v>45946</v>
      </c>
      <c r="C2698" s="4">
        <v>45931</v>
      </c>
      <c r="D2698" t="s">
        <v>38</v>
      </c>
      <c r="E2698" t="s">
        <v>19</v>
      </c>
      <c r="F2698" t="s">
        <v>40</v>
      </c>
      <c r="G2698" t="s">
        <v>103</v>
      </c>
      <c r="H2698" t="s">
        <v>8</v>
      </c>
      <c r="I2698" t="s">
        <v>1935</v>
      </c>
      <c r="J2698" t="s">
        <v>1936</v>
      </c>
      <c r="K2698" s="8">
        <v>23</v>
      </c>
    </row>
    <row r="2699" spans="1:11">
      <c r="A2699" t="s">
        <v>4637</v>
      </c>
      <c r="B2699" s="15">
        <v>45942</v>
      </c>
      <c r="C2699" s="4">
        <v>45931</v>
      </c>
      <c r="D2699" t="s">
        <v>38</v>
      </c>
      <c r="E2699" t="s">
        <v>19</v>
      </c>
      <c r="F2699" t="s">
        <v>40</v>
      </c>
      <c r="G2699" t="s">
        <v>122</v>
      </c>
      <c r="H2699" t="s">
        <v>11</v>
      </c>
      <c r="I2699" t="s">
        <v>1935</v>
      </c>
      <c r="J2699" t="s">
        <v>1936</v>
      </c>
      <c r="K2699" s="8">
        <v>20</v>
      </c>
    </row>
    <row r="2700" spans="1:11">
      <c r="A2700" t="s">
        <v>4638</v>
      </c>
      <c r="B2700" s="15">
        <v>45949</v>
      </c>
      <c r="C2700" s="4">
        <v>45931</v>
      </c>
      <c r="D2700" t="s">
        <v>41</v>
      </c>
      <c r="E2700" t="s">
        <v>21</v>
      </c>
      <c r="F2700" t="s">
        <v>43</v>
      </c>
      <c r="G2700" t="s">
        <v>220</v>
      </c>
      <c r="H2700" t="s">
        <v>11</v>
      </c>
      <c r="I2700" t="s">
        <v>1935</v>
      </c>
      <c r="J2700" t="s">
        <v>1938</v>
      </c>
      <c r="K2700" s="8">
        <v>8</v>
      </c>
    </row>
    <row r="2701" spans="1:11">
      <c r="A2701" t="s">
        <v>4639</v>
      </c>
      <c r="B2701" s="15">
        <v>45941</v>
      </c>
      <c r="C2701" s="4">
        <v>45931</v>
      </c>
      <c r="D2701" t="s">
        <v>41</v>
      </c>
      <c r="E2701" t="s">
        <v>21</v>
      </c>
      <c r="F2701" t="s">
        <v>43</v>
      </c>
      <c r="G2701" t="s">
        <v>220</v>
      </c>
      <c r="H2701" t="s">
        <v>11</v>
      </c>
      <c r="I2701" t="s">
        <v>1942</v>
      </c>
      <c r="J2701" t="s">
        <v>1936</v>
      </c>
      <c r="K2701" s="8">
        <v>5</v>
      </c>
    </row>
    <row r="2702" spans="1:11">
      <c r="A2702" t="s">
        <v>4640</v>
      </c>
      <c r="B2702" s="15">
        <v>45960</v>
      </c>
      <c r="C2702" s="4">
        <v>45931</v>
      </c>
      <c r="D2702" t="s">
        <v>41</v>
      </c>
      <c r="E2702" t="s">
        <v>21</v>
      </c>
      <c r="F2702" t="s">
        <v>43</v>
      </c>
      <c r="G2702" t="s">
        <v>208</v>
      </c>
      <c r="H2702" t="s">
        <v>11</v>
      </c>
      <c r="I2702" t="s">
        <v>1935</v>
      </c>
      <c r="J2702" t="s">
        <v>1936</v>
      </c>
      <c r="K2702" s="8">
        <v>14</v>
      </c>
    </row>
    <row r="2703" spans="1:11">
      <c r="A2703" t="s">
        <v>4641</v>
      </c>
      <c r="B2703" s="15">
        <v>45959</v>
      </c>
      <c r="C2703" s="4">
        <v>45931</v>
      </c>
      <c r="D2703" t="s">
        <v>41</v>
      </c>
      <c r="E2703" t="s">
        <v>21</v>
      </c>
      <c r="F2703" t="s">
        <v>43</v>
      </c>
      <c r="G2703" t="s">
        <v>232</v>
      </c>
      <c r="H2703" t="s">
        <v>11</v>
      </c>
      <c r="I2703" t="s">
        <v>1942</v>
      </c>
      <c r="J2703" t="s">
        <v>1936</v>
      </c>
      <c r="K2703" s="8">
        <v>6</v>
      </c>
    </row>
    <row r="2704" spans="1:11">
      <c r="A2704" t="s">
        <v>4642</v>
      </c>
      <c r="B2704" s="15">
        <v>45956</v>
      </c>
      <c r="C2704" s="4">
        <v>45931</v>
      </c>
      <c r="D2704" t="s">
        <v>41</v>
      </c>
      <c r="E2704" t="s">
        <v>21</v>
      </c>
      <c r="F2704" t="s">
        <v>43</v>
      </c>
      <c r="G2704" t="s">
        <v>232</v>
      </c>
      <c r="H2704" t="s">
        <v>11</v>
      </c>
      <c r="I2704" t="s">
        <v>1995</v>
      </c>
      <c r="J2704" t="s">
        <v>1936</v>
      </c>
      <c r="K2704" s="8">
        <v>6</v>
      </c>
    </row>
    <row r="2705" spans="1:11">
      <c r="A2705" t="s">
        <v>4643</v>
      </c>
      <c r="B2705" s="15">
        <v>45952</v>
      </c>
      <c r="C2705" s="4">
        <v>45931</v>
      </c>
      <c r="D2705" t="s">
        <v>41</v>
      </c>
      <c r="E2705" t="s">
        <v>21</v>
      </c>
      <c r="F2705" t="s">
        <v>43</v>
      </c>
      <c r="G2705" t="s">
        <v>232</v>
      </c>
      <c r="H2705" t="s">
        <v>11</v>
      </c>
      <c r="I2705" t="s">
        <v>1935</v>
      </c>
      <c r="J2705" t="s">
        <v>1936</v>
      </c>
      <c r="K2705" s="8">
        <v>26</v>
      </c>
    </row>
    <row r="2706" spans="1:11">
      <c r="A2706" t="s">
        <v>4644</v>
      </c>
      <c r="B2706" s="15">
        <v>45950</v>
      </c>
      <c r="C2706" s="4">
        <v>45931</v>
      </c>
      <c r="D2706" t="s">
        <v>41</v>
      </c>
      <c r="E2706" t="s">
        <v>21</v>
      </c>
      <c r="F2706" t="s">
        <v>43</v>
      </c>
      <c r="G2706" t="s">
        <v>214</v>
      </c>
      <c r="H2706" t="s">
        <v>5</v>
      </c>
      <c r="I2706" t="s">
        <v>1935</v>
      </c>
      <c r="J2706" t="s">
        <v>1936</v>
      </c>
      <c r="K2706" s="8">
        <v>30</v>
      </c>
    </row>
    <row r="2707" spans="1:11">
      <c r="A2707" t="s">
        <v>4645</v>
      </c>
      <c r="B2707" s="15">
        <v>45936</v>
      </c>
      <c r="C2707" s="4">
        <v>45931</v>
      </c>
      <c r="D2707" t="s">
        <v>41</v>
      </c>
      <c r="E2707" t="s">
        <v>21</v>
      </c>
      <c r="F2707" t="s">
        <v>43</v>
      </c>
      <c r="G2707" t="s">
        <v>208</v>
      </c>
      <c r="H2707" t="s">
        <v>11</v>
      </c>
      <c r="I2707" t="s">
        <v>1935</v>
      </c>
      <c r="J2707" t="s">
        <v>1936</v>
      </c>
      <c r="K2707" s="8">
        <v>10</v>
      </c>
    </row>
    <row r="2708" spans="1:11">
      <c r="A2708" t="s">
        <v>4646</v>
      </c>
      <c r="B2708" s="15">
        <v>45945</v>
      </c>
      <c r="C2708" s="4">
        <v>45931</v>
      </c>
      <c r="D2708" t="s">
        <v>41</v>
      </c>
      <c r="E2708" t="s">
        <v>21</v>
      </c>
      <c r="F2708" t="s">
        <v>43</v>
      </c>
      <c r="G2708" t="s">
        <v>208</v>
      </c>
      <c r="H2708" t="s">
        <v>11</v>
      </c>
      <c r="I2708" t="s">
        <v>1935</v>
      </c>
      <c r="J2708" t="s">
        <v>1936</v>
      </c>
      <c r="K2708" s="8">
        <v>16</v>
      </c>
    </row>
    <row r="2709" spans="1:11">
      <c r="A2709" t="s">
        <v>4647</v>
      </c>
      <c r="B2709" s="15">
        <v>45941</v>
      </c>
      <c r="C2709" s="4">
        <v>45931</v>
      </c>
      <c r="D2709" t="s">
        <v>41</v>
      </c>
      <c r="E2709" t="s">
        <v>21</v>
      </c>
      <c r="F2709" t="s">
        <v>43</v>
      </c>
      <c r="G2709" t="s">
        <v>214</v>
      </c>
      <c r="H2709" t="s">
        <v>5</v>
      </c>
      <c r="I2709" t="s">
        <v>1935</v>
      </c>
      <c r="J2709" t="s">
        <v>1936</v>
      </c>
      <c r="K2709" s="8">
        <v>12</v>
      </c>
    </row>
    <row r="2710" spans="1:11">
      <c r="A2710" t="s">
        <v>4648</v>
      </c>
      <c r="B2710" s="15">
        <v>45941</v>
      </c>
      <c r="C2710" s="4">
        <v>45931</v>
      </c>
      <c r="D2710" t="s">
        <v>41</v>
      </c>
      <c r="E2710" t="s">
        <v>21</v>
      </c>
      <c r="F2710" t="s">
        <v>43</v>
      </c>
      <c r="G2710" t="s">
        <v>214</v>
      </c>
      <c r="H2710" t="s">
        <v>8</v>
      </c>
      <c r="I2710" t="s">
        <v>1935</v>
      </c>
      <c r="J2710" t="s">
        <v>1936</v>
      </c>
      <c r="K2710" s="8">
        <v>18</v>
      </c>
    </row>
    <row r="2711" spans="1:11">
      <c r="A2711" t="s">
        <v>4649</v>
      </c>
      <c r="B2711" s="15">
        <v>45936</v>
      </c>
      <c r="C2711" s="4">
        <v>45931</v>
      </c>
      <c r="D2711" t="s">
        <v>44</v>
      </c>
      <c r="E2711" t="s">
        <v>21</v>
      </c>
      <c r="F2711" t="s">
        <v>46</v>
      </c>
      <c r="G2711" t="s">
        <v>186</v>
      </c>
      <c r="H2711" t="s">
        <v>5</v>
      </c>
      <c r="I2711" t="s">
        <v>1995</v>
      </c>
      <c r="J2711" t="s">
        <v>1938</v>
      </c>
      <c r="K2711" s="8">
        <v>1</v>
      </c>
    </row>
    <row r="2712" spans="1:11">
      <c r="A2712" t="s">
        <v>4650</v>
      </c>
      <c r="B2712" s="15">
        <v>45941</v>
      </c>
      <c r="C2712" s="4">
        <v>45931</v>
      </c>
      <c r="D2712" t="s">
        <v>44</v>
      </c>
      <c r="E2712" t="s">
        <v>21</v>
      </c>
      <c r="F2712" t="s">
        <v>46</v>
      </c>
      <c r="G2712" t="s">
        <v>174</v>
      </c>
      <c r="H2712" t="s">
        <v>5</v>
      </c>
      <c r="I2712" t="s">
        <v>1935</v>
      </c>
      <c r="J2712" t="s">
        <v>1954</v>
      </c>
      <c r="K2712" s="8">
        <v>31</v>
      </c>
    </row>
    <row r="2713" spans="1:11">
      <c r="A2713" t="s">
        <v>4651</v>
      </c>
      <c r="B2713" s="15">
        <v>45940</v>
      </c>
      <c r="C2713" s="4">
        <v>45931</v>
      </c>
      <c r="D2713" t="s">
        <v>44</v>
      </c>
      <c r="E2713" t="s">
        <v>21</v>
      </c>
      <c r="F2713" t="s">
        <v>46</v>
      </c>
      <c r="G2713" t="s">
        <v>222</v>
      </c>
      <c r="H2713" t="s">
        <v>8</v>
      </c>
      <c r="I2713" t="s">
        <v>1935</v>
      </c>
      <c r="J2713" t="s">
        <v>1936</v>
      </c>
      <c r="K2713" s="8">
        <v>26</v>
      </c>
    </row>
    <row r="2714" spans="1:11">
      <c r="A2714" t="s">
        <v>4652</v>
      </c>
      <c r="B2714" s="15">
        <v>45937</v>
      </c>
      <c r="C2714" s="4">
        <v>45931</v>
      </c>
      <c r="D2714" t="s">
        <v>44</v>
      </c>
      <c r="E2714" t="s">
        <v>21</v>
      </c>
      <c r="F2714" t="s">
        <v>46</v>
      </c>
      <c r="G2714" t="s">
        <v>216</v>
      </c>
      <c r="H2714" t="s">
        <v>11</v>
      </c>
      <c r="I2714" t="s">
        <v>1935</v>
      </c>
      <c r="J2714" t="s">
        <v>1936</v>
      </c>
      <c r="K2714" s="8">
        <v>35</v>
      </c>
    </row>
    <row r="2715" spans="1:11">
      <c r="A2715" t="s">
        <v>4653</v>
      </c>
      <c r="B2715" s="15">
        <v>45960</v>
      </c>
      <c r="C2715" s="4">
        <v>45931</v>
      </c>
      <c r="D2715" t="s">
        <v>44</v>
      </c>
      <c r="E2715" t="s">
        <v>21</v>
      </c>
      <c r="F2715" t="s">
        <v>46</v>
      </c>
      <c r="G2715" t="s">
        <v>186</v>
      </c>
      <c r="H2715" t="s">
        <v>14</v>
      </c>
      <c r="I2715" t="s">
        <v>1935</v>
      </c>
      <c r="J2715" t="s">
        <v>1954</v>
      </c>
      <c r="K2715" s="8">
        <v>26</v>
      </c>
    </row>
    <row r="2716" spans="1:11">
      <c r="A2716" t="s">
        <v>4654</v>
      </c>
      <c r="B2716" s="15">
        <v>45957</v>
      </c>
      <c r="C2716" s="4">
        <v>45931</v>
      </c>
      <c r="D2716" t="s">
        <v>44</v>
      </c>
      <c r="E2716" t="s">
        <v>21</v>
      </c>
      <c r="F2716" t="s">
        <v>46</v>
      </c>
      <c r="G2716" t="s">
        <v>186</v>
      </c>
      <c r="H2716" t="s">
        <v>11</v>
      </c>
      <c r="I2716" t="s">
        <v>1935</v>
      </c>
      <c r="J2716" t="s">
        <v>1938</v>
      </c>
      <c r="K2716" s="8">
        <v>12</v>
      </c>
    </row>
    <row r="2717" spans="1:11">
      <c r="A2717" t="s">
        <v>4655</v>
      </c>
      <c r="B2717" s="15">
        <v>45947</v>
      </c>
      <c r="C2717" s="4">
        <v>45931</v>
      </c>
      <c r="D2717" t="s">
        <v>44</v>
      </c>
      <c r="E2717" t="s">
        <v>21</v>
      </c>
      <c r="F2717" t="s">
        <v>46</v>
      </c>
      <c r="G2717" t="s">
        <v>216</v>
      </c>
      <c r="H2717" t="s">
        <v>14</v>
      </c>
      <c r="I2717" t="s">
        <v>1935</v>
      </c>
      <c r="J2717" t="s">
        <v>1936</v>
      </c>
      <c r="K2717" s="8">
        <v>21</v>
      </c>
    </row>
    <row r="2718" spans="1:11">
      <c r="A2718" t="s">
        <v>4656</v>
      </c>
      <c r="B2718" s="15">
        <v>45942</v>
      </c>
      <c r="C2718" s="4">
        <v>45931</v>
      </c>
      <c r="D2718" t="s">
        <v>44</v>
      </c>
      <c r="E2718" t="s">
        <v>21</v>
      </c>
      <c r="F2718" t="s">
        <v>46</v>
      </c>
      <c r="G2718" t="s">
        <v>180</v>
      </c>
      <c r="H2718" t="s">
        <v>14</v>
      </c>
      <c r="I2718" t="s">
        <v>1935</v>
      </c>
      <c r="J2718" t="s">
        <v>1936</v>
      </c>
      <c r="K2718" s="8">
        <v>25</v>
      </c>
    </row>
    <row r="2719" spans="1:11">
      <c r="A2719" t="s">
        <v>4657</v>
      </c>
      <c r="B2719" s="15">
        <v>45944</v>
      </c>
      <c r="C2719" s="4">
        <v>45931</v>
      </c>
      <c r="D2719" t="s">
        <v>44</v>
      </c>
      <c r="E2719" t="s">
        <v>21</v>
      </c>
      <c r="F2719" t="s">
        <v>46</v>
      </c>
      <c r="G2719" t="s">
        <v>174</v>
      </c>
      <c r="H2719" t="s">
        <v>5</v>
      </c>
      <c r="I2719" t="s">
        <v>1935</v>
      </c>
      <c r="J2719" t="s">
        <v>1954</v>
      </c>
      <c r="K2719" s="8">
        <v>22</v>
      </c>
    </row>
    <row r="2720" spans="1:11">
      <c r="A2720" t="s">
        <v>4658</v>
      </c>
      <c r="B2720" s="15">
        <v>45957</v>
      </c>
      <c r="C2720" s="4">
        <v>45931</v>
      </c>
      <c r="D2720" t="s">
        <v>44</v>
      </c>
      <c r="E2720" t="s">
        <v>21</v>
      </c>
      <c r="F2720" t="s">
        <v>46</v>
      </c>
      <c r="G2720" t="s">
        <v>216</v>
      </c>
      <c r="H2720" t="s">
        <v>14</v>
      </c>
      <c r="I2720" t="s">
        <v>1935</v>
      </c>
      <c r="J2720" t="s">
        <v>1938</v>
      </c>
      <c r="K2720" s="8">
        <v>22</v>
      </c>
    </row>
    <row r="2721" spans="1:11">
      <c r="A2721" t="s">
        <v>4659</v>
      </c>
      <c r="B2721" s="15">
        <v>45956</v>
      </c>
      <c r="C2721" s="4">
        <v>45931</v>
      </c>
      <c r="D2721" t="s">
        <v>47</v>
      </c>
      <c r="E2721" t="s">
        <v>21</v>
      </c>
      <c r="F2721" t="s">
        <v>49</v>
      </c>
      <c r="G2721" t="s">
        <v>194</v>
      </c>
      <c r="H2721" t="s">
        <v>14</v>
      </c>
      <c r="I2721" t="s">
        <v>1935</v>
      </c>
      <c r="J2721" t="s">
        <v>1936</v>
      </c>
      <c r="K2721" s="8">
        <v>20</v>
      </c>
    </row>
    <row r="2722" spans="1:11">
      <c r="A2722" t="s">
        <v>4660</v>
      </c>
      <c r="B2722" s="15">
        <v>45959</v>
      </c>
      <c r="C2722" s="4">
        <v>45931</v>
      </c>
      <c r="D2722" t="s">
        <v>47</v>
      </c>
      <c r="E2722" t="s">
        <v>21</v>
      </c>
      <c r="F2722" t="s">
        <v>49</v>
      </c>
      <c r="G2722" t="s">
        <v>218</v>
      </c>
      <c r="H2722" t="s">
        <v>8</v>
      </c>
      <c r="I2722" t="s">
        <v>1935</v>
      </c>
      <c r="J2722" t="s">
        <v>1936</v>
      </c>
      <c r="K2722" s="8">
        <v>22</v>
      </c>
    </row>
    <row r="2723" spans="1:11">
      <c r="A2723" t="s">
        <v>4661</v>
      </c>
      <c r="B2723" s="15">
        <v>45934</v>
      </c>
      <c r="C2723" s="4">
        <v>45931</v>
      </c>
      <c r="D2723" t="s">
        <v>47</v>
      </c>
      <c r="E2723" t="s">
        <v>21</v>
      </c>
      <c r="F2723" t="s">
        <v>49</v>
      </c>
      <c r="G2723" t="s">
        <v>218</v>
      </c>
      <c r="H2723" t="s">
        <v>11</v>
      </c>
      <c r="I2723" t="s">
        <v>1935</v>
      </c>
      <c r="J2723" t="s">
        <v>1936</v>
      </c>
      <c r="K2723" s="8">
        <v>16</v>
      </c>
    </row>
    <row r="2724" spans="1:11">
      <c r="A2724" t="s">
        <v>4662</v>
      </c>
      <c r="B2724" s="15">
        <v>45948</v>
      </c>
      <c r="C2724" s="4">
        <v>45931</v>
      </c>
      <c r="D2724" t="s">
        <v>47</v>
      </c>
      <c r="E2724" t="s">
        <v>21</v>
      </c>
      <c r="F2724" t="s">
        <v>49</v>
      </c>
      <c r="G2724" t="s">
        <v>212</v>
      </c>
      <c r="H2724" t="s">
        <v>14</v>
      </c>
      <c r="I2724" t="s">
        <v>1935</v>
      </c>
      <c r="J2724" t="s">
        <v>1936</v>
      </c>
      <c r="K2724" s="8">
        <v>28</v>
      </c>
    </row>
    <row r="2725" spans="1:11">
      <c r="A2725" t="s">
        <v>4663</v>
      </c>
      <c r="B2725" s="15">
        <v>45951</v>
      </c>
      <c r="C2725" s="4">
        <v>45931</v>
      </c>
      <c r="D2725" t="s">
        <v>47</v>
      </c>
      <c r="E2725" t="s">
        <v>21</v>
      </c>
      <c r="F2725" t="s">
        <v>49</v>
      </c>
      <c r="G2725" t="s">
        <v>212</v>
      </c>
      <c r="H2725" t="s">
        <v>14</v>
      </c>
      <c r="I2725" t="s">
        <v>1995</v>
      </c>
      <c r="J2725" t="s">
        <v>1938</v>
      </c>
      <c r="K2725" s="8">
        <v>5</v>
      </c>
    </row>
    <row r="2726" spans="1:11">
      <c r="A2726" t="s">
        <v>4664</v>
      </c>
      <c r="B2726" s="15">
        <v>45940</v>
      </c>
      <c r="C2726" s="4">
        <v>45931</v>
      </c>
      <c r="D2726" t="s">
        <v>47</v>
      </c>
      <c r="E2726" t="s">
        <v>21</v>
      </c>
      <c r="F2726" t="s">
        <v>49</v>
      </c>
      <c r="G2726" t="s">
        <v>218</v>
      </c>
      <c r="H2726" t="s">
        <v>14</v>
      </c>
      <c r="I2726" t="s">
        <v>1995</v>
      </c>
      <c r="J2726" t="s">
        <v>1938</v>
      </c>
      <c r="K2726" s="8">
        <v>4</v>
      </c>
    </row>
    <row r="2727" spans="1:11">
      <c r="A2727" t="s">
        <v>4665</v>
      </c>
      <c r="B2727" s="15">
        <v>45959</v>
      </c>
      <c r="C2727" s="4">
        <v>45931</v>
      </c>
      <c r="D2727" t="s">
        <v>47</v>
      </c>
      <c r="E2727" t="s">
        <v>21</v>
      </c>
      <c r="F2727" t="s">
        <v>49</v>
      </c>
      <c r="G2727" t="s">
        <v>218</v>
      </c>
      <c r="H2727" t="s">
        <v>5</v>
      </c>
      <c r="I2727" t="s">
        <v>1935</v>
      </c>
      <c r="J2727" t="s">
        <v>1936</v>
      </c>
      <c r="K2727" s="8">
        <v>32</v>
      </c>
    </row>
    <row r="2728" spans="1:11">
      <c r="A2728" t="s">
        <v>4666</v>
      </c>
      <c r="B2728" s="15">
        <v>45961</v>
      </c>
      <c r="C2728" s="4">
        <v>45931</v>
      </c>
      <c r="D2728" t="s">
        <v>47</v>
      </c>
      <c r="E2728" t="s">
        <v>21</v>
      </c>
      <c r="F2728" t="s">
        <v>49</v>
      </c>
      <c r="G2728" t="s">
        <v>212</v>
      </c>
      <c r="H2728" t="s">
        <v>14</v>
      </c>
      <c r="I2728" t="s">
        <v>1935</v>
      </c>
      <c r="J2728" t="s">
        <v>1936</v>
      </c>
      <c r="K2728" s="8">
        <v>18</v>
      </c>
    </row>
    <row r="2729" spans="1:11">
      <c r="A2729" t="s">
        <v>4667</v>
      </c>
      <c r="B2729" s="15">
        <v>45948</v>
      </c>
      <c r="C2729" s="4">
        <v>45931</v>
      </c>
      <c r="D2729" t="s">
        <v>47</v>
      </c>
      <c r="E2729" t="s">
        <v>21</v>
      </c>
      <c r="F2729" t="s">
        <v>49</v>
      </c>
      <c r="G2729" t="s">
        <v>194</v>
      </c>
      <c r="H2729" t="s">
        <v>14</v>
      </c>
      <c r="I2729" t="s">
        <v>1935</v>
      </c>
      <c r="J2729" t="s">
        <v>1936</v>
      </c>
      <c r="K2729" s="8">
        <v>35</v>
      </c>
    </row>
    <row r="2730" spans="1:11">
      <c r="A2730" t="s">
        <v>4668</v>
      </c>
      <c r="B2730" s="15">
        <v>45945</v>
      </c>
      <c r="C2730" s="4">
        <v>45931</v>
      </c>
      <c r="D2730" t="s">
        <v>47</v>
      </c>
      <c r="E2730" t="s">
        <v>21</v>
      </c>
      <c r="F2730" t="s">
        <v>49</v>
      </c>
      <c r="G2730" t="s">
        <v>170</v>
      </c>
      <c r="H2730" t="s">
        <v>8</v>
      </c>
      <c r="I2730" t="s">
        <v>1935</v>
      </c>
      <c r="J2730" t="s">
        <v>1936</v>
      </c>
      <c r="K2730" s="8">
        <v>32</v>
      </c>
    </row>
    <row r="2731" spans="1:11">
      <c r="A2731" t="s">
        <v>4669</v>
      </c>
      <c r="B2731" s="15">
        <v>45933</v>
      </c>
      <c r="C2731" s="4">
        <v>45931</v>
      </c>
      <c r="D2731" t="s">
        <v>47</v>
      </c>
      <c r="E2731" t="s">
        <v>21</v>
      </c>
      <c r="F2731" t="s">
        <v>49</v>
      </c>
      <c r="G2731" t="s">
        <v>212</v>
      </c>
      <c r="H2731" t="s">
        <v>14</v>
      </c>
      <c r="I2731" t="s">
        <v>1935</v>
      </c>
      <c r="J2731" t="s">
        <v>1936</v>
      </c>
      <c r="K2731" s="8">
        <v>25</v>
      </c>
    </row>
    <row r="2732" spans="1:11">
      <c r="A2732" t="s">
        <v>4670</v>
      </c>
      <c r="B2732" s="15">
        <v>45945</v>
      </c>
      <c r="C2732" s="4">
        <v>45931</v>
      </c>
      <c r="D2732" t="s">
        <v>50</v>
      </c>
      <c r="E2732" t="s">
        <v>23</v>
      </c>
      <c r="F2732" t="s">
        <v>52</v>
      </c>
      <c r="G2732" t="s">
        <v>262</v>
      </c>
      <c r="H2732" t="s">
        <v>5</v>
      </c>
      <c r="I2732" t="s">
        <v>1935</v>
      </c>
      <c r="J2732" t="s">
        <v>1938</v>
      </c>
      <c r="K2732" s="8">
        <v>26</v>
      </c>
    </row>
    <row r="2733" spans="1:11">
      <c r="A2733" t="s">
        <v>4671</v>
      </c>
      <c r="B2733" s="15">
        <v>45951</v>
      </c>
      <c r="C2733" s="4">
        <v>45931</v>
      </c>
      <c r="D2733" t="s">
        <v>50</v>
      </c>
      <c r="E2733" t="s">
        <v>23</v>
      </c>
      <c r="F2733" t="s">
        <v>52</v>
      </c>
      <c r="G2733" t="s">
        <v>298</v>
      </c>
      <c r="H2733" t="s">
        <v>8</v>
      </c>
      <c r="I2733" t="s">
        <v>1935</v>
      </c>
      <c r="J2733" t="s">
        <v>1954</v>
      </c>
      <c r="K2733" s="8">
        <v>29</v>
      </c>
    </row>
    <row r="2734" spans="1:11">
      <c r="A2734" t="s">
        <v>4672</v>
      </c>
      <c r="B2734" s="15">
        <v>45961</v>
      </c>
      <c r="C2734" s="4">
        <v>45931</v>
      </c>
      <c r="D2734" t="s">
        <v>50</v>
      </c>
      <c r="E2734" t="s">
        <v>23</v>
      </c>
      <c r="F2734" t="s">
        <v>52</v>
      </c>
      <c r="G2734" t="s">
        <v>268</v>
      </c>
      <c r="H2734" t="s">
        <v>5</v>
      </c>
      <c r="I2734" t="s">
        <v>1935</v>
      </c>
      <c r="J2734" t="s">
        <v>1936</v>
      </c>
      <c r="K2734" s="8">
        <v>10</v>
      </c>
    </row>
    <row r="2735" spans="1:11">
      <c r="A2735" t="s">
        <v>4673</v>
      </c>
      <c r="B2735" s="15">
        <v>45947</v>
      </c>
      <c r="C2735" s="4">
        <v>45931</v>
      </c>
      <c r="D2735" t="s">
        <v>50</v>
      </c>
      <c r="E2735" t="s">
        <v>23</v>
      </c>
      <c r="F2735" t="s">
        <v>52</v>
      </c>
      <c r="G2735" t="s">
        <v>310</v>
      </c>
      <c r="H2735" t="s">
        <v>11</v>
      </c>
      <c r="I2735" t="s">
        <v>1942</v>
      </c>
      <c r="J2735" t="s">
        <v>1938</v>
      </c>
      <c r="K2735" s="8">
        <v>7</v>
      </c>
    </row>
    <row r="2736" spans="1:11">
      <c r="A2736" t="s">
        <v>4674</v>
      </c>
      <c r="B2736" s="15">
        <v>45959</v>
      </c>
      <c r="C2736" s="4">
        <v>45931</v>
      </c>
      <c r="D2736" t="s">
        <v>50</v>
      </c>
      <c r="E2736" t="s">
        <v>23</v>
      </c>
      <c r="F2736" t="s">
        <v>52</v>
      </c>
      <c r="G2736" t="s">
        <v>292</v>
      </c>
      <c r="H2736" t="s">
        <v>11</v>
      </c>
      <c r="I2736" t="s">
        <v>1935</v>
      </c>
      <c r="J2736" t="s">
        <v>1936</v>
      </c>
      <c r="K2736" s="8">
        <v>32</v>
      </c>
    </row>
    <row r="2737" spans="1:11">
      <c r="A2737" t="s">
        <v>4675</v>
      </c>
      <c r="B2737" s="15">
        <v>45949</v>
      </c>
      <c r="C2737" s="4">
        <v>45931</v>
      </c>
      <c r="D2737" t="s">
        <v>50</v>
      </c>
      <c r="E2737" t="s">
        <v>23</v>
      </c>
      <c r="F2737" t="s">
        <v>52</v>
      </c>
      <c r="G2737" t="s">
        <v>292</v>
      </c>
      <c r="H2737" t="s">
        <v>11</v>
      </c>
      <c r="I2737" t="s">
        <v>1935</v>
      </c>
      <c r="J2737" t="s">
        <v>1936</v>
      </c>
      <c r="K2737" s="8">
        <v>26</v>
      </c>
    </row>
    <row r="2738" spans="1:11">
      <c r="A2738" t="s">
        <v>4676</v>
      </c>
      <c r="B2738" s="15">
        <v>45935</v>
      </c>
      <c r="C2738" s="4">
        <v>45931</v>
      </c>
      <c r="D2738" t="s">
        <v>50</v>
      </c>
      <c r="E2738" t="s">
        <v>23</v>
      </c>
      <c r="F2738" t="s">
        <v>52</v>
      </c>
      <c r="G2738" t="s">
        <v>304</v>
      </c>
      <c r="H2738" t="s">
        <v>8</v>
      </c>
      <c r="I2738" t="s">
        <v>1935</v>
      </c>
      <c r="J2738" t="s">
        <v>1936</v>
      </c>
      <c r="K2738" s="8">
        <v>24</v>
      </c>
    </row>
    <row r="2739" spans="1:11">
      <c r="A2739" t="s">
        <v>4677</v>
      </c>
      <c r="B2739" s="15">
        <v>45948</v>
      </c>
      <c r="C2739" s="4">
        <v>45931</v>
      </c>
      <c r="D2739" t="s">
        <v>50</v>
      </c>
      <c r="E2739" t="s">
        <v>23</v>
      </c>
      <c r="F2739" t="s">
        <v>52</v>
      </c>
      <c r="G2739" t="s">
        <v>256</v>
      </c>
      <c r="H2739" t="s">
        <v>5</v>
      </c>
      <c r="I2739" t="s">
        <v>1935</v>
      </c>
      <c r="J2739" t="s">
        <v>1954</v>
      </c>
      <c r="K2739" s="8">
        <v>34</v>
      </c>
    </row>
    <row r="2740" spans="1:11">
      <c r="A2740" t="s">
        <v>4678</v>
      </c>
      <c r="B2740" s="15">
        <v>45935</v>
      </c>
      <c r="C2740" s="4">
        <v>45931</v>
      </c>
      <c r="D2740" t="s">
        <v>50</v>
      </c>
      <c r="E2740" t="s">
        <v>23</v>
      </c>
      <c r="F2740" t="s">
        <v>52</v>
      </c>
      <c r="G2740" t="s">
        <v>268</v>
      </c>
      <c r="H2740" t="s">
        <v>5</v>
      </c>
      <c r="I2740" t="s">
        <v>1935</v>
      </c>
      <c r="J2740" t="s">
        <v>1938</v>
      </c>
      <c r="K2740" s="8">
        <v>33</v>
      </c>
    </row>
    <row r="2741" spans="1:11">
      <c r="A2741" t="s">
        <v>4679</v>
      </c>
      <c r="B2741" s="15">
        <v>45957</v>
      </c>
      <c r="C2741" s="4">
        <v>45931</v>
      </c>
      <c r="D2741" t="s">
        <v>50</v>
      </c>
      <c r="E2741" t="s">
        <v>23</v>
      </c>
      <c r="F2741" t="s">
        <v>52</v>
      </c>
      <c r="G2741" t="s">
        <v>310</v>
      </c>
      <c r="H2741" t="s">
        <v>11</v>
      </c>
      <c r="I2741" t="s">
        <v>1942</v>
      </c>
      <c r="J2741" t="s">
        <v>1936</v>
      </c>
      <c r="K2741" s="8">
        <v>6</v>
      </c>
    </row>
    <row r="2742" spans="1:11">
      <c r="A2742" t="s">
        <v>4680</v>
      </c>
      <c r="B2742" s="15">
        <v>45935</v>
      </c>
      <c r="C2742" s="4">
        <v>45931</v>
      </c>
      <c r="D2742" t="s">
        <v>50</v>
      </c>
      <c r="E2742" t="s">
        <v>23</v>
      </c>
      <c r="F2742" t="s">
        <v>52</v>
      </c>
      <c r="G2742" t="s">
        <v>280</v>
      </c>
      <c r="H2742" t="s">
        <v>11</v>
      </c>
      <c r="I2742" t="s">
        <v>1935</v>
      </c>
      <c r="J2742" t="s">
        <v>1936</v>
      </c>
      <c r="K2742" s="8">
        <v>35</v>
      </c>
    </row>
    <row r="2743" spans="1:11">
      <c r="A2743" t="s">
        <v>4681</v>
      </c>
      <c r="B2743" s="15">
        <v>45951</v>
      </c>
      <c r="C2743" s="4">
        <v>45931</v>
      </c>
      <c r="D2743" t="s">
        <v>50</v>
      </c>
      <c r="E2743" t="s">
        <v>23</v>
      </c>
      <c r="F2743" t="s">
        <v>52</v>
      </c>
      <c r="G2743" t="s">
        <v>256</v>
      </c>
      <c r="H2743" t="s">
        <v>5</v>
      </c>
      <c r="I2743" t="s">
        <v>1935</v>
      </c>
      <c r="J2743" t="s">
        <v>1936</v>
      </c>
      <c r="K2743" s="8">
        <v>15</v>
      </c>
    </row>
    <row r="2744" spans="1:11">
      <c r="A2744" t="s">
        <v>4682</v>
      </c>
      <c r="B2744" s="15">
        <v>45941</v>
      </c>
      <c r="C2744" s="4">
        <v>45931</v>
      </c>
      <c r="D2744" t="s">
        <v>53</v>
      </c>
      <c r="E2744" t="s">
        <v>23</v>
      </c>
      <c r="F2744" t="s">
        <v>55</v>
      </c>
      <c r="G2744" t="s">
        <v>312</v>
      </c>
      <c r="H2744" t="s">
        <v>5</v>
      </c>
      <c r="I2744" t="s">
        <v>1935</v>
      </c>
      <c r="J2744" t="s">
        <v>1936</v>
      </c>
      <c r="K2744" s="8">
        <v>12</v>
      </c>
    </row>
    <row r="2745" spans="1:11">
      <c r="A2745" t="s">
        <v>4683</v>
      </c>
      <c r="B2745" s="15">
        <v>45947</v>
      </c>
      <c r="C2745" s="4">
        <v>45931</v>
      </c>
      <c r="D2745" t="s">
        <v>53</v>
      </c>
      <c r="E2745" t="s">
        <v>23</v>
      </c>
      <c r="F2745" t="s">
        <v>55</v>
      </c>
      <c r="G2745" t="s">
        <v>282</v>
      </c>
      <c r="H2745" t="s">
        <v>8</v>
      </c>
      <c r="I2745" t="s">
        <v>1935</v>
      </c>
      <c r="J2745" t="s">
        <v>1936</v>
      </c>
      <c r="K2745" s="8">
        <v>32</v>
      </c>
    </row>
    <row r="2746" spans="1:11">
      <c r="A2746" t="s">
        <v>4684</v>
      </c>
      <c r="B2746" s="15">
        <v>45935</v>
      </c>
      <c r="C2746" s="4">
        <v>45931</v>
      </c>
      <c r="D2746" t="s">
        <v>53</v>
      </c>
      <c r="E2746" t="s">
        <v>23</v>
      </c>
      <c r="F2746" t="s">
        <v>55</v>
      </c>
      <c r="G2746" t="s">
        <v>252</v>
      </c>
      <c r="H2746" t="s">
        <v>5</v>
      </c>
      <c r="I2746" t="s">
        <v>1935</v>
      </c>
      <c r="J2746" t="s">
        <v>1936</v>
      </c>
      <c r="K2746" s="8">
        <v>27</v>
      </c>
    </row>
    <row r="2747" spans="1:11">
      <c r="A2747" t="s">
        <v>4685</v>
      </c>
      <c r="B2747" s="15">
        <v>45943</v>
      </c>
      <c r="C2747" s="4">
        <v>45931</v>
      </c>
      <c r="D2747" t="s">
        <v>53</v>
      </c>
      <c r="E2747" t="s">
        <v>23</v>
      </c>
      <c r="F2747" t="s">
        <v>55</v>
      </c>
      <c r="G2747" t="s">
        <v>294</v>
      </c>
      <c r="H2747" t="s">
        <v>8</v>
      </c>
      <c r="I2747" t="s">
        <v>1935</v>
      </c>
      <c r="J2747" t="s">
        <v>1936</v>
      </c>
      <c r="K2747" s="8">
        <v>11</v>
      </c>
    </row>
    <row r="2748" spans="1:11">
      <c r="A2748" t="s">
        <v>4686</v>
      </c>
      <c r="B2748" s="15">
        <v>45931</v>
      </c>
      <c r="C2748" s="4">
        <v>45931</v>
      </c>
      <c r="D2748" t="s">
        <v>53</v>
      </c>
      <c r="E2748" t="s">
        <v>23</v>
      </c>
      <c r="F2748" t="s">
        <v>55</v>
      </c>
      <c r="G2748" t="s">
        <v>306</v>
      </c>
      <c r="H2748" t="s">
        <v>8</v>
      </c>
      <c r="I2748" t="s">
        <v>1935</v>
      </c>
      <c r="J2748" t="s">
        <v>1938</v>
      </c>
      <c r="K2748" s="8">
        <v>34</v>
      </c>
    </row>
    <row r="2749" spans="1:11">
      <c r="A2749" t="s">
        <v>4687</v>
      </c>
      <c r="B2749" s="15">
        <v>45959</v>
      </c>
      <c r="C2749" s="4">
        <v>45931</v>
      </c>
      <c r="D2749" t="s">
        <v>53</v>
      </c>
      <c r="E2749" t="s">
        <v>23</v>
      </c>
      <c r="F2749" t="s">
        <v>55</v>
      </c>
      <c r="G2749" t="s">
        <v>312</v>
      </c>
      <c r="H2749" t="s">
        <v>5</v>
      </c>
      <c r="I2749" t="s">
        <v>1935</v>
      </c>
      <c r="J2749" t="s">
        <v>1936</v>
      </c>
      <c r="K2749" s="8">
        <v>23</v>
      </c>
    </row>
    <row r="2750" spans="1:11">
      <c r="A2750" t="s">
        <v>4688</v>
      </c>
      <c r="B2750" s="15">
        <v>45946</v>
      </c>
      <c r="C2750" s="4">
        <v>45931</v>
      </c>
      <c r="D2750" t="s">
        <v>53</v>
      </c>
      <c r="E2750" t="s">
        <v>23</v>
      </c>
      <c r="F2750" t="s">
        <v>55</v>
      </c>
      <c r="G2750" t="s">
        <v>312</v>
      </c>
      <c r="H2750" t="s">
        <v>5</v>
      </c>
      <c r="I2750" t="s">
        <v>1935</v>
      </c>
      <c r="J2750" t="s">
        <v>1954</v>
      </c>
      <c r="K2750" s="8">
        <v>34</v>
      </c>
    </row>
    <row r="2751" spans="1:11">
      <c r="A2751" t="s">
        <v>4689</v>
      </c>
      <c r="B2751" s="15">
        <v>45949</v>
      </c>
      <c r="C2751" s="4">
        <v>45931</v>
      </c>
      <c r="D2751" t="s">
        <v>53</v>
      </c>
      <c r="E2751" t="s">
        <v>23</v>
      </c>
      <c r="F2751" t="s">
        <v>55</v>
      </c>
      <c r="G2751" t="s">
        <v>270</v>
      </c>
      <c r="H2751" t="s">
        <v>8</v>
      </c>
      <c r="I2751" t="s">
        <v>1935</v>
      </c>
      <c r="J2751" t="s">
        <v>1936</v>
      </c>
      <c r="K2751" s="8">
        <v>20</v>
      </c>
    </row>
    <row r="2752" spans="1:11">
      <c r="A2752" t="s">
        <v>4690</v>
      </c>
      <c r="B2752" s="15">
        <v>45947</v>
      </c>
      <c r="C2752" s="4">
        <v>45931</v>
      </c>
      <c r="D2752" t="s">
        <v>53</v>
      </c>
      <c r="E2752" t="s">
        <v>23</v>
      </c>
      <c r="F2752" t="s">
        <v>55</v>
      </c>
      <c r="G2752" t="s">
        <v>246</v>
      </c>
      <c r="H2752" t="s">
        <v>14</v>
      </c>
      <c r="I2752" t="s">
        <v>1935</v>
      </c>
      <c r="J2752" t="s">
        <v>1936</v>
      </c>
      <c r="K2752" s="8">
        <v>14</v>
      </c>
    </row>
    <row r="2753" spans="1:11">
      <c r="A2753" t="s">
        <v>4691</v>
      </c>
      <c r="B2753" s="15">
        <v>45942</v>
      </c>
      <c r="C2753" s="4">
        <v>45931</v>
      </c>
      <c r="D2753" t="s">
        <v>53</v>
      </c>
      <c r="E2753" t="s">
        <v>23</v>
      </c>
      <c r="F2753" t="s">
        <v>55</v>
      </c>
      <c r="G2753" t="s">
        <v>240</v>
      </c>
      <c r="H2753" t="s">
        <v>14</v>
      </c>
      <c r="I2753" t="s">
        <v>1935</v>
      </c>
      <c r="J2753" t="s">
        <v>1936</v>
      </c>
      <c r="K2753" s="8">
        <v>11</v>
      </c>
    </row>
    <row r="2754" spans="1:11">
      <c r="A2754" t="s">
        <v>4692</v>
      </c>
      <c r="B2754" s="15">
        <v>45941</v>
      </c>
      <c r="C2754" s="4">
        <v>45931</v>
      </c>
      <c r="D2754" t="s">
        <v>53</v>
      </c>
      <c r="E2754" t="s">
        <v>23</v>
      </c>
      <c r="F2754" t="s">
        <v>55</v>
      </c>
      <c r="G2754" t="s">
        <v>246</v>
      </c>
      <c r="H2754" t="s">
        <v>14</v>
      </c>
      <c r="I2754" t="s">
        <v>1942</v>
      </c>
      <c r="J2754" t="s">
        <v>1938</v>
      </c>
      <c r="K2754" s="8">
        <v>1</v>
      </c>
    </row>
    <row r="2755" spans="1:11">
      <c r="A2755" t="s">
        <v>4693</v>
      </c>
      <c r="B2755" s="15">
        <v>45932</v>
      </c>
      <c r="C2755" s="4">
        <v>45931</v>
      </c>
      <c r="D2755" t="s">
        <v>56</v>
      </c>
      <c r="E2755" t="s">
        <v>23</v>
      </c>
      <c r="F2755" t="s">
        <v>58</v>
      </c>
      <c r="G2755" t="s">
        <v>242</v>
      </c>
      <c r="H2755" t="s">
        <v>5</v>
      </c>
      <c r="I2755" t="s">
        <v>1935</v>
      </c>
      <c r="J2755" t="s">
        <v>1936</v>
      </c>
      <c r="K2755" s="8">
        <v>19</v>
      </c>
    </row>
    <row r="2756" spans="1:11">
      <c r="A2756" t="s">
        <v>4694</v>
      </c>
      <c r="B2756" s="15">
        <v>45953</v>
      </c>
      <c r="C2756" s="4">
        <v>45931</v>
      </c>
      <c r="D2756" t="s">
        <v>56</v>
      </c>
      <c r="E2756" t="s">
        <v>23</v>
      </c>
      <c r="F2756" t="s">
        <v>58</v>
      </c>
      <c r="G2756" t="s">
        <v>278</v>
      </c>
      <c r="H2756" t="s">
        <v>14</v>
      </c>
      <c r="I2756" t="s">
        <v>1935</v>
      </c>
      <c r="J2756" t="s">
        <v>1936</v>
      </c>
      <c r="K2756" s="8">
        <v>29</v>
      </c>
    </row>
    <row r="2757" spans="1:11">
      <c r="A2757" t="s">
        <v>4695</v>
      </c>
      <c r="B2757" s="15">
        <v>45958</v>
      </c>
      <c r="C2757" s="4">
        <v>45931</v>
      </c>
      <c r="D2757" t="s">
        <v>56</v>
      </c>
      <c r="E2757" t="s">
        <v>23</v>
      </c>
      <c r="F2757" t="s">
        <v>58</v>
      </c>
      <c r="G2757" t="s">
        <v>308</v>
      </c>
      <c r="H2757" t="s">
        <v>11</v>
      </c>
      <c r="I2757" t="s">
        <v>1935</v>
      </c>
      <c r="J2757" t="s">
        <v>1936</v>
      </c>
      <c r="K2757" s="8">
        <v>18</v>
      </c>
    </row>
    <row r="2758" spans="1:11">
      <c r="A2758" t="s">
        <v>4696</v>
      </c>
      <c r="B2758" s="15">
        <v>45934</v>
      </c>
      <c r="C2758" s="4">
        <v>45931</v>
      </c>
      <c r="D2758" t="s">
        <v>56</v>
      </c>
      <c r="E2758" t="s">
        <v>23</v>
      </c>
      <c r="F2758" t="s">
        <v>58</v>
      </c>
      <c r="G2758" t="s">
        <v>260</v>
      </c>
      <c r="H2758" t="s">
        <v>5</v>
      </c>
      <c r="I2758" t="s">
        <v>1935</v>
      </c>
      <c r="J2758" t="s">
        <v>1954</v>
      </c>
      <c r="K2758" s="8">
        <v>22</v>
      </c>
    </row>
    <row r="2759" spans="1:11">
      <c r="A2759" t="s">
        <v>4697</v>
      </c>
      <c r="B2759" s="15">
        <v>45957</v>
      </c>
      <c r="C2759" s="4">
        <v>45931</v>
      </c>
      <c r="D2759" t="s">
        <v>56</v>
      </c>
      <c r="E2759" t="s">
        <v>23</v>
      </c>
      <c r="F2759" t="s">
        <v>58</v>
      </c>
      <c r="G2759" t="s">
        <v>302</v>
      </c>
      <c r="H2759" t="s">
        <v>5</v>
      </c>
      <c r="I2759" t="s">
        <v>1935</v>
      </c>
      <c r="J2759" t="s">
        <v>1936</v>
      </c>
      <c r="K2759" s="8">
        <v>10</v>
      </c>
    </row>
    <row r="2760" spans="1:11">
      <c r="A2760" t="s">
        <v>4698</v>
      </c>
      <c r="B2760" s="15">
        <v>45955</v>
      </c>
      <c r="C2760" s="4">
        <v>45931</v>
      </c>
      <c r="D2760" t="s">
        <v>56</v>
      </c>
      <c r="E2760" t="s">
        <v>23</v>
      </c>
      <c r="F2760" t="s">
        <v>58</v>
      </c>
      <c r="G2760" t="s">
        <v>278</v>
      </c>
      <c r="H2760" t="s">
        <v>14</v>
      </c>
      <c r="I2760" t="s">
        <v>1935</v>
      </c>
      <c r="J2760" t="s">
        <v>1936</v>
      </c>
      <c r="K2760" s="8">
        <v>31</v>
      </c>
    </row>
    <row r="2761" spans="1:11">
      <c r="A2761" t="s">
        <v>4699</v>
      </c>
      <c r="B2761" s="15">
        <v>45953</v>
      </c>
      <c r="C2761" s="4">
        <v>45931</v>
      </c>
      <c r="D2761" t="s">
        <v>56</v>
      </c>
      <c r="E2761" t="s">
        <v>23</v>
      </c>
      <c r="F2761" t="s">
        <v>58</v>
      </c>
      <c r="G2761" t="s">
        <v>242</v>
      </c>
      <c r="H2761" t="s">
        <v>5</v>
      </c>
      <c r="I2761" t="s">
        <v>1942</v>
      </c>
      <c r="J2761" t="s">
        <v>1938</v>
      </c>
      <c r="K2761" s="8">
        <v>5</v>
      </c>
    </row>
    <row r="2762" spans="1:11">
      <c r="A2762" t="s">
        <v>4700</v>
      </c>
      <c r="B2762" s="15">
        <v>45944</v>
      </c>
      <c r="C2762" s="4">
        <v>45931</v>
      </c>
      <c r="D2762" t="s">
        <v>56</v>
      </c>
      <c r="E2762" t="s">
        <v>23</v>
      </c>
      <c r="F2762" t="s">
        <v>58</v>
      </c>
      <c r="G2762" t="s">
        <v>260</v>
      </c>
      <c r="H2762" t="s">
        <v>8</v>
      </c>
      <c r="I2762" t="s">
        <v>1942</v>
      </c>
      <c r="J2762" t="s">
        <v>1938</v>
      </c>
      <c r="K2762" s="8">
        <v>4</v>
      </c>
    </row>
    <row r="2763" spans="1:11">
      <c r="A2763" t="s">
        <v>4701</v>
      </c>
      <c r="B2763" s="15">
        <v>45941</v>
      </c>
      <c r="C2763" s="4">
        <v>45931</v>
      </c>
      <c r="D2763" t="s">
        <v>56</v>
      </c>
      <c r="E2763" t="s">
        <v>23</v>
      </c>
      <c r="F2763" t="s">
        <v>58</v>
      </c>
      <c r="G2763" t="s">
        <v>290</v>
      </c>
      <c r="H2763" t="s">
        <v>8</v>
      </c>
      <c r="I2763" t="s">
        <v>1935</v>
      </c>
      <c r="J2763" t="s">
        <v>1936</v>
      </c>
      <c r="K2763" s="8">
        <v>14</v>
      </c>
    </row>
    <row r="2764" spans="1:11">
      <c r="A2764" t="s">
        <v>4702</v>
      </c>
      <c r="B2764" s="15">
        <v>45948</v>
      </c>
      <c r="C2764" s="4">
        <v>45931</v>
      </c>
      <c r="D2764" t="s">
        <v>56</v>
      </c>
      <c r="E2764" t="s">
        <v>23</v>
      </c>
      <c r="F2764" t="s">
        <v>58</v>
      </c>
      <c r="G2764" t="s">
        <v>290</v>
      </c>
      <c r="H2764" t="s">
        <v>11</v>
      </c>
      <c r="I2764" t="s">
        <v>1995</v>
      </c>
      <c r="J2764" t="s">
        <v>1938</v>
      </c>
      <c r="K2764" s="8">
        <v>4</v>
      </c>
    </row>
    <row r="2765" spans="1:11">
      <c r="A2765" t="s">
        <v>4703</v>
      </c>
      <c r="B2765" s="15">
        <v>45953</v>
      </c>
      <c r="C2765" s="4">
        <v>45931</v>
      </c>
      <c r="D2765" t="s">
        <v>59</v>
      </c>
      <c r="E2765" t="s">
        <v>25</v>
      </c>
      <c r="F2765" t="s">
        <v>61</v>
      </c>
      <c r="G2765" t="s">
        <v>380</v>
      </c>
      <c r="H2765" t="s">
        <v>11</v>
      </c>
      <c r="I2765" t="s">
        <v>1935</v>
      </c>
      <c r="J2765" t="s">
        <v>1954</v>
      </c>
      <c r="K2765" s="8">
        <v>15</v>
      </c>
    </row>
    <row r="2766" spans="1:11">
      <c r="A2766" t="s">
        <v>4704</v>
      </c>
      <c r="B2766" s="15">
        <v>45932</v>
      </c>
      <c r="C2766" s="4">
        <v>45931</v>
      </c>
      <c r="D2766" t="s">
        <v>59</v>
      </c>
      <c r="E2766" t="s">
        <v>25</v>
      </c>
      <c r="F2766" t="s">
        <v>61</v>
      </c>
      <c r="G2766" t="s">
        <v>320</v>
      </c>
      <c r="H2766" t="s">
        <v>11</v>
      </c>
      <c r="I2766" t="s">
        <v>1935</v>
      </c>
      <c r="J2766" t="s">
        <v>1936</v>
      </c>
      <c r="K2766" s="8">
        <v>30</v>
      </c>
    </row>
    <row r="2767" spans="1:11">
      <c r="A2767" t="s">
        <v>4705</v>
      </c>
      <c r="B2767" s="15">
        <v>45957</v>
      </c>
      <c r="C2767" s="4">
        <v>45931</v>
      </c>
      <c r="D2767" t="s">
        <v>59</v>
      </c>
      <c r="E2767" t="s">
        <v>25</v>
      </c>
      <c r="F2767" t="s">
        <v>61</v>
      </c>
      <c r="G2767" t="s">
        <v>332</v>
      </c>
      <c r="H2767" t="s">
        <v>8</v>
      </c>
      <c r="I2767" t="s">
        <v>1935</v>
      </c>
      <c r="J2767" t="s">
        <v>1938</v>
      </c>
      <c r="K2767" s="8">
        <v>29</v>
      </c>
    </row>
    <row r="2768" spans="1:11">
      <c r="A2768" t="s">
        <v>4706</v>
      </c>
      <c r="B2768" s="15">
        <v>45954</v>
      </c>
      <c r="C2768" s="4">
        <v>45931</v>
      </c>
      <c r="D2768" t="s">
        <v>59</v>
      </c>
      <c r="E2768" t="s">
        <v>25</v>
      </c>
      <c r="F2768" t="s">
        <v>61</v>
      </c>
      <c r="G2768" t="s">
        <v>332</v>
      </c>
      <c r="H2768" t="s">
        <v>11</v>
      </c>
      <c r="I2768" t="s">
        <v>1935</v>
      </c>
      <c r="J2768" t="s">
        <v>1936</v>
      </c>
      <c r="K2768" s="8">
        <v>23</v>
      </c>
    </row>
    <row r="2769" spans="1:11">
      <c r="A2769" t="s">
        <v>4707</v>
      </c>
      <c r="B2769" s="15">
        <v>45945</v>
      </c>
      <c r="C2769" s="4">
        <v>45931</v>
      </c>
      <c r="D2769" t="s">
        <v>59</v>
      </c>
      <c r="E2769" t="s">
        <v>25</v>
      </c>
      <c r="F2769" t="s">
        <v>61</v>
      </c>
      <c r="G2769" t="s">
        <v>368</v>
      </c>
      <c r="H2769" t="s">
        <v>14</v>
      </c>
      <c r="I2769" t="s">
        <v>1935</v>
      </c>
      <c r="J2769" t="s">
        <v>1938</v>
      </c>
      <c r="K2769" s="8">
        <v>15</v>
      </c>
    </row>
    <row r="2770" spans="1:11">
      <c r="A2770" t="s">
        <v>4708</v>
      </c>
      <c r="B2770" s="15">
        <v>45934</v>
      </c>
      <c r="C2770" s="4">
        <v>45931</v>
      </c>
      <c r="D2770" t="s">
        <v>59</v>
      </c>
      <c r="E2770" t="s">
        <v>25</v>
      </c>
      <c r="F2770" t="s">
        <v>61</v>
      </c>
      <c r="G2770" t="s">
        <v>368</v>
      </c>
      <c r="H2770" t="s">
        <v>14</v>
      </c>
      <c r="I2770" t="s">
        <v>1935</v>
      </c>
      <c r="J2770" t="s">
        <v>1936</v>
      </c>
      <c r="K2770" s="8">
        <v>33</v>
      </c>
    </row>
    <row r="2771" spans="1:11">
      <c r="A2771" t="s">
        <v>4709</v>
      </c>
      <c r="B2771" s="15">
        <v>45938</v>
      </c>
      <c r="C2771" s="4">
        <v>45931</v>
      </c>
      <c r="D2771" t="s">
        <v>59</v>
      </c>
      <c r="E2771" t="s">
        <v>25</v>
      </c>
      <c r="F2771" t="s">
        <v>61</v>
      </c>
      <c r="G2771" t="s">
        <v>380</v>
      </c>
      <c r="H2771" t="s">
        <v>11</v>
      </c>
      <c r="I2771" t="s">
        <v>1935</v>
      </c>
      <c r="J2771" t="s">
        <v>1936</v>
      </c>
      <c r="K2771" s="8">
        <v>35</v>
      </c>
    </row>
    <row r="2772" spans="1:11">
      <c r="A2772" t="s">
        <v>4710</v>
      </c>
      <c r="B2772" s="15">
        <v>45948</v>
      </c>
      <c r="C2772" s="4">
        <v>45931</v>
      </c>
      <c r="D2772" t="s">
        <v>59</v>
      </c>
      <c r="E2772" t="s">
        <v>25</v>
      </c>
      <c r="F2772" t="s">
        <v>61</v>
      </c>
      <c r="G2772" t="s">
        <v>320</v>
      </c>
      <c r="H2772" t="s">
        <v>11</v>
      </c>
      <c r="I2772" t="s">
        <v>1935</v>
      </c>
      <c r="J2772" t="s">
        <v>1938</v>
      </c>
      <c r="K2772" s="8">
        <v>18</v>
      </c>
    </row>
    <row r="2773" spans="1:11">
      <c r="A2773" t="s">
        <v>4711</v>
      </c>
      <c r="B2773" s="15">
        <v>45934</v>
      </c>
      <c r="C2773" s="4">
        <v>45931</v>
      </c>
      <c r="D2773" t="s">
        <v>59</v>
      </c>
      <c r="E2773" t="s">
        <v>25</v>
      </c>
      <c r="F2773" t="s">
        <v>61</v>
      </c>
      <c r="G2773" t="s">
        <v>320</v>
      </c>
      <c r="H2773" t="s">
        <v>11</v>
      </c>
      <c r="I2773" t="s">
        <v>1995</v>
      </c>
      <c r="J2773" t="s">
        <v>1936</v>
      </c>
      <c r="K2773" s="8">
        <v>4</v>
      </c>
    </row>
    <row r="2774" spans="1:11">
      <c r="A2774" t="s">
        <v>4712</v>
      </c>
      <c r="B2774" s="15">
        <v>45936</v>
      </c>
      <c r="C2774" s="4">
        <v>45931</v>
      </c>
      <c r="D2774" t="s">
        <v>59</v>
      </c>
      <c r="E2774" t="s">
        <v>25</v>
      </c>
      <c r="F2774" t="s">
        <v>61</v>
      </c>
      <c r="G2774" t="s">
        <v>368</v>
      </c>
      <c r="H2774" t="s">
        <v>14</v>
      </c>
      <c r="I2774" t="s">
        <v>1935</v>
      </c>
      <c r="J2774" t="s">
        <v>1938</v>
      </c>
      <c r="K2774" s="8">
        <v>10</v>
      </c>
    </row>
    <row r="2775" spans="1:11">
      <c r="A2775" t="s">
        <v>4713</v>
      </c>
      <c r="B2775" s="15">
        <v>45950</v>
      </c>
      <c r="C2775" s="4">
        <v>45931</v>
      </c>
      <c r="D2775" t="s">
        <v>59</v>
      </c>
      <c r="E2775" t="s">
        <v>25</v>
      </c>
      <c r="F2775" t="s">
        <v>61</v>
      </c>
      <c r="G2775" t="s">
        <v>350</v>
      </c>
      <c r="H2775" t="s">
        <v>8</v>
      </c>
      <c r="I2775" t="s">
        <v>1935</v>
      </c>
      <c r="J2775" t="s">
        <v>1936</v>
      </c>
      <c r="K2775" s="8">
        <v>30</v>
      </c>
    </row>
    <row r="2776" spans="1:11">
      <c r="A2776" t="s">
        <v>4714</v>
      </c>
      <c r="B2776" s="15">
        <v>45941</v>
      </c>
      <c r="C2776" s="4">
        <v>45931</v>
      </c>
      <c r="D2776" t="s">
        <v>59</v>
      </c>
      <c r="E2776" t="s">
        <v>25</v>
      </c>
      <c r="F2776" t="s">
        <v>61</v>
      </c>
      <c r="G2776" t="s">
        <v>356</v>
      </c>
      <c r="H2776" t="s">
        <v>8</v>
      </c>
      <c r="I2776" t="s">
        <v>1935</v>
      </c>
      <c r="J2776" t="s">
        <v>1936</v>
      </c>
      <c r="K2776" s="8">
        <v>22</v>
      </c>
    </row>
    <row r="2777" spans="1:11">
      <c r="A2777" t="s">
        <v>4715</v>
      </c>
      <c r="B2777" s="15">
        <v>45957</v>
      </c>
      <c r="C2777" s="4">
        <v>45931</v>
      </c>
      <c r="D2777" t="s">
        <v>59</v>
      </c>
      <c r="E2777" t="s">
        <v>25</v>
      </c>
      <c r="F2777" t="s">
        <v>61</v>
      </c>
      <c r="G2777" t="s">
        <v>356</v>
      </c>
      <c r="H2777" t="s">
        <v>11</v>
      </c>
      <c r="I2777" t="s">
        <v>1942</v>
      </c>
      <c r="J2777" t="s">
        <v>1936</v>
      </c>
      <c r="K2777" s="8">
        <v>2</v>
      </c>
    </row>
    <row r="2778" spans="1:11">
      <c r="A2778" t="s">
        <v>4716</v>
      </c>
      <c r="B2778" s="15">
        <v>45950</v>
      </c>
      <c r="C2778" s="4">
        <v>45931</v>
      </c>
      <c r="D2778" t="s">
        <v>62</v>
      </c>
      <c r="E2778" t="s">
        <v>25</v>
      </c>
      <c r="F2778" t="s">
        <v>64</v>
      </c>
      <c r="G2778" t="s">
        <v>316</v>
      </c>
      <c r="H2778" t="s">
        <v>8</v>
      </c>
      <c r="I2778" t="s">
        <v>1935</v>
      </c>
      <c r="J2778" t="s">
        <v>1936</v>
      </c>
      <c r="K2778" s="8">
        <v>14</v>
      </c>
    </row>
    <row r="2779" spans="1:11">
      <c r="A2779" t="s">
        <v>4717</v>
      </c>
      <c r="B2779" s="15">
        <v>45943</v>
      </c>
      <c r="C2779" s="4">
        <v>45931</v>
      </c>
      <c r="D2779" t="s">
        <v>62</v>
      </c>
      <c r="E2779" t="s">
        <v>25</v>
      </c>
      <c r="F2779" t="s">
        <v>64</v>
      </c>
      <c r="G2779" t="s">
        <v>358</v>
      </c>
      <c r="H2779" t="s">
        <v>8</v>
      </c>
      <c r="I2779" t="s">
        <v>1935</v>
      </c>
      <c r="J2779" t="s">
        <v>1954</v>
      </c>
      <c r="K2779" s="8">
        <v>21</v>
      </c>
    </row>
    <row r="2780" spans="1:11">
      <c r="A2780" t="s">
        <v>4718</v>
      </c>
      <c r="B2780" s="15">
        <v>45956</v>
      </c>
      <c r="C2780" s="4">
        <v>45931</v>
      </c>
      <c r="D2780" t="s">
        <v>62</v>
      </c>
      <c r="E2780" t="s">
        <v>25</v>
      </c>
      <c r="F2780" t="s">
        <v>64</v>
      </c>
      <c r="G2780" t="s">
        <v>346</v>
      </c>
      <c r="H2780" t="s">
        <v>5</v>
      </c>
      <c r="I2780" t="s">
        <v>1935</v>
      </c>
      <c r="J2780" t="s">
        <v>1936</v>
      </c>
      <c r="K2780" s="8">
        <v>21</v>
      </c>
    </row>
    <row r="2781" spans="1:11">
      <c r="A2781" t="s">
        <v>4719</v>
      </c>
      <c r="B2781" s="15">
        <v>45949</v>
      </c>
      <c r="C2781" s="4">
        <v>45931</v>
      </c>
      <c r="D2781" t="s">
        <v>62</v>
      </c>
      <c r="E2781" t="s">
        <v>25</v>
      </c>
      <c r="F2781" t="s">
        <v>64</v>
      </c>
      <c r="G2781" t="s">
        <v>322</v>
      </c>
      <c r="H2781" t="s">
        <v>14</v>
      </c>
      <c r="I2781" t="s">
        <v>1935</v>
      </c>
      <c r="J2781" t="s">
        <v>1936</v>
      </c>
      <c r="K2781" s="8">
        <v>27</v>
      </c>
    </row>
    <row r="2782" spans="1:11">
      <c r="A2782" t="s">
        <v>4720</v>
      </c>
      <c r="B2782" s="15">
        <v>45940</v>
      </c>
      <c r="C2782" s="4">
        <v>45931</v>
      </c>
      <c r="D2782" t="s">
        <v>62</v>
      </c>
      <c r="E2782" t="s">
        <v>25</v>
      </c>
      <c r="F2782" t="s">
        <v>64</v>
      </c>
      <c r="G2782" t="s">
        <v>376</v>
      </c>
      <c r="H2782" t="s">
        <v>8</v>
      </c>
      <c r="I2782" t="s">
        <v>1935</v>
      </c>
      <c r="J2782" t="s">
        <v>1936</v>
      </c>
      <c r="K2782" s="8">
        <v>28</v>
      </c>
    </row>
    <row r="2783" spans="1:11">
      <c r="A2783" t="s">
        <v>4721</v>
      </c>
      <c r="B2783" s="15">
        <v>45937</v>
      </c>
      <c r="C2783" s="4">
        <v>45931</v>
      </c>
      <c r="D2783" t="s">
        <v>62</v>
      </c>
      <c r="E2783" t="s">
        <v>25</v>
      </c>
      <c r="F2783" t="s">
        <v>64</v>
      </c>
      <c r="G2783" t="s">
        <v>328</v>
      </c>
      <c r="H2783" t="s">
        <v>8</v>
      </c>
      <c r="I2783" t="s">
        <v>1942</v>
      </c>
      <c r="J2783" t="s">
        <v>1936</v>
      </c>
      <c r="K2783" s="8">
        <v>6</v>
      </c>
    </row>
    <row r="2784" spans="1:11">
      <c r="A2784" t="s">
        <v>4722</v>
      </c>
      <c r="B2784" s="15">
        <v>45942</v>
      </c>
      <c r="C2784" s="4">
        <v>45931</v>
      </c>
      <c r="D2784" t="s">
        <v>62</v>
      </c>
      <c r="E2784" t="s">
        <v>25</v>
      </c>
      <c r="F2784" t="s">
        <v>64</v>
      </c>
      <c r="G2784" t="s">
        <v>364</v>
      </c>
      <c r="H2784" t="s">
        <v>14</v>
      </c>
      <c r="I2784" t="s">
        <v>1935</v>
      </c>
      <c r="J2784" t="s">
        <v>1936</v>
      </c>
      <c r="K2784" s="8">
        <v>25</v>
      </c>
    </row>
    <row r="2785" spans="1:11">
      <c r="A2785" t="s">
        <v>4723</v>
      </c>
      <c r="B2785" s="15">
        <v>45961</v>
      </c>
      <c r="C2785" s="4">
        <v>45931</v>
      </c>
      <c r="D2785" t="s">
        <v>62</v>
      </c>
      <c r="E2785" t="s">
        <v>25</v>
      </c>
      <c r="F2785" t="s">
        <v>64</v>
      </c>
      <c r="G2785" t="s">
        <v>364</v>
      </c>
      <c r="H2785" t="s">
        <v>14</v>
      </c>
      <c r="I2785" t="s">
        <v>1935</v>
      </c>
      <c r="J2785" t="s">
        <v>1936</v>
      </c>
      <c r="K2785" s="8">
        <v>21</v>
      </c>
    </row>
    <row r="2786" spans="1:11">
      <c r="A2786" t="s">
        <v>4724</v>
      </c>
      <c r="B2786" s="15">
        <v>45941</v>
      </c>
      <c r="C2786" s="4">
        <v>45931</v>
      </c>
      <c r="D2786" t="s">
        <v>62</v>
      </c>
      <c r="E2786" t="s">
        <v>25</v>
      </c>
      <c r="F2786" t="s">
        <v>64</v>
      </c>
      <c r="G2786" t="s">
        <v>340</v>
      </c>
      <c r="H2786" t="s">
        <v>8</v>
      </c>
      <c r="I2786" t="s">
        <v>1935</v>
      </c>
      <c r="J2786" t="s">
        <v>1936</v>
      </c>
      <c r="K2786" s="8">
        <v>14</v>
      </c>
    </row>
    <row r="2787" spans="1:11">
      <c r="A2787" t="s">
        <v>4725</v>
      </c>
      <c r="B2787" s="15">
        <v>45935</v>
      </c>
      <c r="C2787" s="4">
        <v>45931</v>
      </c>
      <c r="D2787" t="s">
        <v>62</v>
      </c>
      <c r="E2787" t="s">
        <v>25</v>
      </c>
      <c r="F2787" t="s">
        <v>64</v>
      </c>
      <c r="G2787" t="s">
        <v>334</v>
      </c>
      <c r="H2787" t="s">
        <v>14</v>
      </c>
      <c r="I2787" t="s">
        <v>1935</v>
      </c>
      <c r="J2787" t="s">
        <v>1936</v>
      </c>
      <c r="K2787" s="8">
        <v>27</v>
      </c>
    </row>
    <row r="2788" spans="1:11">
      <c r="A2788" t="s">
        <v>4726</v>
      </c>
      <c r="B2788" s="15">
        <v>45936</v>
      </c>
      <c r="C2788" s="4">
        <v>45931</v>
      </c>
      <c r="D2788" t="s">
        <v>62</v>
      </c>
      <c r="E2788" t="s">
        <v>25</v>
      </c>
      <c r="F2788" t="s">
        <v>64</v>
      </c>
      <c r="G2788" t="s">
        <v>328</v>
      </c>
      <c r="H2788" t="s">
        <v>8</v>
      </c>
      <c r="I2788" t="s">
        <v>1935</v>
      </c>
      <c r="J2788" t="s">
        <v>1936</v>
      </c>
      <c r="K2788" s="8">
        <v>29</v>
      </c>
    </row>
    <row r="2789" spans="1:11">
      <c r="A2789" t="s">
        <v>4727</v>
      </c>
      <c r="B2789" s="15">
        <v>45956</v>
      </c>
      <c r="C2789" s="4">
        <v>45931</v>
      </c>
      <c r="D2789" t="s">
        <v>62</v>
      </c>
      <c r="E2789" t="s">
        <v>25</v>
      </c>
      <c r="F2789" t="s">
        <v>64</v>
      </c>
      <c r="G2789" t="s">
        <v>358</v>
      </c>
      <c r="H2789" t="s">
        <v>8</v>
      </c>
      <c r="I2789" t="s">
        <v>1935</v>
      </c>
      <c r="J2789" t="s">
        <v>1936</v>
      </c>
      <c r="K2789" s="8">
        <v>35</v>
      </c>
    </row>
    <row r="2790" spans="1:11">
      <c r="A2790" t="s">
        <v>4728</v>
      </c>
      <c r="B2790" s="15">
        <v>45957</v>
      </c>
      <c r="C2790" s="4">
        <v>45931</v>
      </c>
      <c r="D2790" t="s">
        <v>62</v>
      </c>
      <c r="E2790" t="s">
        <v>25</v>
      </c>
      <c r="F2790" t="s">
        <v>64</v>
      </c>
      <c r="G2790" t="s">
        <v>346</v>
      </c>
      <c r="H2790" t="s">
        <v>5</v>
      </c>
      <c r="I2790" t="s">
        <v>1935</v>
      </c>
      <c r="J2790" t="s">
        <v>1936</v>
      </c>
      <c r="K2790" s="8">
        <v>9</v>
      </c>
    </row>
    <row r="2791" spans="1:11">
      <c r="A2791" t="s">
        <v>4729</v>
      </c>
      <c r="B2791" s="15">
        <v>45951</v>
      </c>
      <c r="C2791" s="4">
        <v>45931</v>
      </c>
      <c r="D2791" t="s">
        <v>65</v>
      </c>
      <c r="E2791" t="s">
        <v>25</v>
      </c>
      <c r="F2791" t="s">
        <v>67</v>
      </c>
      <c r="G2791" t="s">
        <v>360</v>
      </c>
      <c r="H2791" t="s">
        <v>5</v>
      </c>
      <c r="I2791" t="s">
        <v>1935</v>
      </c>
      <c r="J2791" t="s">
        <v>1936</v>
      </c>
      <c r="K2791" s="8">
        <v>14</v>
      </c>
    </row>
    <row r="2792" spans="1:11">
      <c r="A2792" t="s">
        <v>4730</v>
      </c>
      <c r="B2792" s="15">
        <v>45941</v>
      </c>
      <c r="C2792" s="4">
        <v>45931</v>
      </c>
      <c r="D2792" t="s">
        <v>65</v>
      </c>
      <c r="E2792" t="s">
        <v>25</v>
      </c>
      <c r="F2792" t="s">
        <v>67</v>
      </c>
      <c r="G2792" t="s">
        <v>372</v>
      </c>
      <c r="H2792" t="s">
        <v>5</v>
      </c>
      <c r="I2792" t="s">
        <v>1935</v>
      </c>
      <c r="J2792" t="s">
        <v>1954</v>
      </c>
      <c r="K2792" s="8">
        <v>17</v>
      </c>
    </row>
    <row r="2793" spans="1:11">
      <c r="A2793" t="s">
        <v>4731</v>
      </c>
      <c r="B2793" s="15">
        <v>45942</v>
      </c>
      <c r="C2793" s="4">
        <v>45931</v>
      </c>
      <c r="D2793" t="s">
        <v>65</v>
      </c>
      <c r="E2793" t="s">
        <v>25</v>
      </c>
      <c r="F2793" t="s">
        <v>67</v>
      </c>
      <c r="G2793" t="s">
        <v>318</v>
      </c>
      <c r="H2793" t="s">
        <v>14</v>
      </c>
      <c r="I2793" t="s">
        <v>1935</v>
      </c>
      <c r="J2793" t="s">
        <v>1936</v>
      </c>
      <c r="K2793" s="8">
        <v>28</v>
      </c>
    </row>
    <row r="2794" spans="1:11">
      <c r="A2794" t="s">
        <v>4732</v>
      </c>
      <c r="B2794" s="15">
        <v>45954</v>
      </c>
      <c r="C2794" s="4">
        <v>45931</v>
      </c>
      <c r="D2794" t="s">
        <v>65</v>
      </c>
      <c r="E2794" t="s">
        <v>25</v>
      </c>
      <c r="F2794" t="s">
        <v>67</v>
      </c>
      <c r="G2794" t="s">
        <v>342</v>
      </c>
      <c r="H2794" t="s">
        <v>8</v>
      </c>
      <c r="I2794" t="s">
        <v>1935</v>
      </c>
      <c r="J2794" t="s">
        <v>1936</v>
      </c>
      <c r="K2794" s="8">
        <v>9</v>
      </c>
    </row>
    <row r="2795" spans="1:11">
      <c r="A2795" t="s">
        <v>4733</v>
      </c>
      <c r="B2795" s="15">
        <v>45958</v>
      </c>
      <c r="C2795" s="4">
        <v>45931</v>
      </c>
      <c r="D2795" t="s">
        <v>65</v>
      </c>
      <c r="E2795" t="s">
        <v>25</v>
      </c>
      <c r="F2795" t="s">
        <v>67</v>
      </c>
      <c r="G2795" t="s">
        <v>354</v>
      </c>
      <c r="H2795" t="s">
        <v>5</v>
      </c>
      <c r="I2795" t="s">
        <v>1942</v>
      </c>
      <c r="J2795" t="s">
        <v>1938</v>
      </c>
      <c r="K2795" s="8">
        <v>4</v>
      </c>
    </row>
    <row r="2796" spans="1:11">
      <c r="A2796" t="s">
        <v>4734</v>
      </c>
      <c r="B2796" s="15">
        <v>45934</v>
      </c>
      <c r="C2796" s="4">
        <v>45931</v>
      </c>
      <c r="D2796" t="s">
        <v>65</v>
      </c>
      <c r="E2796" t="s">
        <v>25</v>
      </c>
      <c r="F2796" t="s">
        <v>67</v>
      </c>
      <c r="G2796" t="s">
        <v>318</v>
      </c>
      <c r="H2796" t="s">
        <v>8</v>
      </c>
      <c r="I2796" t="s">
        <v>1942</v>
      </c>
      <c r="J2796" t="s">
        <v>1954</v>
      </c>
      <c r="K2796" s="8">
        <v>0</v>
      </c>
    </row>
    <row r="2797" spans="1:11">
      <c r="A2797" t="s">
        <v>4735</v>
      </c>
      <c r="B2797" s="15">
        <v>45960</v>
      </c>
      <c r="C2797" s="4">
        <v>45931</v>
      </c>
      <c r="D2797" t="s">
        <v>65</v>
      </c>
      <c r="E2797" t="s">
        <v>25</v>
      </c>
      <c r="F2797" t="s">
        <v>67</v>
      </c>
      <c r="G2797" t="s">
        <v>348</v>
      </c>
      <c r="H2797" t="s">
        <v>11</v>
      </c>
      <c r="I2797" t="s">
        <v>1935</v>
      </c>
      <c r="J2797" t="s">
        <v>1954</v>
      </c>
      <c r="K2797" s="8">
        <v>24</v>
      </c>
    </row>
    <row r="2798" spans="1:11">
      <c r="A2798" t="s">
        <v>4736</v>
      </c>
      <c r="B2798" s="15">
        <v>45931</v>
      </c>
      <c r="C2798" s="4">
        <v>45931</v>
      </c>
      <c r="D2798" t="s">
        <v>65</v>
      </c>
      <c r="E2798" t="s">
        <v>25</v>
      </c>
      <c r="F2798" t="s">
        <v>67</v>
      </c>
      <c r="G2798" t="s">
        <v>378</v>
      </c>
      <c r="H2798" t="s">
        <v>8</v>
      </c>
      <c r="I2798" t="s">
        <v>1935</v>
      </c>
      <c r="J2798" t="s">
        <v>1938</v>
      </c>
      <c r="K2798" s="8">
        <v>18</v>
      </c>
    </row>
    <row r="2799" spans="1:11">
      <c r="A2799" t="s">
        <v>4737</v>
      </c>
      <c r="B2799" s="15">
        <v>45949</v>
      </c>
      <c r="C2799" s="4">
        <v>45931</v>
      </c>
      <c r="D2799" t="s">
        <v>65</v>
      </c>
      <c r="E2799" t="s">
        <v>25</v>
      </c>
      <c r="F2799" t="s">
        <v>67</v>
      </c>
      <c r="G2799" t="s">
        <v>372</v>
      </c>
      <c r="H2799" t="s">
        <v>5</v>
      </c>
      <c r="I2799" t="s">
        <v>1935</v>
      </c>
      <c r="J2799" t="s">
        <v>1936</v>
      </c>
      <c r="K2799" s="8">
        <v>8</v>
      </c>
    </row>
    <row r="2800" spans="1:11">
      <c r="A2800" t="s">
        <v>4738</v>
      </c>
      <c r="B2800" s="15">
        <v>45932</v>
      </c>
      <c r="C2800" s="4">
        <v>45931</v>
      </c>
      <c r="D2800" t="s">
        <v>65</v>
      </c>
      <c r="E2800" t="s">
        <v>25</v>
      </c>
      <c r="F2800" t="s">
        <v>67</v>
      </c>
      <c r="G2800" t="s">
        <v>354</v>
      </c>
      <c r="H2800" t="s">
        <v>8</v>
      </c>
      <c r="I2800" t="s">
        <v>1935</v>
      </c>
      <c r="J2800" t="s">
        <v>1936</v>
      </c>
      <c r="K2800" s="8">
        <v>9</v>
      </c>
    </row>
    <row r="2801" spans="1:11">
      <c r="A2801" t="s">
        <v>4739</v>
      </c>
      <c r="B2801" s="15">
        <v>45964</v>
      </c>
      <c r="C2801" s="4">
        <v>45962</v>
      </c>
      <c r="D2801" t="s">
        <v>32</v>
      </c>
      <c r="E2801" t="s">
        <v>19</v>
      </c>
      <c r="F2801" t="s">
        <v>34</v>
      </c>
      <c r="G2801" t="s">
        <v>130</v>
      </c>
      <c r="H2801" t="s">
        <v>14</v>
      </c>
      <c r="I2801" t="s">
        <v>1935</v>
      </c>
      <c r="J2801" t="s">
        <v>1936</v>
      </c>
      <c r="K2801" s="8">
        <v>30</v>
      </c>
    </row>
    <row r="2802" spans="1:11">
      <c r="A2802" t="s">
        <v>4740</v>
      </c>
      <c r="B2802" s="15">
        <v>45973</v>
      </c>
      <c r="C2802" s="4">
        <v>45962</v>
      </c>
      <c r="D2802" t="s">
        <v>32</v>
      </c>
      <c r="E2802" t="s">
        <v>19</v>
      </c>
      <c r="F2802" t="s">
        <v>34</v>
      </c>
      <c r="G2802" t="s">
        <v>92</v>
      </c>
      <c r="H2802" t="s">
        <v>8</v>
      </c>
      <c r="I2802" t="s">
        <v>1942</v>
      </c>
      <c r="J2802" t="s">
        <v>1936</v>
      </c>
      <c r="K2802" s="8">
        <v>0</v>
      </c>
    </row>
    <row r="2803" spans="1:11">
      <c r="A2803" t="s">
        <v>4741</v>
      </c>
      <c r="B2803" s="15">
        <v>45974</v>
      </c>
      <c r="C2803" s="4">
        <v>45962</v>
      </c>
      <c r="D2803" t="s">
        <v>32</v>
      </c>
      <c r="E2803" t="s">
        <v>19</v>
      </c>
      <c r="F2803" t="s">
        <v>34</v>
      </c>
      <c r="G2803" t="s">
        <v>118</v>
      </c>
      <c r="H2803" t="s">
        <v>14</v>
      </c>
      <c r="I2803" t="s">
        <v>1935</v>
      </c>
      <c r="J2803" t="s">
        <v>1936</v>
      </c>
      <c r="K2803" s="8">
        <v>25</v>
      </c>
    </row>
    <row r="2804" spans="1:11">
      <c r="A2804" t="s">
        <v>4742</v>
      </c>
      <c r="B2804" s="15">
        <v>45976</v>
      </c>
      <c r="C2804" s="4">
        <v>45962</v>
      </c>
      <c r="D2804" t="s">
        <v>32</v>
      </c>
      <c r="E2804" t="s">
        <v>19</v>
      </c>
      <c r="F2804" t="s">
        <v>34</v>
      </c>
      <c r="G2804" t="s">
        <v>105</v>
      </c>
      <c r="H2804" t="s">
        <v>8</v>
      </c>
      <c r="I2804" t="s">
        <v>1935</v>
      </c>
      <c r="J2804" t="s">
        <v>1936</v>
      </c>
      <c r="K2804" s="8">
        <v>27</v>
      </c>
    </row>
    <row r="2805" spans="1:11">
      <c r="A2805" t="s">
        <v>4743</v>
      </c>
      <c r="B2805" s="15">
        <v>45981</v>
      </c>
      <c r="C2805" s="4">
        <v>45962</v>
      </c>
      <c r="D2805" t="s">
        <v>32</v>
      </c>
      <c r="E2805" t="s">
        <v>19</v>
      </c>
      <c r="F2805" t="s">
        <v>34</v>
      </c>
      <c r="G2805" t="s">
        <v>130</v>
      </c>
      <c r="H2805" t="s">
        <v>14</v>
      </c>
      <c r="I2805" t="s">
        <v>1935</v>
      </c>
      <c r="J2805" t="s">
        <v>1938</v>
      </c>
      <c r="K2805" s="8">
        <v>22</v>
      </c>
    </row>
    <row r="2806" spans="1:11">
      <c r="A2806" t="s">
        <v>4744</v>
      </c>
      <c r="B2806" s="15">
        <v>45962</v>
      </c>
      <c r="C2806" s="4">
        <v>45962</v>
      </c>
      <c r="D2806" t="s">
        <v>32</v>
      </c>
      <c r="E2806" t="s">
        <v>19</v>
      </c>
      <c r="F2806" t="s">
        <v>34</v>
      </c>
      <c r="G2806" t="s">
        <v>85</v>
      </c>
      <c r="H2806" t="s">
        <v>14</v>
      </c>
      <c r="I2806" t="s">
        <v>1935</v>
      </c>
      <c r="J2806" t="s">
        <v>1936</v>
      </c>
      <c r="K2806" s="8">
        <v>10</v>
      </c>
    </row>
    <row r="2807" spans="1:11">
      <c r="A2807" t="s">
        <v>4745</v>
      </c>
      <c r="B2807" s="15">
        <v>45982</v>
      </c>
      <c r="C2807" s="4">
        <v>45962</v>
      </c>
      <c r="D2807" t="s">
        <v>32</v>
      </c>
      <c r="E2807" t="s">
        <v>19</v>
      </c>
      <c r="F2807" t="s">
        <v>34</v>
      </c>
      <c r="G2807" t="s">
        <v>142</v>
      </c>
      <c r="H2807" t="s">
        <v>14</v>
      </c>
      <c r="I2807" t="s">
        <v>1935</v>
      </c>
      <c r="J2807" t="s">
        <v>1936</v>
      </c>
      <c r="K2807" s="8">
        <v>29</v>
      </c>
    </row>
    <row r="2808" spans="1:11">
      <c r="A2808" t="s">
        <v>4746</v>
      </c>
      <c r="B2808" s="15">
        <v>45981</v>
      </c>
      <c r="C2808" s="4">
        <v>45962</v>
      </c>
      <c r="D2808" t="s">
        <v>32</v>
      </c>
      <c r="E2808" t="s">
        <v>19</v>
      </c>
      <c r="F2808" t="s">
        <v>34</v>
      </c>
      <c r="G2808" t="s">
        <v>136</v>
      </c>
      <c r="H2808" t="s">
        <v>5</v>
      </c>
      <c r="I2808" t="s">
        <v>1935</v>
      </c>
      <c r="J2808" t="s">
        <v>1938</v>
      </c>
      <c r="K2808" s="8">
        <v>18</v>
      </c>
    </row>
    <row r="2809" spans="1:11">
      <c r="A2809" t="s">
        <v>4747</v>
      </c>
      <c r="B2809" s="15">
        <v>45968</v>
      </c>
      <c r="C2809" s="4">
        <v>45962</v>
      </c>
      <c r="D2809" t="s">
        <v>32</v>
      </c>
      <c r="E2809" t="s">
        <v>19</v>
      </c>
      <c r="F2809" t="s">
        <v>34</v>
      </c>
      <c r="G2809" t="s">
        <v>136</v>
      </c>
      <c r="H2809" t="s">
        <v>8</v>
      </c>
      <c r="I2809" t="s">
        <v>1935</v>
      </c>
      <c r="J2809" t="s">
        <v>1936</v>
      </c>
      <c r="K2809" s="8">
        <v>29</v>
      </c>
    </row>
    <row r="2810" spans="1:11">
      <c r="A2810" t="s">
        <v>4748</v>
      </c>
      <c r="B2810" s="15">
        <v>45982</v>
      </c>
      <c r="C2810" s="4">
        <v>45962</v>
      </c>
      <c r="D2810" t="s">
        <v>32</v>
      </c>
      <c r="E2810" t="s">
        <v>19</v>
      </c>
      <c r="F2810" t="s">
        <v>34</v>
      </c>
      <c r="G2810" t="s">
        <v>124</v>
      </c>
      <c r="H2810" t="s">
        <v>5</v>
      </c>
      <c r="I2810" t="s">
        <v>1935</v>
      </c>
      <c r="J2810" t="s">
        <v>1938</v>
      </c>
      <c r="K2810" s="8">
        <v>33</v>
      </c>
    </row>
    <row r="2811" spans="1:11">
      <c r="A2811" t="s">
        <v>4749</v>
      </c>
      <c r="B2811" s="15">
        <v>45978</v>
      </c>
      <c r="C2811" s="4">
        <v>45962</v>
      </c>
      <c r="D2811" t="s">
        <v>32</v>
      </c>
      <c r="E2811" t="s">
        <v>19</v>
      </c>
      <c r="F2811" t="s">
        <v>34</v>
      </c>
      <c r="G2811" t="s">
        <v>124</v>
      </c>
      <c r="H2811" t="s">
        <v>11</v>
      </c>
      <c r="I2811" t="s">
        <v>1935</v>
      </c>
      <c r="J2811" t="s">
        <v>1936</v>
      </c>
      <c r="K2811" s="8">
        <v>16</v>
      </c>
    </row>
    <row r="2812" spans="1:11">
      <c r="A2812" t="s">
        <v>4750</v>
      </c>
      <c r="B2812" s="15">
        <v>45962</v>
      </c>
      <c r="C2812" s="4">
        <v>45962</v>
      </c>
      <c r="D2812" t="s">
        <v>32</v>
      </c>
      <c r="E2812" t="s">
        <v>19</v>
      </c>
      <c r="F2812" t="s">
        <v>34</v>
      </c>
      <c r="G2812" t="s">
        <v>142</v>
      </c>
      <c r="H2812" t="s">
        <v>11</v>
      </c>
      <c r="I2812" t="s">
        <v>1935</v>
      </c>
      <c r="J2812" t="s">
        <v>1936</v>
      </c>
      <c r="K2812" s="8">
        <v>10</v>
      </c>
    </row>
    <row r="2813" spans="1:11">
      <c r="A2813" t="s">
        <v>4751</v>
      </c>
      <c r="B2813" s="15">
        <v>45986</v>
      </c>
      <c r="C2813" s="4">
        <v>45962</v>
      </c>
      <c r="D2813" t="s">
        <v>35</v>
      </c>
      <c r="E2813" t="s">
        <v>19</v>
      </c>
      <c r="F2813" t="s">
        <v>37</v>
      </c>
      <c r="G2813" t="s">
        <v>120</v>
      </c>
      <c r="H2813" t="s">
        <v>11</v>
      </c>
      <c r="I2813" t="s">
        <v>1935</v>
      </c>
      <c r="J2813" t="s">
        <v>1936</v>
      </c>
      <c r="K2813" s="8">
        <v>21</v>
      </c>
    </row>
    <row r="2814" spans="1:11">
      <c r="A2814" t="s">
        <v>4752</v>
      </c>
      <c r="B2814" s="15">
        <v>45966</v>
      </c>
      <c r="C2814" s="4">
        <v>45962</v>
      </c>
      <c r="D2814" t="s">
        <v>35</v>
      </c>
      <c r="E2814" t="s">
        <v>19</v>
      </c>
      <c r="F2814" t="s">
        <v>37</v>
      </c>
      <c r="G2814" t="s">
        <v>107</v>
      </c>
      <c r="H2814" t="s">
        <v>8</v>
      </c>
      <c r="I2814" t="s">
        <v>1935</v>
      </c>
      <c r="J2814" t="s">
        <v>1936</v>
      </c>
      <c r="K2814" s="8">
        <v>25</v>
      </c>
    </row>
    <row r="2815" spans="1:11">
      <c r="A2815" t="s">
        <v>4753</v>
      </c>
      <c r="B2815" s="15">
        <v>45984</v>
      </c>
      <c r="C2815" s="4">
        <v>45962</v>
      </c>
      <c r="D2815" t="s">
        <v>35</v>
      </c>
      <c r="E2815" t="s">
        <v>19</v>
      </c>
      <c r="F2815" t="s">
        <v>37</v>
      </c>
      <c r="G2815" t="s">
        <v>101</v>
      </c>
      <c r="H2815" t="s">
        <v>5</v>
      </c>
      <c r="I2815" t="s">
        <v>1935</v>
      </c>
      <c r="J2815" t="s">
        <v>1936</v>
      </c>
      <c r="K2815" s="8">
        <v>25</v>
      </c>
    </row>
    <row r="2816" spans="1:11">
      <c r="A2816" t="s">
        <v>4754</v>
      </c>
      <c r="B2816" s="15">
        <v>45990</v>
      </c>
      <c r="C2816" s="4">
        <v>45962</v>
      </c>
      <c r="D2816" t="s">
        <v>35</v>
      </c>
      <c r="E2816" t="s">
        <v>19</v>
      </c>
      <c r="F2816" t="s">
        <v>37</v>
      </c>
      <c r="G2816" t="s">
        <v>101</v>
      </c>
      <c r="H2816" t="s">
        <v>8</v>
      </c>
      <c r="I2816" t="s">
        <v>1935</v>
      </c>
      <c r="J2816" t="s">
        <v>1938</v>
      </c>
      <c r="K2816" s="8">
        <v>9</v>
      </c>
    </row>
    <row r="2817" spans="1:11">
      <c r="A2817" t="s">
        <v>4755</v>
      </c>
      <c r="B2817" s="15">
        <v>45989</v>
      </c>
      <c r="C2817" s="4">
        <v>45962</v>
      </c>
      <c r="D2817" t="s">
        <v>35</v>
      </c>
      <c r="E2817" t="s">
        <v>19</v>
      </c>
      <c r="F2817" t="s">
        <v>37</v>
      </c>
      <c r="G2817" t="s">
        <v>78</v>
      </c>
      <c r="H2817" t="s">
        <v>14</v>
      </c>
      <c r="I2817" t="s">
        <v>1935</v>
      </c>
      <c r="J2817" t="s">
        <v>1954</v>
      </c>
      <c r="K2817" s="8">
        <v>24</v>
      </c>
    </row>
    <row r="2818" spans="1:11">
      <c r="A2818" t="s">
        <v>4756</v>
      </c>
      <c r="B2818" s="15">
        <v>45979</v>
      </c>
      <c r="C2818" s="4">
        <v>45962</v>
      </c>
      <c r="D2818" t="s">
        <v>35</v>
      </c>
      <c r="E2818" t="s">
        <v>19</v>
      </c>
      <c r="F2818" t="s">
        <v>37</v>
      </c>
      <c r="G2818" t="s">
        <v>88</v>
      </c>
      <c r="H2818" t="s">
        <v>5</v>
      </c>
      <c r="I2818" t="s">
        <v>1935</v>
      </c>
      <c r="J2818" t="s">
        <v>1954</v>
      </c>
      <c r="K2818" s="8">
        <v>33</v>
      </c>
    </row>
    <row r="2819" spans="1:11">
      <c r="A2819" t="s">
        <v>4757</v>
      </c>
      <c r="B2819" s="15">
        <v>45989</v>
      </c>
      <c r="C2819" s="4">
        <v>45962</v>
      </c>
      <c r="D2819" t="s">
        <v>35</v>
      </c>
      <c r="E2819" t="s">
        <v>19</v>
      </c>
      <c r="F2819" t="s">
        <v>37</v>
      </c>
      <c r="G2819" t="s">
        <v>78</v>
      </c>
      <c r="H2819" t="s">
        <v>8</v>
      </c>
      <c r="I2819" t="s">
        <v>1935</v>
      </c>
      <c r="J2819" t="s">
        <v>1936</v>
      </c>
      <c r="K2819" s="8">
        <v>19</v>
      </c>
    </row>
    <row r="2820" spans="1:11">
      <c r="A2820" t="s">
        <v>4758</v>
      </c>
      <c r="B2820" s="15">
        <v>45977</v>
      </c>
      <c r="C2820" s="4">
        <v>45962</v>
      </c>
      <c r="D2820" t="s">
        <v>35</v>
      </c>
      <c r="E2820" t="s">
        <v>19</v>
      </c>
      <c r="F2820" t="s">
        <v>37</v>
      </c>
      <c r="G2820" t="s">
        <v>94</v>
      </c>
      <c r="H2820" t="s">
        <v>5</v>
      </c>
      <c r="I2820" t="s">
        <v>1935</v>
      </c>
      <c r="J2820" t="s">
        <v>1936</v>
      </c>
      <c r="K2820" s="8">
        <v>19</v>
      </c>
    </row>
    <row r="2821" spans="1:11">
      <c r="A2821" t="s">
        <v>4759</v>
      </c>
      <c r="B2821" s="15">
        <v>45964</v>
      </c>
      <c r="C2821" s="4">
        <v>45962</v>
      </c>
      <c r="D2821" t="s">
        <v>35</v>
      </c>
      <c r="E2821" t="s">
        <v>19</v>
      </c>
      <c r="F2821" t="s">
        <v>37</v>
      </c>
      <c r="G2821" t="s">
        <v>107</v>
      </c>
      <c r="H2821" t="s">
        <v>8</v>
      </c>
      <c r="I2821" t="s">
        <v>1935</v>
      </c>
      <c r="J2821" t="s">
        <v>1936</v>
      </c>
      <c r="K2821" s="8">
        <v>13</v>
      </c>
    </row>
    <row r="2822" spans="1:11">
      <c r="A2822" t="s">
        <v>4760</v>
      </c>
      <c r="B2822" s="15">
        <v>45985</v>
      </c>
      <c r="C2822" s="4">
        <v>45962</v>
      </c>
      <c r="D2822" t="s">
        <v>35</v>
      </c>
      <c r="E2822" t="s">
        <v>19</v>
      </c>
      <c r="F2822" t="s">
        <v>37</v>
      </c>
      <c r="G2822" t="s">
        <v>101</v>
      </c>
      <c r="H2822" t="s">
        <v>8</v>
      </c>
      <c r="I2822" t="s">
        <v>1942</v>
      </c>
      <c r="J2822" t="s">
        <v>1936</v>
      </c>
      <c r="K2822" s="8">
        <v>0</v>
      </c>
    </row>
    <row r="2823" spans="1:11">
      <c r="A2823" t="s">
        <v>4761</v>
      </c>
      <c r="B2823" s="15">
        <v>45971</v>
      </c>
      <c r="C2823" s="4">
        <v>45962</v>
      </c>
      <c r="D2823" t="s">
        <v>35</v>
      </c>
      <c r="E2823" t="s">
        <v>19</v>
      </c>
      <c r="F2823" t="s">
        <v>37</v>
      </c>
      <c r="G2823" t="s">
        <v>107</v>
      </c>
      <c r="H2823" t="s">
        <v>8</v>
      </c>
      <c r="I2823" t="s">
        <v>1935</v>
      </c>
      <c r="J2823" t="s">
        <v>1936</v>
      </c>
      <c r="K2823" s="8">
        <v>17</v>
      </c>
    </row>
    <row r="2824" spans="1:11">
      <c r="A2824" t="s">
        <v>4762</v>
      </c>
      <c r="B2824" s="15">
        <v>45987</v>
      </c>
      <c r="C2824" s="4">
        <v>45962</v>
      </c>
      <c r="D2824" t="s">
        <v>35</v>
      </c>
      <c r="E2824" t="s">
        <v>19</v>
      </c>
      <c r="F2824" t="s">
        <v>37</v>
      </c>
      <c r="G2824" t="s">
        <v>78</v>
      </c>
      <c r="H2824" t="s">
        <v>8</v>
      </c>
      <c r="I2824" t="s">
        <v>1935</v>
      </c>
      <c r="J2824" t="s">
        <v>1936</v>
      </c>
      <c r="K2824" s="8">
        <v>27</v>
      </c>
    </row>
    <row r="2825" spans="1:11">
      <c r="A2825" t="s">
        <v>4763</v>
      </c>
      <c r="B2825" s="15">
        <v>45965</v>
      </c>
      <c r="C2825" s="4">
        <v>45962</v>
      </c>
      <c r="D2825" t="s">
        <v>38</v>
      </c>
      <c r="E2825" t="s">
        <v>19</v>
      </c>
      <c r="F2825" t="s">
        <v>40</v>
      </c>
      <c r="G2825" t="s">
        <v>103</v>
      </c>
      <c r="H2825" t="s">
        <v>5</v>
      </c>
      <c r="I2825" t="s">
        <v>1995</v>
      </c>
      <c r="J2825" t="s">
        <v>1938</v>
      </c>
      <c r="K2825" s="8">
        <v>7</v>
      </c>
    </row>
    <row r="2826" spans="1:11">
      <c r="A2826" t="s">
        <v>4764</v>
      </c>
      <c r="B2826" s="15">
        <v>45984</v>
      </c>
      <c r="C2826" s="4">
        <v>45962</v>
      </c>
      <c r="D2826" t="s">
        <v>38</v>
      </c>
      <c r="E2826" t="s">
        <v>19</v>
      </c>
      <c r="F2826" t="s">
        <v>40</v>
      </c>
      <c r="G2826" t="s">
        <v>164</v>
      </c>
      <c r="H2826" t="s">
        <v>5</v>
      </c>
      <c r="I2826" t="s">
        <v>1935</v>
      </c>
      <c r="J2826" t="s">
        <v>1936</v>
      </c>
      <c r="K2826" s="8">
        <v>33</v>
      </c>
    </row>
    <row r="2827" spans="1:11">
      <c r="A2827" t="s">
        <v>4765</v>
      </c>
      <c r="B2827" s="15">
        <v>45972</v>
      </c>
      <c r="C2827" s="4">
        <v>45962</v>
      </c>
      <c r="D2827" t="s">
        <v>38</v>
      </c>
      <c r="E2827" t="s">
        <v>19</v>
      </c>
      <c r="F2827" t="s">
        <v>40</v>
      </c>
      <c r="G2827" t="s">
        <v>146</v>
      </c>
      <c r="H2827" t="s">
        <v>8</v>
      </c>
      <c r="I2827" t="s">
        <v>1935</v>
      </c>
      <c r="J2827" t="s">
        <v>1936</v>
      </c>
      <c r="K2827" s="8">
        <v>27</v>
      </c>
    </row>
    <row r="2828" spans="1:11">
      <c r="A2828" t="s">
        <v>4766</v>
      </c>
      <c r="B2828" s="15">
        <v>45991</v>
      </c>
      <c r="C2828" s="4">
        <v>45962</v>
      </c>
      <c r="D2828" t="s">
        <v>38</v>
      </c>
      <c r="E2828" t="s">
        <v>19</v>
      </c>
      <c r="F2828" t="s">
        <v>40</v>
      </c>
      <c r="G2828" t="s">
        <v>146</v>
      </c>
      <c r="H2828" t="s">
        <v>11</v>
      </c>
      <c r="I2828" t="s">
        <v>1935</v>
      </c>
      <c r="J2828" t="s">
        <v>1936</v>
      </c>
      <c r="K2828" s="8">
        <v>19</v>
      </c>
    </row>
    <row r="2829" spans="1:11">
      <c r="A2829" t="s">
        <v>4767</v>
      </c>
      <c r="B2829" s="15">
        <v>45972</v>
      </c>
      <c r="C2829" s="4">
        <v>45962</v>
      </c>
      <c r="D2829" t="s">
        <v>38</v>
      </c>
      <c r="E2829" t="s">
        <v>19</v>
      </c>
      <c r="F2829" t="s">
        <v>40</v>
      </c>
      <c r="G2829" t="s">
        <v>140</v>
      </c>
      <c r="H2829" t="s">
        <v>11</v>
      </c>
      <c r="I2829" t="s">
        <v>1935</v>
      </c>
      <c r="J2829" t="s">
        <v>1938</v>
      </c>
      <c r="K2829" s="8">
        <v>33</v>
      </c>
    </row>
    <row r="2830" spans="1:11">
      <c r="A2830" t="s">
        <v>4768</v>
      </c>
      <c r="B2830" s="15">
        <v>45984</v>
      </c>
      <c r="C2830" s="4">
        <v>45962</v>
      </c>
      <c r="D2830" t="s">
        <v>38</v>
      </c>
      <c r="E2830" t="s">
        <v>19</v>
      </c>
      <c r="F2830" t="s">
        <v>40</v>
      </c>
      <c r="G2830" t="s">
        <v>140</v>
      </c>
      <c r="H2830" t="s">
        <v>8</v>
      </c>
      <c r="I2830" t="s">
        <v>1935</v>
      </c>
      <c r="J2830" t="s">
        <v>1936</v>
      </c>
      <c r="K2830" s="8">
        <v>27</v>
      </c>
    </row>
    <row r="2831" spans="1:11">
      <c r="A2831" t="s">
        <v>4769</v>
      </c>
      <c r="B2831" s="15">
        <v>45984</v>
      </c>
      <c r="C2831" s="4">
        <v>45962</v>
      </c>
      <c r="D2831" t="s">
        <v>38</v>
      </c>
      <c r="E2831" t="s">
        <v>19</v>
      </c>
      <c r="F2831" t="s">
        <v>40</v>
      </c>
      <c r="G2831" t="s">
        <v>82</v>
      </c>
      <c r="H2831" t="s">
        <v>14</v>
      </c>
      <c r="I2831" t="s">
        <v>1935</v>
      </c>
      <c r="J2831" t="s">
        <v>1936</v>
      </c>
      <c r="K2831" s="8">
        <v>28</v>
      </c>
    </row>
    <row r="2832" spans="1:11">
      <c r="A2832" t="s">
        <v>4770</v>
      </c>
      <c r="B2832" s="15">
        <v>45991</v>
      </c>
      <c r="C2832" s="4">
        <v>45962</v>
      </c>
      <c r="D2832" t="s">
        <v>38</v>
      </c>
      <c r="E2832" t="s">
        <v>19</v>
      </c>
      <c r="F2832" t="s">
        <v>40</v>
      </c>
      <c r="G2832" t="s">
        <v>82</v>
      </c>
      <c r="H2832" t="s">
        <v>8</v>
      </c>
      <c r="I2832" t="s">
        <v>1935</v>
      </c>
      <c r="J2832" t="s">
        <v>1936</v>
      </c>
      <c r="K2832" s="8">
        <v>14</v>
      </c>
    </row>
    <row r="2833" spans="1:11">
      <c r="A2833" t="s">
        <v>4771</v>
      </c>
      <c r="B2833" s="15">
        <v>45963</v>
      </c>
      <c r="C2833" s="4">
        <v>45962</v>
      </c>
      <c r="D2833" t="s">
        <v>38</v>
      </c>
      <c r="E2833" t="s">
        <v>19</v>
      </c>
      <c r="F2833" t="s">
        <v>40</v>
      </c>
      <c r="G2833" t="s">
        <v>109</v>
      </c>
      <c r="H2833" t="s">
        <v>11</v>
      </c>
      <c r="I2833" t="s">
        <v>1935</v>
      </c>
      <c r="J2833" t="s">
        <v>1936</v>
      </c>
      <c r="K2833" s="8">
        <v>32</v>
      </c>
    </row>
    <row r="2834" spans="1:11">
      <c r="A2834" t="s">
        <v>4772</v>
      </c>
      <c r="B2834" s="15">
        <v>45968</v>
      </c>
      <c r="C2834" s="4">
        <v>45962</v>
      </c>
      <c r="D2834" t="s">
        <v>38</v>
      </c>
      <c r="E2834" t="s">
        <v>19</v>
      </c>
      <c r="F2834" t="s">
        <v>40</v>
      </c>
      <c r="G2834" t="s">
        <v>140</v>
      </c>
      <c r="H2834" t="s">
        <v>11</v>
      </c>
      <c r="I2834" t="s">
        <v>1935</v>
      </c>
      <c r="J2834" t="s">
        <v>1936</v>
      </c>
      <c r="K2834" s="8">
        <v>8</v>
      </c>
    </row>
    <row r="2835" spans="1:11">
      <c r="A2835" t="s">
        <v>4773</v>
      </c>
      <c r="B2835" s="15">
        <v>45967</v>
      </c>
      <c r="C2835" s="4">
        <v>45962</v>
      </c>
      <c r="D2835" t="s">
        <v>41</v>
      </c>
      <c r="E2835" t="s">
        <v>21</v>
      </c>
      <c r="F2835" t="s">
        <v>43</v>
      </c>
      <c r="G2835" t="s">
        <v>226</v>
      </c>
      <c r="H2835" t="s">
        <v>5</v>
      </c>
      <c r="I2835" t="s">
        <v>1995</v>
      </c>
      <c r="J2835" t="s">
        <v>1954</v>
      </c>
      <c r="K2835" s="8">
        <v>4</v>
      </c>
    </row>
    <row r="2836" spans="1:11">
      <c r="A2836" t="s">
        <v>4774</v>
      </c>
      <c r="B2836" s="15">
        <v>45989</v>
      </c>
      <c r="C2836" s="4">
        <v>45962</v>
      </c>
      <c r="D2836" t="s">
        <v>41</v>
      </c>
      <c r="E2836" t="s">
        <v>21</v>
      </c>
      <c r="F2836" t="s">
        <v>43</v>
      </c>
      <c r="G2836" t="s">
        <v>196</v>
      </c>
      <c r="H2836" t="s">
        <v>14</v>
      </c>
      <c r="I2836" t="s">
        <v>1935</v>
      </c>
      <c r="J2836" t="s">
        <v>1936</v>
      </c>
      <c r="K2836" s="8">
        <v>32</v>
      </c>
    </row>
    <row r="2837" spans="1:11">
      <c r="A2837" t="s">
        <v>4775</v>
      </c>
      <c r="B2837" s="15">
        <v>45962</v>
      </c>
      <c r="C2837" s="4">
        <v>45962</v>
      </c>
      <c r="D2837" t="s">
        <v>41</v>
      </c>
      <c r="E2837" t="s">
        <v>21</v>
      </c>
      <c r="F2837" t="s">
        <v>43</v>
      </c>
      <c r="G2837" t="s">
        <v>232</v>
      </c>
      <c r="H2837" t="s">
        <v>11</v>
      </c>
      <c r="I2837" t="s">
        <v>1935</v>
      </c>
      <c r="J2837" t="s">
        <v>1936</v>
      </c>
      <c r="K2837" s="8">
        <v>22</v>
      </c>
    </row>
    <row r="2838" spans="1:11">
      <c r="A2838" t="s">
        <v>4776</v>
      </c>
      <c r="B2838" s="15">
        <v>45966</v>
      </c>
      <c r="C2838" s="4">
        <v>45962</v>
      </c>
      <c r="D2838" t="s">
        <v>41</v>
      </c>
      <c r="E2838" t="s">
        <v>21</v>
      </c>
      <c r="F2838" t="s">
        <v>43</v>
      </c>
      <c r="G2838" t="s">
        <v>226</v>
      </c>
      <c r="H2838" t="s">
        <v>5</v>
      </c>
      <c r="I2838" t="s">
        <v>1935</v>
      </c>
      <c r="J2838" t="s">
        <v>1936</v>
      </c>
      <c r="K2838" s="8">
        <v>10</v>
      </c>
    </row>
    <row r="2839" spans="1:11">
      <c r="A2839" t="s">
        <v>4777</v>
      </c>
      <c r="B2839" s="15">
        <v>45971</v>
      </c>
      <c r="C2839" s="4">
        <v>45962</v>
      </c>
      <c r="D2839" t="s">
        <v>41</v>
      </c>
      <c r="E2839" t="s">
        <v>21</v>
      </c>
      <c r="F2839" t="s">
        <v>43</v>
      </c>
      <c r="G2839" t="s">
        <v>226</v>
      </c>
      <c r="H2839" t="s">
        <v>5</v>
      </c>
      <c r="I2839" t="s">
        <v>1935</v>
      </c>
      <c r="J2839" t="s">
        <v>1938</v>
      </c>
      <c r="K2839" s="8">
        <v>9</v>
      </c>
    </row>
    <row r="2840" spans="1:11">
      <c r="A2840" t="s">
        <v>4778</v>
      </c>
      <c r="B2840" s="15">
        <v>45989</v>
      </c>
      <c r="C2840" s="4">
        <v>45962</v>
      </c>
      <c r="D2840" t="s">
        <v>41</v>
      </c>
      <c r="E2840" t="s">
        <v>21</v>
      </c>
      <c r="F2840" t="s">
        <v>43</v>
      </c>
      <c r="G2840" t="s">
        <v>220</v>
      </c>
      <c r="H2840" t="s">
        <v>11</v>
      </c>
      <c r="I2840" t="s">
        <v>1935</v>
      </c>
      <c r="J2840" t="s">
        <v>1936</v>
      </c>
      <c r="K2840" s="8">
        <v>33</v>
      </c>
    </row>
    <row r="2841" spans="1:11">
      <c r="A2841" t="s">
        <v>4779</v>
      </c>
      <c r="B2841" s="15">
        <v>45985</v>
      </c>
      <c r="C2841" s="4">
        <v>45962</v>
      </c>
      <c r="D2841" t="s">
        <v>41</v>
      </c>
      <c r="E2841" t="s">
        <v>21</v>
      </c>
      <c r="F2841" t="s">
        <v>43</v>
      </c>
      <c r="G2841" t="s">
        <v>220</v>
      </c>
      <c r="H2841" t="s">
        <v>14</v>
      </c>
      <c r="I2841" t="s">
        <v>1935</v>
      </c>
      <c r="J2841" t="s">
        <v>1936</v>
      </c>
      <c r="K2841" s="8">
        <v>27</v>
      </c>
    </row>
    <row r="2842" spans="1:11">
      <c r="A2842" t="s">
        <v>4780</v>
      </c>
      <c r="B2842" s="15">
        <v>45971</v>
      </c>
      <c r="C2842" s="4">
        <v>45962</v>
      </c>
      <c r="D2842" t="s">
        <v>41</v>
      </c>
      <c r="E2842" t="s">
        <v>21</v>
      </c>
      <c r="F2842" t="s">
        <v>43</v>
      </c>
      <c r="G2842" t="s">
        <v>220</v>
      </c>
      <c r="H2842" t="s">
        <v>11</v>
      </c>
      <c r="I2842" t="s">
        <v>1935</v>
      </c>
      <c r="J2842" t="s">
        <v>1936</v>
      </c>
      <c r="K2842" s="8">
        <v>19</v>
      </c>
    </row>
    <row r="2843" spans="1:11">
      <c r="A2843" t="s">
        <v>4781</v>
      </c>
      <c r="B2843" s="15">
        <v>45967</v>
      </c>
      <c r="C2843" s="4">
        <v>45962</v>
      </c>
      <c r="D2843" t="s">
        <v>41</v>
      </c>
      <c r="E2843" t="s">
        <v>21</v>
      </c>
      <c r="F2843" t="s">
        <v>43</v>
      </c>
      <c r="G2843" t="s">
        <v>220</v>
      </c>
      <c r="H2843" t="s">
        <v>11</v>
      </c>
      <c r="I2843" t="s">
        <v>1995</v>
      </c>
      <c r="J2843" t="s">
        <v>1936</v>
      </c>
      <c r="K2843" s="8">
        <v>0</v>
      </c>
    </row>
    <row r="2844" spans="1:11">
      <c r="A2844" t="s">
        <v>4782</v>
      </c>
      <c r="B2844" s="15">
        <v>45967</v>
      </c>
      <c r="C2844" s="4">
        <v>45962</v>
      </c>
      <c r="D2844" t="s">
        <v>41</v>
      </c>
      <c r="E2844" t="s">
        <v>21</v>
      </c>
      <c r="F2844" t="s">
        <v>43</v>
      </c>
      <c r="G2844" t="s">
        <v>190</v>
      </c>
      <c r="H2844" t="s">
        <v>5</v>
      </c>
      <c r="I2844" t="s">
        <v>1935</v>
      </c>
      <c r="J2844" t="s">
        <v>1936</v>
      </c>
      <c r="K2844" s="8">
        <v>19</v>
      </c>
    </row>
    <row r="2845" spans="1:11">
      <c r="A2845" t="s">
        <v>4783</v>
      </c>
      <c r="B2845" s="15">
        <v>45975</v>
      </c>
      <c r="C2845" s="4">
        <v>45962</v>
      </c>
      <c r="D2845" t="s">
        <v>41</v>
      </c>
      <c r="E2845" t="s">
        <v>21</v>
      </c>
      <c r="F2845" t="s">
        <v>43</v>
      </c>
      <c r="G2845" t="s">
        <v>232</v>
      </c>
      <c r="H2845" t="s">
        <v>11</v>
      </c>
      <c r="I2845" t="s">
        <v>1935</v>
      </c>
      <c r="J2845" t="s">
        <v>1936</v>
      </c>
      <c r="K2845" s="8">
        <v>30</v>
      </c>
    </row>
    <row r="2846" spans="1:11">
      <c r="A2846" t="s">
        <v>4784</v>
      </c>
      <c r="B2846" s="15">
        <v>45980</v>
      </c>
      <c r="C2846" s="4">
        <v>45962</v>
      </c>
      <c r="D2846" t="s">
        <v>41</v>
      </c>
      <c r="E2846" t="s">
        <v>21</v>
      </c>
      <c r="F2846" t="s">
        <v>43</v>
      </c>
      <c r="G2846" t="s">
        <v>220</v>
      </c>
      <c r="H2846" t="s">
        <v>11</v>
      </c>
      <c r="I2846" t="s">
        <v>1935</v>
      </c>
      <c r="J2846" t="s">
        <v>1954</v>
      </c>
      <c r="K2846" s="8">
        <v>35</v>
      </c>
    </row>
    <row r="2847" spans="1:11">
      <c r="A2847" t="s">
        <v>4785</v>
      </c>
      <c r="B2847" s="15">
        <v>45969</v>
      </c>
      <c r="C2847" s="4">
        <v>45962</v>
      </c>
      <c r="D2847" t="s">
        <v>44</v>
      </c>
      <c r="E2847" t="s">
        <v>21</v>
      </c>
      <c r="F2847" t="s">
        <v>46</v>
      </c>
      <c r="G2847" t="s">
        <v>186</v>
      </c>
      <c r="H2847" t="s">
        <v>5</v>
      </c>
      <c r="I2847" t="s">
        <v>1935</v>
      </c>
      <c r="J2847" t="s">
        <v>1936</v>
      </c>
      <c r="K2847" s="8">
        <v>20</v>
      </c>
    </row>
    <row r="2848" spans="1:11">
      <c r="A2848" t="s">
        <v>4786</v>
      </c>
      <c r="B2848" s="15">
        <v>45976</v>
      </c>
      <c r="C2848" s="4">
        <v>45962</v>
      </c>
      <c r="D2848" t="s">
        <v>44</v>
      </c>
      <c r="E2848" t="s">
        <v>21</v>
      </c>
      <c r="F2848" t="s">
        <v>46</v>
      </c>
      <c r="G2848" t="s">
        <v>174</v>
      </c>
      <c r="H2848" t="s">
        <v>5</v>
      </c>
      <c r="I2848" t="s">
        <v>1935</v>
      </c>
      <c r="J2848" t="s">
        <v>1936</v>
      </c>
      <c r="K2848" s="8">
        <v>24</v>
      </c>
    </row>
    <row r="2849" spans="1:11">
      <c r="A2849" t="s">
        <v>4787</v>
      </c>
      <c r="B2849" s="15">
        <v>45984</v>
      </c>
      <c r="C2849" s="4">
        <v>45962</v>
      </c>
      <c r="D2849" t="s">
        <v>44</v>
      </c>
      <c r="E2849" t="s">
        <v>21</v>
      </c>
      <c r="F2849" t="s">
        <v>46</v>
      </c>
      <c r="G2849" t="s">
        <v>180</v>
      </c>
      <c r="H2849" t="s">
        <v>14</v>
      </c>
      <c r="I2849" t="s">
        <v>1935</v>
      </c>
      <c r="J2849" t="s">
        <v>1938</v>
      </c>
      <c r="K2849" s="8">
        <v>19</v>
      </c>
    </row>
    <row r="2850" spans="1:11">
      <c r="A2850" t="s">
        <v>4788</v>
      </c>
      <c r="B2850" s="15">
        <v>45971</v>
      </c>
      <c r="C2850" s="4">
        <v>45962</v>
      </c>
      <c r="D2850" t="s">
        <v>44</v>
      </c>
      <c r="E2850" t="s">
        <v>21</v>
      </c>
      <c r="F2850" t="s">
        <v>46</v>
      </c>
      <c r="G2850" t="s">
        <v>216</v>
      </c>
      <c r="H2850" t="s">
        <v>11</v>
      </c>
      <c r="I2850" t="s">
        <v>1935</v>
      </c>
      <c r="J2850" t="s">
        <v>1938</v>
      </c>
      <c r="K2850" s="8">
        <v>26</v>
      </c>
    </row>
    <row r="2851" spans="1:11">
      <c r="A2851" t="s">
        <v>4789</v>
      </c>
      <c r="B2851" s="15">
        <v>45970</v>
      </c>
      <c r="C2851" s="4">
        <v>45962</v>
      </c>
      <c r="D2851" t="s">
        <v>44</v>
      </c>
      <c r="E2851" t="s">
        <v>21</v>
      </c>
      <c r="F2851" t="s">
        <v>46</v>
      </c>
      <c r="G2851" t="s">
        <v>210</v>
      </c>
      <c r="H2851" t="s">
        <v>11</v>
      </c>
      <c r="I2851" t="s">
        <v>1935</v>
      </c>
      <c r="J2851" t="s">
        <v>1954</v>
      </c>
      <c r="K2851" s="8">
        <v>30</v>
      </c>
    </row>
    <row r="2852" spans="1:11">
      <c r="A2852" t="s">
        <v>4790</v>
      </c>
      <c r="B2852" s="15">
        <v>45985</v>
      </c>
      <c r="C2852" s="4">
        <v>45962</v>
      </c>
      <c r="D2852" t="s">
        <v>44</v>
      </c>
      <c r="E2852" t="s">
        <v>21</v>
      </c>
      <c r="F2852" t="s">
        <v>46</v>
      </c>
      <c r="G2852" t="s">
        <v>234</v>
      </c>
      <c r="H2852" t="s">
        <v>5</v>
      </c>
      <c r="I2852" t="s">
        <v>1935</v>
      </c>
      <c r="J2852" t="s">
        <v>1936</v>
      </c>
      <c r="K2852" s="8">
        <v>25</v>
      </c>
    </row>
    <row r="2853" spans="1:11">
      <c r="A2853" t="s">
        <v>4791</v>
      </c>
      <c r="B2853" s="15">
        <v>45978</v>
      </c>
      <c r="C2853" s="4">
        <v>45962</v>
      </c>
      <c r="D2853" t="s">
        <v>44</v>
      </c>
      <c r="E2853" t="s">
        <v>21</v>
      </c>
      <c r="F2853" t="s">
        <v>46</v>
      </c>
      <c r="G2853" t="s">
        <v>186</v>
      </c>
      <c r="H2853" t="s">
        <v>14</v>
      </c>
      <c r="I2853" t="s">
        <v>1935</v>
      </c>
      <c r="J2853" t="s">
        <v>1936</v>
      </c>
      <c r="K2853" s="8">
        <v>15</v>
      </c>
    </row>
    <row r="2854" spans="1:11">
      <c r="A2854" t="s">
        <v>4792</v>
      </c>
      <c r="B2854" s="15">
        <v>45975</v>
      </c>
      <c r="C2854" s="4">
        <v>45962</v>
      </c>
      <c r="D2854" t="s">
        <v>44</v>
      </c>
      <c r="E2854" t="s">
        <v>21</v>
      </c>
      <c r="F2854" t="s">
        <v>46</v>
      </c>
      <c r="G2854" t="s">
        <v>234</v>
      </c>
      <c r="H2854" t="s">
        <v>5</v>
      </c>
      <c r="I2854" t="s">
        <v>1935</v>
      </c>
      <c r="J2854" t="s">
        <v>1936</v>
      </c>
      <c r="K2854" s="8">
        <v>11</v>
      </c>
    </row>
    <row r="2855" spans="1:11">
      <c r="A2855" t="s">
        <v>4793</v>
      </c>
      <c r="B2855" s="15">
        <v>45982</v>
      </c>
      <c r="C2855" s="4">
        <v>45962</v>
      </c>
      <c r="D2855" t="s">
        <v>44</v>
      </c>
      <c r="E2855" t="s">
        <v>21</v>
      </c>
      <c r="F2855" t="s">
        <v>46</v>
      </c>
      <c r="G2855" t="s">
        <v>180</v>
      </c>
      <c r="H2855" t="s">
        <v>14</v>
      </c>
      <c r="I2855" t="s">
        <v>1935</v>
      </c>
      <c r="J2855" t="s">
        <v>1936</v>
      </c>
      <c r="K2855" s="8">
        <v>25</v>
      </c>
    </row>
    <row r="2856" spans="1:11">
      <c r="A2856" t="s">
        <v>4794</v>
      </c>
      <c r="B2856" s="15">
        <v>45985</v>
      </c>
      <c r="C2856" s="4">
        <v>45962</v>
      </c>
      <c r="D2856" t="s">
        <v>44</v>
      </c>
      <c r="E2856" t="s">
        <v>21</v>
      </c>
      <c r="F2856" t="s">
        <v>46</v>
      </c>
      <c r="G2856" t="s">
        <v>180</v>
      </c>
      <c r="H2856" t="s">
        <v>14</v>
      </c>
      <c r="I2856" t="s">
        <v>1942</v>
      </c>
      <c r="J2856" t="s">
        <v>1936</v>
      </c>
      <c r="K2856" s="8">
        <v>5</v>
      </c>
    </row>
    <row r="2857" spans="1:11">
      <c r="A2857" t="s">
        <v>4795</v>
      </c>
      <c r="B2857" s="15">
        <v>45979</v>
      </c>
      <c r="C2857" s="4">
        <v>45962</v>
      </c>
      <c r="D2857" t="s">
        <v>44</v>
      </c>
      <c r="E2857" t="s">
        <v>21</v>
      </c>
      <c r="F2857" t="s">
        <v>46</v>
      </c>
      <c r="G2857" t="s">
        <v>216</v>
      </c>
      <c r="H2857" t="s">
        <v>14</v>
      </c>
      <c r="I2857" t="s">
        <v>1935</v>
      </c>
      <c r="J2857" t="s">
        <v>1936</v>
      </c>
      <c r="K2857" s="8">
        <v>14</v>
      </c>
    </row>
    <row r="2858" spans="1:11">
      <c r="A2858" t="s">
        <v>4796</v>
      </c>
      <c r="B2858" s="15">
        <v>45964</v>
      </c>
      <c r="C2858" s="4">
        <v>45962</v>
      </c>
      <c r="D2858" t="s">
        <v>44</v>
      </c>
      <c r="E2858" t="s">
        <v>21</v>
      </c>
      <c r="F2858" t="s">
        <v>46</v>
      </c>
      <c r="G2858" t="s">
        <v>180</v>
      </c>
      <c r="H2858" t="s">
        <v>14</v>
      </c>
      <c r="I2858" t="s">
        <v>1935</v>
      </c>
      <c r="J2858" t="s">
        <v>1938</v>
      </c>
      <c r="K2858" s="8">
        <v>23</v>
      </c>
    </row>
    <row r="2859" spans="1:11">
      <c r="A2859" t="s">
        <v>4797</v>
      </c>
      <c r="B2859" s="15">
        <v>45979</v>
      </c>
      <c r="C2859" s="4">
        <v>45962</v>
      </c>
      <c r="D2859" t="s">
        <v>44</v>
      </c>
      <c r="E2859" t="s">
        <v>21</v>
      </c>
      <c r="F2859" t="s">
        <v>46</v>
      </c>
      <c r="G2859" t="s">
        <v>180</v>
      </c>
      <c r="H2859" t="s">
        <v>14</v>
      </c>
      <c r="I2859" t="s">
        <v>1935</v>
      </c>
      <c r="J2859" t="s">
        <v>1938</v>
      </c>
      <c r="K2859" s="8">
        <v>12</v>
      </c>
    </row>
    <row r="2860" spans="1:11">
      <c r="A2860" t="s">
        <v>4798</v>
      </c>
      <c r="B2860" s="15">
        <v>45978</v>
      </c>
      <c r="C2860" s="4">
        <v>45962</v>
      </c>
      <c r="D2860" t="s">
        <v>47</v>
      </c>
      <c r="E2860" t="s">
        <v>21</v>
      </c>
      <c r="F2860" t="s">
        <v>49</v>
      </c>
      <c r="G2860" t="s">
        <v>230</v>
      </c>
      <c r="H2860" t="s">
        <v>8</v>
      </c>
      <c r="I2860" t="s">
        <v>1935</v>
      </c>
      <c r="J2860" t="s">
        <v>1936</v>
      </c>
      <c r="K2860" s="8">
        <v>26</v>
      </c>
    </row>
    <row r="2861" spans="1:11">
      <c r="A2861" t="s">
        <v>4799</v>
      </c>
      <c r="B2861" s="15">
        <v>45976</v>
      </c>
      <c r="C2861" s="4">
        <v>45962</v>
      </c>
      <c r="D2861" t="s">
        <v>47</v>
      </c>
      <c r="E2861" t="s">
        <v>21</v>
      </c>
      <c r="F2861" t="s">
        <v>49</v>
      </c>
      <c r="G2861" t="s">
        <v>188</v>
      </c>
      <c r="H2861" t="s">
        <v>14</v>
      </c>
      <c r="I2861" t="s">
        <v>1935</v>
      </c>
      <c r="J2861" t="s">
        <v>1936</v>
      </c>
      <c r="K2861" s="8">
        <v>10</v>
      </c>
    </row>
    <row r="2862" spans="1:11">
      <c r="A2862" t="s">
        <v>4800</v>
      </c>
      <c r="B2862" s="15">
        <v>45978</v>
      </c>
      <c r="C2862" s="4">
        <v>45962</v>
      </c>
      <c r="D2862" t="s">
        <v>47</v>
      </c>
      <c r="E2862" t="s">
        <v>21</v>
      </c>
      <c r="F2862" t="s">
        <v>49</v>
      </c>
      <c r="G2862" t="s">
        <v>212</v>
      </c>
      <c r="H2862" t="s">
        <v>14</v>
      </c>
      <c r="I2862" t="s">
        <v>1935</v>
      </c>
      <c r="J2862" t="s">
        <v>1936</v>
      </c>
      <c r="K2862" s="8">
        <v>8</v>
      </c>
    </row>
    <row r="2863" spans="1:11">
      <c r="A2863" t="s">
        <v>4801</v>
      </c>
      <c r="B2863" s="15">
        <v>45978</v>
      </c>
      <c r="C2863" s="4">
        <v>45962</v>
      </c>
      <c r="D2863" t="s">
        <v>47</v>
      </c>
      <c r="E2863" t="s">
        <v>21</v>
      </c>
      <c r="F2863" t="s">
        <v>49</v>
      </c>
      <c r="G2863" t="s">
        <v>200</v>
      </c>
      <c r="H2863" t="s">
        <v>11</v>
      </c>
      <c r="I2863" t="s">
        <v>1935</v>
      </c>
      <c r="J2863" t="s">
        <v>1936</v>
      </c>
      <c r="K2863" s="8">
        <v>23</v>
      </c>
    </row>
    <row r="2864" spans="1:11">
      <c r="A2864" t="s">
        <v>4802</v>
      </c>
      <c r="B2864" s="15">
        <v>45985</v>
      </c>
      <c r="C2864" s="4">
        <v>45962</v>
      </c>
      <c r="D2864" t="s">
        <v>47</v>
      </c>
      <c r="E2864" t="s">
        <v>21</v>
      </c>
      <c r="F2864" t="s">
        <v>49</v>
      </c>
      <c r="G2864" t="s">
        <v>170</v>
      </c>
      <c r="H2864" t="s">
        <v>8</v>
      </c>
      <c r="I2864" t="s">
        <v>1935</v>
      </c>
      <c r="J2864" t="s">
        <v>1936</v>
      </c>
      <c r="K2864" s="8">
        <v>8</v>
      </c>
    </row>
    <row r="2865" spans="1:11">
      <c r="A2865" t="s">
        <v>4803</v>
      </c>
      <c r="B2865" s="15">
        <v>45980</v>
      </c>
      <c r="C2865" s="4">
        <v>45962</v>
      </c>
      <c r="D2865" t="s">
        <v>47</v>
      </c>
      <c r="E2865" t="s">
        <v>21</v>
      </c>
      <c r="F2865" t="s">
        <v>49</v>
      </c>
      <c r="G2865" t="s">
        <v>194</v>
      </c>
      <c r="H2865" t="s">
        <v>14</v>
      </c>
      <c r="I2865" t="s">
        <v>1935</v>
      </c>
      <c r="J2865" t="s">
        <v>1936</v>
      </c>
      <c r="K2865" s="8">
        <v>15</v>
      </c>
    </row>
    <row r="2866" spans="1:11">
      <c r="A2866" t="s">
        <v>4804</v>
      </c>
      <c r="B2866" s="15">
        <v>45980</v>
      </c>
      <c r="C2866" s="4">
        <v>45962</v>
      </c>
      <c r="D2866" t="s">
        <v>47</v>
      </c>
      <c r="E2866" t="s">
        <v>21</v>
      </c>
      <c r="F2866" t="s">
        <v>49</v>
      </c>
      <c r="G2866" t="s">
        <v>218</v>
      </c>
      <c r="H2866" t="s">
        <v>14</v>
      </c>
      <c r="I2866" t="s">
        <v>1935</v>
      </c>
      <c r="J2866" t="s">
        <v>1936</v>
      </c>
      <c r="K2866" s="8">
        <v>11</v>
      </c>
    </row>
    <row r="2867" spans="1:11">
      <c r="A2867" t="s">
        <v>4805</v>
      </c>
      <c r="B2867" s="15">
        <v>45962</v>
      </c>
      <c r="C2867" s="4">
        <v>45962</v>
      </c>
      <c r="D2867" t="s">
        <v>47</v>
      </c>
      <c r="E2867" t="s">
        <v>21</v>
      </c>
      <c r="F2867" t="s">
        <v>49</v>
      </c>
      <c r="G2867" t="s">
        <v>218</v>
      </c>
      <c r="H2867" t="s">
        <v>14</v>
      </c>
      <c r="I2867" t="s">
        <v>1935</v>
      </c>
      <c r="J2867" t="s">
        <v>1936</v>
      </c>
      <c r="K2867" s="8">
        <v>32</v>
      </c>
    </row>
    <row r="2868" spans="1:11">
      <c r="A2868" t="s">
        <v>4806</v>
      </c>
      <c r="B2868" s="15">
        <v>45986</v>
      </c>
      <c r="C2868" s="4">
        <v>45962</v>
      </c>
      <c r="D2868" t="s">
        <v>47</v>
      </c>
      <c r="E2868" t="s">
        <v>21</v>
      </c>
      <c r="F2868" t="s">
        <v>49</v>
      </c>
      <c r="G2868" t="s">
        <v>218</v>
      </c>
      <c r="H2868" t="s">
        <v>14</v>
      </c>
      <c r="I2868" t="s">
        <v>1935</v>
      </c>
      <c r="J2868" t="s">
        <v>1936</v>
      </c>
      <c r="K2868" s="8">
        <v>35</v>
      </c>
    </row>
    <row r="2869" spans="1:11">
      <c r="A2869" t="s">
        <v>4807</v>
      </c>
      <c r="B2869" s="15">
        <v>45962</v>
      </c>
      <c r="C2869" s="4">
        <v>45962</v>
      </c>
      <c r="D2869" t="s">
        <v>47</v>
      </c>
      <c r="E2869" t="s">
        <v>21</v>
      </c>
      <c r="F2869" t="s">
        <v>49</v>
      </c>
      <c r="G2869" t="s">
        <v>218</v>
      </c>
      <c r="H2869" t="s">
        <v>14</v>
      </c>
      <c r="I2869" t="s">
        <v>1935</v>
      </c>
      <c r="J2869" t="s">
        <v>1936</v>
      </c>
      <c r="K2869" s="8">
        <v>9</v>
      </c>
    </row>
    <row r="2870" spans="1:11">
      <c r="A2870" t="s">
        <v>4808</v>
      </c>
      <c r="B2870" s="15">
        <v>45965</v>
      </c>
      <c r="C2870" s="4">
        <v>45962</v>
      </c>
      <c r="D2870" t="s">
        <v>50</v>
      </c>
      <c r="E2870" t="s">
        <v>23</v>
      </c>
      <c r="F2870" t="s">
        <v>52</v>
      </c>
      <c r="G2870" t="s">
        <v>244</v>
      </c>
      <c r="H2870" t="s">
        <v>11</v>
      </c>
      <c r="I2870" t="s">
        <v>1935</v>
      </c>
      <c r="J2870" t="s">
        <v>1936</v>
      </c>
      <c r="K2870" s="8">
        <v>19</v>
      </c>
    </row>
    <row r="2871" spans="1:11">
      <c r="A2871" t="s">
        <v>4809</v>
      </c>
      <c r="B2871" s="15">
        <v>45983</v>
      </c>
      <c r="C2871" s="4">
        <v>45962</v>
      </c>
      <c r="D2871" t="s">
        <v>50</v>
      </c>
      <c r="E2871" t="s">
        <v>23</v>
      </c>
      <c r="F2871" t="s">
        <v>52</v>
      </c>
      <c r="G2871" t="s">
        <v>244</v>
      </c>
      <c r="H2871" t="s">
        <v>8</v>
      </c>
      <c r="I2871" t="s">
        <v>1935</v>
      </c>
      <c r="J2871" t="s">
        <v>1938</v>
      </c>
      <c r="K2871" s="8">
        <v>14</v>
      </c>
    </row>
    <row r="2872" spans="1:11">
      <c r="A2872" t="s">
        <v>4810</v>
      </c>
      <c r="B2872" s="15">
        <v>45963</v>
      </c>
      <c r="C2872" s="4">
        <v>45962</v>
      </c>
      <c r="D2872" t="s">
        <v>50</v>
      </c>
      <c r="E2872" t="s">
        <v>23</v>
      </c>
      <c r="F2872" t="s">
        <v>52</v>
      </c>
      <c r="G2872" t="s">
        <v>274</v>
      </c>
      <c r="H2872" t="s">
        <v>11</v>
      </c>
      <c r="I2872" t="s">
        <v>1935</v>
      </c>
      <c r="J2872" t="s">
        <v>1936</v>
      </c>
      <c r="K2872" s="8">
        <v>11</v>
      </c>
    </row>
    <row r="2873" spans="1:11">
      <c r="A2873" t="s">
        <v>4811</v>
      </c>
      <c r="B2873" s="15">
        <v>45977</v>
      </c>
      <c r="C2873" s="4">
        <v>45962</v>
      </c>
      <c r="D2873" t="s">
        <v>50</v>
      </c>
      <c r="E2873" t="s">
        <v>23</v>
      </c>
      <c r="F2873" t="s">
        <v>52</v>
      </c>
      <c r="G2873" t="s">
        <v>310</v>
      </c>
      <c r="H2873" t="s">
        <v>11</v>
      </c>
      <c r="I2873" t="s">
        <v>1935</v>
      </c>
      <c r="J2873" t="s">
        <v>1938</v>
      </c>
      <c r="K2873" s="8">
        <v>30</v>
      </c>
    </row>
    <row r="2874" spans="1:11">
      <c r="A2874" t="s">
        <v>4812</v>
      </c>
      <c r="B2874" s="15">
        <v>45985</v>
      </c>
      <c r="C2874" s="4">
        <v>45962</v>
      </c>
      <c r="D2874" t="s">
        <v>50</v>
      </c>
      <c r="E2874" t="s">
        <v>23</v>
      </c>
      <c r="F2874" t="s">
        <v>52</v>
      </c>
      <c r="G2874" t="s">
        <v>256</v>
      </c>
      <c r="H2874" t="s">
        <v>5</v>
      </c>
      <c r="I2874" t="s">
        <v>1935</v>
      </c>
      <c r="J2874" t="s">
        <v>1954</v>
      </c>
      <c r="K2874" s="8">
        <v>27</v>
      </c>
    </row>
    <row r="2875" spans="1:11">
      <c r="A2875" t="s">
        <v>4813</v>
      </c>
      <c r="B2875" s="15">
        <v>45990</v>
      </c>
      <c r="C2875" s="4">
        <v>45962</v>
      </c>
      <c r="D2875" t="s">
        <v>50</v>
      </c>
      <c r="E2875" t="s">
        <v>23</v>
      </c>
      <c r="F2875" t="s">
        <v>52</v>
      </c>
      <c r="G2875" t="s">
        <v>304</v>
      </c>
      <c r="H2875" t="s">
        <v>5</v>
      </c>
      <c r="I2875" t="s">
        <v>1935</v>
      </c>
      <c r="J2875" t="s">
        <v>1936</v>
      </c>
      <c r="K2875" s="8">
        <v>25</v>
      </c>
    </row>
    <row r="2876" spans="1:11">
      <c r="A2876" t="s">
        <v>4814</v>
      </c>
      <c r="B2876" s="15">
        <v>45977</v>
      </c>
      <c r="C2876" s="4">
        <v>45962</v>
      </c>
      <c r="D2876" t="s">
        <v>50</v>
      </c>
      <c r="E2876" t="s">
        <v>23</v>
      </c>
      <c r="F2876" t="s">
        <v>52</v>
      </c>
      <c r="G2876" t="s">
        <v>262</v>
      </c>
      <c r="H2876" t="s">
        <v>11</v>
      </c>
      <c r="I2876" t="s">
        <v>1935</v>
      </c>
      <c r="J2876" t="s">
        <v>1936</v>
      </c>
      <c r="K2876" s="8">
        <v>14</v>
      </c>
    </row>
    <row r="2877" spans="1:11">
      <c r="A2877" t="s">
        <v>4815</v>
      </c>
      <c r="B2877" s="15">
        <v>45969</v>
      </c>
      <c r="C2877" s="4">
        <v>45962</v>
      </c>
      <c r="D2877" t="s">
        <v>50</v>
      </c>
      <c r="E2877" t="s">
        <v>23</v>
      </c>
      <c r="F2877" t="s">
        <v>52</v>
      </c>
      <c r="G2877" t="s">
        <v>274</v>
      </c>
      <c r="H2877" t="s">
        <v>11</v>
      </c>
      <c r="I2877" t="s">
        <v>1935</v>
      </c>
      <c r="J2877" t="s">
        <v>1936</v>
      </c>
      <c r="K2877" s="8">
        <v>19</v>
      </c>
    </row>
    <row r="2878" spans="1:11">
      <c r="A2878" t="s">
        <v>4816</v>
      </c>
      <c r="B2878" s="15">
        <v>45967</v>
      </c>
      <c r="C2878" s="4">
        <v>45962</v>
      </c>
      <c r="D2878" t="s">
        <v>50</v>
      </c>
      <c r="E2878" t="s">
        <v>23</v>
      </c>
      <c r="F2878" t="s">
        <v>52</v>
      </c>
      <c r="G2878" t="s">
        <v>274</v>
      </c>
      <c r="H2878" t="s">
        <v>8</v>
      </c>
      <c r="I2878" t="s">
        <v>1935</v>
      </c>
      <c r="J2878" t="s">
        <v>1936</v>
      </c>
      <c r="K2878" s="8">
        <v>33</v>
      </c>
    </row>
    <row r="2879" spans="1:11">
      <c r="A2879" t="s">
        <v>4817</v>
      </c>
      <c r="B2879" s="15">
        <v>45963</v>
      </c>
      <c r="C2879" s="4">
        <v>45962</v>
      </c>
      <c r="D2879" t="s">
        <v>50</v>
      </c>
      <c r="E2879" t="s">
        <v>23</v>
      </c>
      <c r="F2879" t="s">
        <v>52</v>
      </c>
      <c r="G2879" t="s">
        <v>292</v>
      </c>
      <c r="H2879" t="s">
        <v>8</v>
      </c>
      <c r="I2879" t="s">
        <v>1935</v>
      </c>
      <c r="J2879" t="s">
        <v>1936</v>
      </c>
      <c r="K2879" s="8">
        <v>22</v>
      </c>
    </row>
    <row r="2880" spans="1:11">
      <c r="A2880" t="s">
        <v>4818</v>
      </c>
      <c r="B2880" s="15">
        <v>45982</v>
      </c>
      <c r="C2880" s="4">
        <v>45962</v>
      </c>
      <c r="D2880" t="s">
        <v>53</v>
      </c>
      <c r="E2880" t="s">
        <v>23</v>
      </c>
      <c r="F2880" t="s">
        <v>55</v>
      </c>
      <c r="G2880" t="s">
        <v>258</v>
      </c>
      <c r="H2880" t="s">
        <v>5</v>
      </c>
      <c r="I2880" t="s">
        <v>1935</v>
      </c>
      <c r="J2880" t="s">
        <v>1954</v>
      </c>
      <c r="K2880" s="8">
        <v>29</v>
      </c>
    </row>
    <row r="2881" spans="1:11">
      <c r="A2881" t="s">
        <v>4819</v>
      </c>
      <c r="B2881" s="15">
        <v>45965</v>
      </c>
      <c r="C2881" s="4">
        <v>45962</v>
      </c>
      <c r="D2881" t="s">
        <v>53</v>
      </c>
      <c r="E2881" t="s">
        <v>23</v>
      </c>
      <c r="F2881" t="s">
        <v>55</v>
      </c>
      <c r="G2881" t="s">
        <v>306</v>
      </c>
      <c r="H2881" t="s">
        <v>8</v>
      </c>
      <c r="I2881" t="s">
        <v>1935</v>
      </c>
      <c r="J2881" t="s">
        <v>1936</v>
      </c>
      <c r="K2881" s="8">
        <v>20</v>
      </c>
    </row>
    <row r="2882" spans="1:11">
      <c r="A2882" t="s">
        <v>4820</v>
      </c>
      <c r="B2882" s="15">
        <v>45989</v>
      </c>
      <c r="C2882" s="4">
        <v>45962</v>
      </c>
      <c r="D2882" t="s">
        <v>53</v>
      </c>
      <c r="E2882" t="s">
        <v>23</v>
      </c>
      <c r="F2882" t="s">
        <v>55</v>
      </c>
      <c r="G2882" t="s">
        <v>264</v>
      </c>
      <c r="H2882" t="s">
        <v>14</v>
      </c>
      <c r="I2882" t="s">
        <v>1942</v>
      </c>
      <c r="J2882" t="s">
        <v>1936</v>
      </c>
      <c r="K2882" s="8">
        <v>7</v>
      </c>
    </row>
    <row r="2883" spans="1:11">
      <c r="A2883" t="s">
        <v>4821</v>
      </c>
      <c r="B2883" s="15">
        <v>45969</v>
      </c>
      <c r="C2883" s="4">
        <v>45962</v>
      </c>
      <c r="D2883" t="s">
        <v>53</v>
      </c>
      <c r="E2883" t="s">
        <v>23</v>
      </c>
      <c r="F2883" t="s">
        <v>55</v>
      </c>
      <c r="G2883" t="s">
        <v>312</v>
      </c>
      <c r="H2883" t="s">
        <v>5</v>
      </c>
      <c r="I2883" t="s">
        <v>1935</v>
      </c>
      <c r="J2883" t="s">
        <v>1936</v>
      </c>
      <c r="K2883" s="8">
        <v>17</v>
      </c>
    </row>
    <row r="2884" spans="1:11">
      <c r="A2884" t="s">
        <v>4822</v>
      </c>
      <c r="B2884" s="15">
        <v>45976</v>
      </c>
      <c r="C2884" s="4">
        <v>45962</v>
      </c>
      <c r="D2884" t="s">
        <v>53</v>
      </c>
      <c r="E2884" t="s">
        <v>23</v>
      </c>
      <c r="F2884" t="s">
        <v>55</v>
      </c>
      <c r="G2884" t="s">
        <v>294</v>
      </c>
      <c r="H2884" t="s">
        <v>8</v>
      </c>
      <c r="I2884" t="s">
        <v>1935</v>
      </c>
      <c r="J2884" t="s">
        <v>1936</v>
      </c>
      <c r="K2884" s="8">
        <v>19</v>
      </c>
    </row>
    <row r="2885" spans="1:11">
      <c r="A2885" t="s">
        <v>4823</v>
      </c>
      <c r="B2885" s="15">
        <v>45972</v>
      </c>
      <c r="C2885" s="4">
        <v>45962</v>
      </c>
      <c r="D2885" t="s">
        <v>53</v>
      </c>
      <c r="E2885" t="s">
        <v>23</v>
      </c>
      <c r="F2885" t="s">
        <v>55</v>
      </c>
      <c r="G2885" t="s">
        <v>252</v>
      </c>
      <c r="H2885" t="s">
        <v>5</v>
      </c>
      <c r="I2885" t="s">
        <v>1935</v>
      </c>
      <c r="J2885" t="s">
        <v>1936</v>
      </c>
      <c r="K2885" s="8">
        <v>14</v>
      </c>
    </row>
    <row r="2886" spans="1:11">
      <c r="A2886" t="s">
        <v>4824</v>
      </c>
      <c r="B2886" s="15">
        <v>45967</v>
      </c>
      <c r="C2886" s="4">
        <v>45962</v>
      </c>
      <c r="D2886" t="s">
        <v>53</v>
      </c>
      <c r="E2886" t="s">
        <v>23</v>
      </c>
      <c r="F2886" t="s">
        <v>55</v>
      </c>
      <c r="G2886" t="s">
        <v>252</v>
      </c>
      <c r="H2886" t="s">
        <v>5</v>
      </c>
      <c r="I2886" t="s">
        <v>1935</v>
      </c>
      <c r="J2886" t="s">
        <v>1936</v>
      </c>
      <c r="K2886" s="8">
        <v>19</v>
      </c>
    </row>
    <row r="2887" spans="1:11">
      <c r="A2887" t="s">
        <v>4825</v>
      </c>
      <c r="B2887" s="15">
        <v>45971</v>
      </c>
      <c r="C2887" s="4">
        <v>45962</v>
      </c>
      <c r="D2887" t="s">
        <v>53</v>
      </c>
      <c r="E2887" t="s">
        <v>23</v>
      </c>
      <c r="F2887" t="s">
        <v>55</v>
      </c>
      <c r="G2887" t="s">
        <v>312</v>
      </c>
      <c r="H2887" t="s">
        <v>5</v>
      </c>
      <c r="I2887" t="s">
        <v>1935</v>
      </c>
      <c r="J2887" t="s">
        <v>1936</v>
      </c>
      <c r="K2887" s="8">
        <v>32</v>
      </c>
    </row>
    <row r="2888" spans="1:11">
      <c r="A2888" t="s">
        <v>4826</v>
      </c>
      <c r="B2888" s="15">
        <v>45984</v>
      </c>
      <c r="C2888" s="4">
        <v>45962</v>
      </c>
      <c r="D2888" t="s">
        <v>53</v>
      </c>
      <c r="E2888" t="s">
        <v>23</v>
      </c>
      <c r="F2888" t="s">
        <v>55</v>
      </c>
      <c r="G2888" t="s">
        <v>264</v>
      </c>
      <c r="H2888" t="s">
        <v>5</v>
      </c>
      <c r="I2888" t="s">
        <v>1935</v>
      </c>
      <c r="J2888" t="s">
        <v>1938</v>
      </c>
      <c r="K2888" s="8">
        <v>26</v>
      </c>
    </row>
    <row r="2889" spans="1:11">
      <c r="A2889" t="s">
        <v>4827</v>
      </c>
      <c r="B2889" s="15">
        <v>45978</v>
      </c>
      <c r="C2889" s="4">
        <v>45962</v>
      </c>
      <c r="D2889" t="s">
        <v>53</v>
      </c>
      <c r="E2889" t="s">
        <v>23</v>
      </c>
      <c r="F2889" t="s">
        <v>55</v>
      </c>
      <c r="G2889" t="s">
        <v>306</v>
      </c>
      <c r="H2889" t="s">
        <v>8</v>
      </c>
      <c r="I2889" t="s">
        <v>1935</v>
      </c>
      <c r="J2889" t="s">
        <v>1936</v>
      </c>
      <c r="K2889" s="8">
        <v>21</v>
      </c>
    </row>
    <row r="2890" spans="1:11">
      <c r="A2890" t="s">
        <v>4828</v>
      </c>
      <c r="B2890" s="15">
        <v>45985</v>
      </c>
      <c r="C2890" s="4">
        <v>45962</v>
      </c>
      <c r="D2890" t="s">
        <v>56</v>
      </c>
      <c r="E2890" t="s">
        <v>23</v>
      </c>
      <c r="F2890" t="s">
        <v>58</v>
      </c>
      <c r="G2890" t="s">
        <v>308</v>
      </c>
      <c r="H2890" t="s">
        <v>8</v>
      </c>
      <c r="I2890" t="s">
        <v>1935</v>
      </c>
      <c r="J2890" t="s">
        <v>1936</v>
      </c>
      <c r="K2890" s="8">
        <v>17</v>
      </c>
    </row>
    <row r="2891" spans="1:11">
      <c r="A2891" t="s">
        <v>4829</v>
      </c>
      <c r="B2891" s="15">
        <v>45981</v>
      </c>
      <c r="C2891" s="4">
        <v>45962</v>
      </c>
      <c r="D2891" t="s">
        <v>56</v>
      </c>
      <c r="E2891" t="s">
        <v>23</v>
      </c>
      <c r="F2891" t="s">
        <v>58</v>
      </c>
      <c r="G2891" t="s">
        <v>242</v>
      </c>
      <c r="H2891" t="s">
        <v>11</v>
      </c>
      <c r="I2891" t="s">
        <v>1942</v>
      </c>
      <c r="J2891" t="s">
        <v>1936</v>
      </c>
      <c r="K2891" s="8">
        <v>5</v>
      </c>
    </row>
    <row r="2892" spans="1:11">
      <c r="A2892" t="s">
        <v>4830</v>
      </c>
      <c r="B2892" s="15">
        <v>45982</v>
      </c>
      <c r="C2892" s="4">
        <v>45962</v>
      </c>
      <c r="D2892" t="s">
        <v>56</v>
      </c>
      <c r="E2892" t="s">
        <v>23</v>
      </c>
      <c r="F2892" t="s">
        <v>58</v>
      </c>
      <c r="G2892" t="s">
        <v>278</v>
      </c>
      <c r="H2892" t="s">
        <v>14</v>
      </c>
      <c r="I2892" t="s">
        <v>1935</v>
      </c>
      <c r="J2892" t="s">
        <v>1936</v>
      </c>
      <c r="K2892" s="8">
        <v>15</v>
      </c>
    </row>
    <row r="2893" spans="1:11">
      <c r="A2893" t="s">
        <v>4831</v>
      </c>
      <c r="B2893" s="15">
        <v>45980</v>
      </c>
      <c r="C2893" s="4">
        <v>45962</v>
      </c>
      <c r="D2893" t="s">
        <v>56</v>
      </c>
      <c r="E2893" t="s">
        <v>23</v>
      </c>
      <c r="F2893" t="s">
        <v>58</v>
      </c>
      <c r="G2893" t="s">
        <v>278</v>
      </c>
      <c r="H2893" t="s">
        <v>14</v>
      </c>
      <c r="I2893" t="s">
        <v>1935</v>
      </c>
      <c r="J2893" t="s">
        <v>1938</v>
      </c>
      <c r="K2893" s="8">
        <v>33</v>
      </c>
    </row>
    <row r="2894" spans="1:11">
      <c r="A2894" t="s">
        <v>4832</v>
      </c>
      <c r="B2894" s="15">
        <v>45983</v>
      </c>
      <c r="C2894" s="4">
        <v>45962</v>
      </c>
      <c r="D2894" t="s">
        <v>56</v>
      </c>
      <c r="E2894" t="s">
        <v>23</v>
      </c>
      <c r="F2894" t="s">
        <v>58</v>
      </c>
      <c r="G2894" t="s">
        <v>308</v>
      </c>
      <c r="H2894" t="s">
        <v>11</v>
      </c>
      <c r="I2894" t="s">
        <v>1935</v>
      </c>
      <c r="J2894" t="s">
        <v>1936</v>
      </c>
      <c r="K2894" s="8">
        <v>11</v>
      </c>
    </row>
    <row r="2895" spans="1:11">
      <c r="A2895" t="s">
        <v>4833</v>
      </c>
      <c r="B2895" s="15">
        <v>45970</v>
      </c>
      <c r="C2895" s="4">
        <v>45962</v>
      </c>
      <c r="D2895" t="s">
        <v>56</v>
      </c>
      <c r="E2895" t="s">
        <v>23</v>
      </c>
      <c r="F2895" t="s">
        <v>58</v>
      </c>
      <c r="G2895" t="s">
        <v>302</v>
      </c>
      <c r="H2895" t="s">
        <v>5</v>
      </c>
      <c r="I2895" t="s">
        <v>1942</v>
      </c>
      <c r="J2895" t="s">
        <v>1936</v>
      </c>
      <c r="K2895" s="8">
        <v>3</v>
      </c>
    </row>
    <row r="2896" spans="1:11">
      <c r="A2896" t="s">
        <v>4834</v>
      </c>
      <c r="B2896" s="15">
        <v>45971</v>
      </c>
      <c r="C2896" s="4">
        <v>45962</v>
      </c>
      <c r="D2896" t="s">
        <v>56</v>
      </c>
      <c r="E2896" t="s">
        <v>23</v>
      </c>
      <c r="F2896" t="s">
        <v>58</v>
      </c>
      <c r="G2896" t="s">
        <v>290</v>
      </c>
      <c r="H2896" t="s">
        <v>11</v>
      </c>
      <c r="I2896" t="s">
        <v>1935</v>
      </c>
      <c r="J2896" t="s">
        <v>1936</v>
      </c>
      <c r="K2896" s="8">
        <v>14</v>
      </c>
    </row>
    <row r="2897" spans="1:11">
      <c r="A2897" t="s">
        <v>4835</v>
      </c>
      <c r="B2897" s="15">
        <v>45978</v>
      </c>
      <c r="C2897" s="4">
        <v>45962</v>
      </c>
      <c r="D2897" t="s">
        <v>56</v>
      </c>
      <c r="E2897" t="s">
        <v>23</v>
      </c>
      <c r="F2897" t="s">
        <v>58</v>
      </c>
      <c r="G2897" t="s">
        <v>302</v>
      </c>
      <c r="H2897" t="s">
        <v>5</v>
      </c>
      <c r="I2897" t="s">
        <v>1935</v>
      </c>
      <c r="J2897" t="s">
        <v>1954</v>
      </c>
      <c r="K2897" s="8">
        <v>10</v>
      </c>
    </row>
    <row r="2898" spans="1:11">
      <c r="A2898" t="s">
        <v>4836</v>
      </c>
      <c r="B2898" s="15">
        <v>45965</v>
      </c>
      <c r="C2898" s="4">
        <v>45962</v>
      </c>
      <c r="D2898" t="s">
        <v>56</v>
      </c>
      <c r="E2898" t="s">
        <v>23</v>
      </c>
      <c r="F2898" t="s">
        <v>58</v>
      </c>
      <c r="G2898" t="s">
        <v>278</v>
      </c>
      <c r="H2898" t="s">
        <v>14</v>
      </c>
      <c r="I2898" t="s">
        <v>1935</v>
      </c>
      <c r="J2898" t="s">
        <v>1954</v>
      </c>
      <c r="K2898" s="8">
        <v>30</v>
      </c>
    </row>
    <row r="2899" spans="1:11">
      <c r="A2899" t="s">
        <v>4837</v>
      </c>
      <c r="B2899" s="15">
        <v>45986</v>
      </c>
      <c r="C2899" s="4">
        <v>45962</v>
      </c>
      <c r="D2899" t="s">
        <v>56</v>
      </c>
      <c r="E2899" t="s">
        <v>23</v>
      </c>
      <c r="F2899" t="s">
        <v>58</v>
      </c>
      <c r="G2899" t="s">
        <v>296</v>
      </c>
      <c r="H2899" t="s">
        <v>5</v>
      </c>
      <c r="I2899" t="s">
        <v>1935</v>
      </c>
      <c r="J2899" t="s">
        <v>1936</v>
      </c>
      <c r="K2899" s="8">
        <v>21</v>
      </c>
    </row>
    <row r="2900" spans="1:11">
      <c r="A2900" t="s">
        <v>4838</v>
      </c>
      <c r="B2900" s="15">
        <v>45991</v>
      </c>
      <c r="C2900" s="4">
        <v>45962</v>
      </c>
      <c r="D2900" t="s">
        <v>56</v>
      </c>
      <c r="E2900" t="s">
        <v>23</v>
      </c>
      <c r="F2900" t="s">
        <v>58</v>
      </c>
      <c r="G2900" t="s">
        <v>242</v>
      </c>
      <c r="H2900" t="s">
        <v>11</v>
      </c>
      <c r="I2900" t="s">
        <v>1935</v>
      </c>
      <c r="J2900" t="s">
        <v>1938</v>
      </c>
      <c r="K2900" s="8">
        <v>8</v>
      </c>
    </row>
    <row r="2901" spans="1:11">
      <c r="A2901" t="s">
        <v>4839</v>
      </c>
      <c r="B2901" s="15">
        <v>45968</v>
      </c>
      <c r="C2901" s="4">
        <v>45962</v>
      </c>
      <c r="D2901" t="s">
        <v>56</v>
      </c>
      <c r="E2901" t="s">
        <v>23</v>
      </c>
      <c r="F2901" t="s">
        <v>58</v>
      </c>
      <c r="G2901" t="s">
        <v>266</v>
      </c>
      <c r="H2901" t="s">
        <v>14</v>
      </c>
      <c r="I2901" t="s">
        <v>1935</v>
      </c>
      <c r="J2901" t="s">
        <v>1936</v>
      </c>
      <c r="K2901" s="8">
        <v>17</v>
      </c>
    </row>
    <row r="2902" spans="1:11">
      <c r="A2902" t="s">
        <v>4840</v>
      </c>
      <c r="B2902" s="15">
        <v>45970</v>
      </c>
      <c r="C2902" s="4">
        <v>45962</v>
      </c>
      <c r="D2902" t="s">
        <v>56</v>
      </c>
      <c r="E2902" t="s">
        <v>23</v>
      </c>
      <c r="F2902" t="s">
        <v>58</v>
      </c>
      <c r="G2902" t="s">
        <v>290</v>
      </c>
      <c r="H2902" t="s">
        <v>11</v>
      </c>
      <c r="I2902" t="s">
        <v>1935</v>
      </c>
      <c r="J2902" t="s">
        <v>1954</v>
      </c>
      <c r="K2902" s="8">
        <v>24</v>
      </c>
    </row>
    <row r="2903" spans="1:11">
      <c r="A2903" t="s">
        <v>4841</v>
      </c>
      <c r="B2903" s="15">
        <v>45982</v>
      </c>
      <c r="C2903" s="4">
        <v>45962</v>
      </c>
      <c r="D2903" t="s">
        <v>59</v>
      </c>
      <c r="E2903" t="s">
        <v>25</v>
      </c>
      <c r="F2903" t="s">
        <v>61</v>
      </c>
      <c r="G2903" t="s">
        <v>344</v>
      </c>
      <c r="H2903" t="s">
        <v>8</v>
      </c>
      <c r="I2903" t="s">
        <v>1935</v>
      </c>
      <c r="J2903" t="s">
        <v>1936</v>
      </c>
      <c r="K2903" s="8">
        <v>11</v>
      </c>
    </row>
    <row r="2904" spans="1:11">
      <c r="A2904" t="s">
        <v>4842</v>
      </c>
      <c r="B2904" s="15">
        <v>45987</v>
      </c>
      <c r="C2904" s="4">
        <v>45962</v>
      </c>
      <c r="D2904" t="s">
        <v>59</v>
      </c>
      <c r="E2904" t="s">
        <v>25</v>
      </c>
      <c r="F2904" t="s">
        <v>61</v>
      </c>
      <c r="G2904" t="s">
        <v>362</v>
      </c>
      <c r="H2904" t="s">
        <v>14</v>
      </c>
      <c r="I2904" t="s">
        <v>1935</v>
      </c>
      <c r="J2904" t="s">
        <v>1936</v>
      </c>
      <c r="K2904" s="8">
        <v>15</v>
      </c>
    </row>
    <row r="2905" spans="1:11">
      <c r="A2905" t="s">
        <v>4843</v>
      </c>
      <c r="B2905" s="15">
        <v>45975</v>
      </c>
      <c r="C2905" s="4">
        <v>45962</v>
      </c>
      <c r="D2905" t="s">
        <v>59</v>
      </c>
      <c r="E2905" t="s">
        <v>25</v>
      </c>
      <c r="F2905" t="s">
        <v>61</v>
      </c>
      <c r="G2905" t="s">
        <v>368</v>
      </c>
      <c r="H2905" t="s">
        <v>5</v>
      </c>
      <c r="I2905" t="s">
        <v>1935</v>
      </c>
      <c r="J2905" t="s">
        <v>1936</v>
      </c>
      <c r="K2905" s="8">
        <v>14</v>
      </c>
    </row>
    <row r="2906" spans="1:11">
      <c r="A2906" t="s">
        <v>4844</v>
      </c>
      <c r="B2906" s="15">
        <v>45990</v>
      </c>
      <c r="C2906" s="4">
        <v>45962</v>
      </c>
      <c r="D2906" t="s">
        <v>59</v>
      </c>
      <c r="E2906" t="s">
        <v>25</v>
      </c>
      <c r="F2906" t="s">
        <v>61</v>
      </c>
      <c r="G2906" t="s">
        <v>380</v>
      </c>
      <c r="H2906" t="s">
        <v>11</v>
      </c>
      <c r="I2906" t="s">
        <v>1942</v>
      </c>
      <c r="J2906" t="s">
        <v>1936</v>
      </c>
      <c r="K2906" s="8">
        <v>7</v>
      </c>
    </row>
    <row r="2907" spans="1:11">
      <c r="A2907" t="s">
        <v>4845</v>
      </c>
      <c r="B2907" s="15">
        <v>45989</v>
      </c>
      <c r="C2907" s="4">
        <v>45962</v>
      </c>
      <c r="D2907" t="s">
        <v>59</v>
      </c>
      <c r="E2907" t="s">
        <v>25</v>
      </c>
      <c r="F2907" t="s">
        <v>61</v>
      </c>
      <c r="G2907" t="s">
        <v>368</v>
      </c>
      <c r="H2907" t="s">
        <v>14</v>
      </c>
      <c r="I2907" t="s">
        <v>1935</v>
      </c>
      <c r="J2907" t="s">
        <v>1936</v>
      </c>
      <c r="K2907" s="8">
        <v>20</v>
      </c>
    </row>
    <row r="2908" spans="1:11">
      <c r="A2908" t="s">
        <v>4846</v>
      </c>
      <c r="B2908" s="15">
        <v>45987</v>
      </c>
      <c r="C2908" s="4">
        <v>45962</v>
      </c>
      <c r="D2908" t="s">
        <v>59</v>
      </c>
      <c r="E2908" t="s">
        <v>25</v>
      </c>
      <c r="F2908" t="s">
        <v>61</v>
      </c>
      <c r="G2908" t="s">
        <v>344</v>
      </c>
      <c r="H2908" t="s">
        <v>8</v>
      </c>
      <c r="I2908" t="s">
        <v>1942</v>
      </c>
      <c r="J2908" t="s">
        <v>1936</v>
      </c>
      <c r="K2908" s="8">
        <v>6</v>
      </c>
    </row>
    <row r="2909" spans="1:11">
      <c r="A2909" t="s">
        <v>4847</v>
      </c>
      <c r="B2909" s="15">
        <v>45976</v>
      </c>
      <c r="C2909" s="4">
        <v>45962</v>
      </c>
      <c r="D2909" t="s">
        <v>59</v>
      </c>
      <c r="E2909" t="s">
        <v>25</v>
      </c>
      <c r="F2909" t="s">
        <v>61</v>
      </c>
      <c r="G2909" t="s">
        <v>314</v>
      </c>
      <c r="H2909" t="s">
        <v>5</v>
      </c>
      <c r="I2909" t="s">
        <v>1935</v>
      </c>
      <c r="J2909" t="s">
        <v>1936</v>
      </c>
      <c r="K2909" s="8">
        <v>10</v>
      </c>
    </row>
    <row r="2910" spans="1:11">
      <c r="A2910" t="s">
        <v>4848</v>
      </c>
      <c r="B2910" s="15">
        <v>45965</v>
      </c>
      <c r="C2910" s="4">
        <v>45962</v>
      </c>
      <c r="D2910" t="s">
        <v>59</v>
      </c>
      <c r="E2910" t="s">
        <v>25</v>
      </c>
      <c r="F2910" t="s">
        <v>61</v>
      </c>
      <c r="G2910" t="s">
        <v>368</v>
      </c>
      <c r="H2910" t="s">
        <v>14</v>
      </c>
      <c r="I2910" t="s">
        <v>1935</v>
      </c>
      <c r="J2910" t="s">
        <v>1936</v>
      </c>
      <c r="K2910" s="8">
        <v>22</v>
      </c>
    </row>
    <row r="2911" spans="1:11">
      <c r="A2911" t="s">
        <v>4849</v>
      </c>
      <c r="B2911" s="15">
        <v>45971</v>
      </c>
      <c r="C2911" s="4">
        <v>45962</v>
      </c>
      <c r="D2911" t="s">
        <v>59</v>
      </c>
      <c r="E2911" t="s">
        <v>25</v>
      </c>
      <c r="F2911" t="s">
        <v>61</v>
      </c>
      <c r="G2911" t="s">
        <v>320</v>
      </c>
      <c r="H2911" t="s">
        <v>5</v>
      </c>
      <c r="I2911" t="s">
        <v>1935</v>
      </c>
      <c r="J2911" t="s">
        <v>1936</v>
      </c>
      <c r="K2911" s="8">
        <v>24</v>
      </c>
    </row>
    <row r="2912" spans="1:11">
      <c r="A2912" t="s">
        <v>4850</v>
      </c>
      <c r="B2912" s="15">
        <v>45962</v>
      </c>
      <c r="C2912" s="4">
        <v>45962</v>
      </c>
      <c r="D2912" t="s">
        <v>59</v>
      </c>
      <c r="E2912" t="s">
        <v>25</v>
      </c>
      <c r="F2912" t="s">
        <v>61</v>
      </c>
      <c r="G2912" t="s">
        <v>380</v>
      </c>
      <c r="H2912" t="s">
        <v>11</v>
      </c>
      <c r="I2912" t="s">
        <v>1935</v>
      </c>
      <c r="J2912" t="s">
        <v>1954</v>
      </c>
      <c r="K2912" s="8">
        <v>23</v>
      </c>
    </row>
    <row r="2913" spans="1:11">
      <c r="A2913" t="s">
        <v>4851</v>
      </c>
      <c r="B2913" s="15">
        <v>45970</v>
      </c>
      <c r="C2913" s="4">
        <v>45962</v>
      </c>
      <c r="D2913" t="s">
        <v>59</v>
      </c>
      <c r="E2913" t="s">
        <v>25</v>
      </c>
      <c r="F2913" t="s">
        <v>61</v>
      </c>
      <c r="G2913" t="s">
        <v>350</v>
      </c>
      <c r="H2913" t="s">
        <v>11</v>
      </c>
      <c r="I2913" t="s">
        <v>1935</v>
      </c>
      <c r="J2913" t="s">
        <v>1936</v>
      </c>
      <c r="K2913" s="8">
        <v>9</v>
      </c>
    </row>
    <row r="2914" spans="1:11">
      <c r="A2914" t="s">
        <v>4852</v>
      </c>
      <c r="B2914" s="15">
        <v>45980</v>
      </c>
      <c r="C2914" s="4">
        <v>45962</v>
      </c>
      <c r="D2914" t="s">
        <v>59</v>
      </c>
      <c r="E2914" t="s">
        <v>25</v>
      </c>
      <c r="F2914" t="s">
        <v>61</v>
      </c>
      <c r="G2914" t="s">
        <v>326</v>
      </c>
      <c r="H2914" t="s">
        <v>5</v>
      </c>
      <c r="I2914" t="s">
        <v>1935</v>
      </c>
      <c r="J2914" t="s">
        <v>1954</v>
      </c>
      <c r="K2914" s="8">
        <v>15</v>
      </c>
    </row>
    <row r="2915" spans="1:11">
      <c r="A2915" t="s">
        <v>4853</v>
      </c>
      <c r="B2915" s="15">
        <v>45978</v>
      </c>
      <c r="C2915" s="4">
        <v>45962</v>
      </c>
      <c r="D2915" t="s">
        <v>62</v>
      </c>
      <c r="E2915" t="s">
        <v>25</v>
      </c>
      <c r="F2915" t="s">
        <v>64</v>
      </c>
      <c r="G2915" t="s">
        <v>352</v>
      </c>
      <c r="H2915" t="s">
        <v>14</v>
      </c>
      <c r="I2915" t="s">
        <v>1935</v>
      </c>
      <c r="J2915" t="s">
        <v>1936</v>
      </c>
      <c r="K2915" s="8">
        <v>18</v>
      </c>
    </row>
    <row r="2916" spans="1:11">
      <c r="A2916" t="s">
        <v>4854</v>
      </c>
      <c r="B2916" s="15">
        <v>45988</v>
      </c>
      <c r="C2916" s="4">
        <v>45962</v>
      </c>
      <c r="D2916" t="s">
        <v>62</v>
      </c>
      <c r="E2916" t="s">
        <v>25</v>
      </c>
      <c r="F2916" t="s">
        <v>64</v>
      </c>
      <c r="G2916" t="s">
        <v>334</v>
      </c>
      <c r="H2916" t="s">
        <v>11</v>
      </c>
      <c r="I2916" t="s">
        <v>1935</v>
      </c>
      <c r="J2916" t="s">
        <v>1938</v>
      </c>
      <c r="K2916" s="8">
        <v>11</v>
      </c>
    </row>
    <row r="2917" spans="1:11">
      <c r="A2917" t="s">
        <v>4855</v>
      </c>
      <c r="B2917" s="15">
        <v>45963</v>
      </c>
      <c r="C2917" s="4">
        <v>45962</v>
      </c>
      <c r="D2917" t="s">
        <v>62</v>
      </c>
      <c r="E2917" t="s">
        <v>25</v>
      </c>
      <c r="F2917" t="s">
        <v>64</v>
      </c>
      <c r="G2917" t="s">
        <v>316</v>
      </c>
      <c r="H2917" t="s">
        <v>8</v>
      </c>
      <c r="I2917" t="s">
        <v>1935</v>
      </c>
      <c r="J2917" t="s">
        <v>1936</v>
      </c>
      <c r="K2917" s="8">
        <v>14</v>
      </c>
    </row>
    <row r="2918" spans="1:11">
      <c r="A2918" t="s">
        <v>4856</v>
      </c>
      <c r="B2918" s="15">
        <v>45971</v>
      </c>
      <c r="C2918" s="4">
        <v>45962</v>
      </c>
      <c r="D2918" t="s">
        <v>62</v>
      </c>
      <c r="E2918" t="s">
        <v>25</v>
      </c>
      <c r="F2918" t="s">
        <v>64</v>
      </c>
      <c r="G2918" t="s">
        <v>328</v>
      </c>
      <c r="H2918" t="s">
        <v>8</v>
      </c>
      <c r="I2918" t="s">
        <v>1935</v>
      </c>
      <c r="J2918" t="s">
        <v>1938</v>
      </c>
      <c r="K2918" s="8">
        <v>14</v>
      </c>
    </row>
    <row r="2919" spans="1:11">
      <c r="A2919" t="s">
        <v>4857</v>
      </c>
      <c r="B2919" s="15">
        <v>45989</v>
      </c>
      <c r="C2919" s="4">
        <v>45962</v>
      </c>
      <c r="D2919" t="s">
        <v>62</v>
      </c>
      <c r="E2919" t="s">
        <v>25</v>
      </c>
      <c r="F2919" t="s">
        <v>64</v>
      </c>
      <c r="G2919" t="s">
        <v>328</v>
      </c>
      <c r="H2919" t="s">
        <v>11</v>
      </c>
      <c r="I2919" t="s">
        <v>1935</v>
      </c>
      <c r="J2919" t="s">
        <v>1936</v>
      </c>
      <c r="K2919" s="8">
        <v>32</v>
      </c>
    </row>
    <row r="2920" spans="1:11">
      <c r="A2920" t="s">
        <v>4858</v>
      </c>
      <c r="B2920" s="15">
        <v>45964</v>
      </c>
      <c r="C2920" s="4">
        <v>45962</v>
      </c>
      <c r="D2920" t="s">
        <v>62</v>
      </c>
      <c r="E2920" t="s">
        <v>25</v>
      </c>
      <c r="F2920" t="s">
        <v>64</v>
      </c>
      <c r="G2920" t="s">
        <v>370</v>
      </c>
      <c r="H2920" t="s">
        <v>5</v>
      </c>
      <c r="I2920" t="s">
        <v>1935</v>
      </c>
      <c r="J2920" t="s">
        <v>1936</v>
      </c>
      <c r="K2920" s="8">
        <v>28</v>
      </c>
    </row>
    <row r="2921" spans="1:11">
      <c r="A2921" t="s">
        <v>4859</v>
      </c>
      <c r="B2921" s="15">
        <v>45976</v>
      </c>
      <c r="C2921" s="4">
        <v>45962</v>
      </c>
      <c r="D2921" t="s">
        <v>62</v>
      </c>
      <c r="E2921" t="s">
        <v>25</v>
      </c>
      <c r="F2921" t="s">
        <v>64</v>
      </c>
      <c r="G2921" t="s">
        <v>358</v>
      </c>
      <c r="H2921" t="s">
        <v>8</v>
      </c>
      <c r="I2921" t="s">
        <v>1935</v>
      </c>
      <c r="J2921" t="s">
        <v>1936</v>
      </c>
      <c r="K2921" s="8">
        <v>20</v>
      </c>
    </row>
    <row r="2922" spans="1:11">
      <c r="A2922" t="s">
        <v>4860</v>
      </c>
      <c r="B2922" s="15">
        <v>45966</v>
      </c>
      <c r="C2922" s="4">
        <v>45962</v>
      </c>
      <c r="D2922" t="s">
        <v>62</v>
      </c>
      <c r="E2922" t="s">
        <v>25</v>
      </c>
      <c r="F2922" t="s">
        <v>64</v>
      </c>
      <c r="G2922" t="s">
        <v>364</v>
      </c>
      <c r="H2922" t="s">
        <v>14</v>
      </c>
      <c r="I2922" t="s">
        <v>1935</v>
      </c>
      <c r="J2922" t="s">
        <v>1938</v>
      </c>
      <c r="K2922" s="8">
        <v>26</v>
      </c>
    </row>
    <row r="2923" spans="1:11">
      <c r="A2923" t="s">
        <v>4861</v>
      </c>
      <c r="B2923" s="15">
        <v>45991</v>
      </c>
      <c r="C2923" s="4">
        <v>45962</v>
      </c>
      <c r="D2923" t="s">
        <v>62</v>
      </c>
      <c r="E2923" t="s">
        <v>25</v>
      </c>
      <c r="F2923" t="s">
        <v>64</v>
      </c>
      <c r="G2923" t="s">
        <v>328</v>
      </c>
      <c r="H2923" t="s">
        <v>8</v>
      </c>
      <c r="I2923" t="s">
        <v>1935</v>
      </c>
      <c r="J2923" t="s">
        <v>1936</v>
      </c>
      <c r="K2923" s="8">
        <v>20</v>
      </c>
    </row>
    <row r="2924" spans="1:11">
      <c r="A2924" t="s">
        <v>4862</v>
      </c>
      <c r="B2924" s="15">
        <v>45969</v>
      </c>
      <c r="C2924" s="4">
        <v>45962</v>
      </c>
      <c r="D2924" t="s">
        <v>62</v>
      </c>
      <c r="E2924" t="s">
        <v>25</v>
      </c>
      <c r="F2924" t="s">
        <v>64</v>
      </c>
      <c r="G2924" t="s">
        <v>370</v>
      </c>
      <c r="H2924" t="s">
        <v>8</v>
      </c>
      <c r="I2924" t="s">
        <v>1935</v>
      </c>
      <c r="J2924" t="s">
        <v>1954</v>
      </c>
      <c r="K2924" s="8">
        <v>27</v>
      </c>
    </row>
    <row r="2925" spans="1:11">
      <c r="A2925" t="s">
        <v>4863</v>
      </c>
      <c r="B2925" s="15">
        <v>45965</v>
      </c>
      <c r="C2925" s="4">
        <v>45962</v>
      </c>
      <c r="D2925" t="s">
        <v>62</v>
      </c>
      <c r="E2925" t="s">
        <v>25</v>
      </c>
      <c r="F2925" t="s">
        <v>64</v>
      </c>
      <c r="G2925" t="s">
        <v>364</v>
      </c>
      <c r="H2925" t="s">
        <v>14</v>
      </c>
      <c r="I2925" t="s">
        <v>1935</v>
      </c>
      <c r="J2925" t="s">
        <v>1936</v>
      </c>
      <c r="K2925" s="8">
        <v>14</v>
      </c>
    </row>
    <row r="2926" spans="1:11">
      <c r="A2926" t="s">
        <v>4864</v>
      </c>
      <c r="B2926" s="15">
        <v>45967</v>
      </c>
      <c r="C2926" s="4">
        <v>45962</v>
      </c>
      <c r="D2926" t="s">
        <v>65</v>
      </c>
      <c r="E2926" t="s">
        <v>25</v>
      </c>
      <c r="F2926" t="s">
        <v>67</v>
      </c>
      <c r="G2926" t="s">
        <v>348</v>
      </c>
      <c r="H2926" t="s">
        <v>11</v>
      </c>
      <c r="I2926" t="s">
        <v>1935</v>
      </c>
      <c r="J2926" t="s">
        <v>1936</v>
      </c>
      <c r="K2926" s="8">
        <v>9</v>
      </c>
    </row>
    <row r="2927" spans="1:11">
      <c r="A2927" t="s">
        <v>4865</v>
      </c>
      <c r="B2927" s="15">
        <v>45988</v>
      </c>
      <c r="C2927" s="4">
        <v>45962</v>
      </c>
      <c r="D2927" t="s">
        <v>65</v>
      </c>
      <c r="E2927" t="s">
        <v>25</v>
      </c>
      <c r="F2927" t="s">
        <v>67</v>
      </c>
      <c r="G2927" t="s">
        <v>354</v>
      </c>
      <c r="H2927" t="s">
        <v>8</v>
      </c>
      <c r="I2927" t="s">
        <v>1935</v>
      </c>
      <c r="J2927" t="s">
        <v>1938</v>
      </c>
      <c r="K2927" s="8">
        <v>12</v>
      </c>
    </row>
    <row r="2928" spans="1:11">
      <c r="A2928" t="s">
        <v>4866</v>
      </c>
      <c r="B2928" s="15">
        <v>45982</v>
      </c>
      <c r="C2928" s="4">
        <v>45962</v>
      </c>
      <c r="D2928" t="s">
        <v>65</v>
      </c>
      <c r="E2928" t="s">
        <v>25</v>
      </c>
      <c r="F2928" t="s">
        <v>67</v>
      </c>
      <c r="G2928" t="s">
        <v>318</v>
      </c>
      <c r="H2928" t="s">
        <v>14</v>
      </c>
      <c r="I2928" t="s">
        <v>1935</v>
      </c>
      <c r="J2928" t="s">
        <v>1936</v>
      </c>
      <c r="K2928" s="8">
        <v>12</v>
      </c>
    </row>
    <row r="2929" spans="1:11">
      <c r="A2929" t="s">
        <v>4867</v>
      </c>
      <c r="B2929" s="15">
        <v>45979</v>
      </c>
      <c r="C2929" s="4">
        <v>45962</v>
      </c>
      <c r="D2929" t="s">
        <v>65</v>
      </c>
      <c r="E2929" t="s">
        <v>25</v>
      </c>
      <c r="F2929" t="s">
        <v>67</v>
      </c>
      <c r="G2929" t="s">
        <v>318</v>
      </c>
      <c r="H2929" t="s">
        <v>14</v>
      </c>
      <c r="I2929" t="s">
        <v>1935</v>
      </c>
      <c r="J2929" t="s">
        <v>1936</v>
      </c>
      <c r="K2929" s="8">
        <v>25</v>
      </c>
    </row>
    <row r="2930" spans="1:11">
      <c r="A2930" t="s">
        <v>4868</v>
      </c>
      <c r="B2930" s="15">
        <v>45978</v>
      </c>
      <c r="C2930" s="4">
        <v>45962</v>
      </c>
      <c r="D2930" t="s">
        <v>65</v>
      </c>
      <c r="E2930" t="s">
        <v>25</v>
      </c>
      <c r="F2930" t="s">
        <v>67</v>
      </c>
      <c r="G2930" t="s">
        <v>318</v>
      </c>
      <c r="H2930" t="s">
        <v>14</v>
      </c>
      <c r="I2930" t="s">
        <v>1935</v>
      </c>
      <c r="J2930" t="s">
        <v>1938</v>
      </c>
      <c r="K2930" s="8">
        <v>17</v>
      </c>
    </row>
    <row r="2931" spans="1:11">
      <c r="A2931" t="s">
        <v>4869</v>
      </c>
      <c r="B2931" s="15">
        <v>45977</v>
      </c>
      <c r="C2931" s="4">
        <v>45962</v>
      </c>
      <c r="D2931" t="s">
        <v>65</v>
      </c>
      <c r="E2931" t="s">
        <v>25</v>
      </c>
      <c r="F2931" t="s">
        <v>67</v>
      </c>
      <c r="G2931" t="s">
        <v>354</v>
      </c>
      <c r="H2931" t="s">
        <v>14</v>
      </c>
      <c r="I2931" t="s">
        <v>1935</v>
      </c>
      <c r="J2931" t="s">
        <v>1936</v>
      </c>
      <c r="K2931" s="8">
        <v>29</v>
      </c>
    </row>
    <row r="2932" spans="1:11">
      <c r="A2932" t="s">
        <v>4870</v>
      </c>
      <c r="B2932" s="15">
        <v>45962</v>
      </c>
      <c r="C2932" s="4">
        <v>45962</v>
      </c>
      <c r="D2932" t="s">
        <v>65</v>
      </c>
      <c r="E2932" t="s">
        <v>25</v>
      </c>
      <c r="F2932" t="s">
        <v>67</v>
      </c>
      <c r="G2932" t="s">
        <v>354</v>
      </c>
      <c r="H2932" t="s">
        <v>8</v>
      </c>
      <c r="I2932" t="s">
        <v>1935</v>
      </c>
      <c r="J2932" t="s">
        <v>1936</v>
      </c>
      <c r="K2932" s="8">
        <v>23</v>
      </c>
    </row>
    <row r="2933" spans="1:11">
      <c r="A2933" t="s">
        <v>4871</v>
      </c>
      <c r="B2933" s="15">
        <v>45980</v>
      </c>
      <c r="C2933" s="4">
        <v>45962</v>
      </c>
      <c r="D2933" t="s">
        <v>65</v>
      </c>
      <c r="E2933" t="s">
        <v>25</v>
      </c>
      <c r="F2933" t="s">
        <v>67</v>
      </c>
      <c r="G2933" t="s">
        <v>372</v>
      </c>
      <c r="H2933" t="s">
        <v>11</v>
      </c>
      <c r="I2933" t="s">
        <v>1935</v>
      </c>
      <c r="J2933" t="s">
        <v>1936</v>
      </c>
      <c r="K2933" s="8">
        <v>19</v>
      </c>
    </row>
    <row r="2934" spans="1:11">
      <c r="A2934" t="s">
        <v>4872</v>
      </c>
      <c r="B2934" s="15">
        <v>45985</v>
      </c>
      <c r="C2934" s="4">
        <v>45962</v>
      </c>
      <c r="D2934" t="s">
        <v>65</v>
      </c>
      <c r="E2934" t="s">
        <v>25</v>
      </c>
      <c r="F2934" t="s">
        <v>67</v>
      </c>
      <c r="G2934" t="s">
        <v>354</v>
      </c>
      <c r="H2934" t="s">
        <v>8</v>
      </c>
      <c r="I2934" t="s">
        <v>1935</v>
      </c>
      <c r="J2934" t="s">
        <v>1936</v>
      </c>
      <c r="K2934" s="8">
        <v>33</v>
      </c>
    </row>
    <row r="2935" spans="1:11">
      <c r="A2935" t="s">
        <v>4873</v>
      </c>
      <c r="B2935" s="15">
        <v>45975</v>
      </c>
      <c r="C2935" s="4">
        <v>45962</v>
      </c>
      <c r="D2935" t="s">
        <v>65</v>
      </c>
      <c r="E2935" t="s">
        <v>25</v>
      </c>
      <c r="F2935" t="s">
        <v>67</v>
      </c>
      <c r="G2935" t="s">
        <v>348</v>
      </c>
      <c r="H2935" t="s">
        <v>11</v>
      </c>
      <c r="I2935" t="s">
        <v>1935</v>
      </c>
      <c r="J2935" t="s">
        <v>1936</v>
      </c>
      <c r="K2935" s="8">
        <v>34</v>
      </c>
    </row>
    <row r="2936" spans="1:11">
      <c r="A2936" t="s">
        <v>4874</v>
      </c>
      <c r="B2936" s="15">
        <v>46009</v>
      </c>
      <c r="C2936" s="4">
        <v>45992</v>
      </c>
      <c r="D2936" t="s">
        <v>32</v>
      </c>
      <c r="E2936" t="s">
        <v>19</v>
      </c>
      <c r="F2936" t="s">
        <v>34</v>
      </c>
      <c r="G2936" t="s">
        <v>130</v>
      </c>
      <c r="H2936" t="s">
        <v>14</v>
      </c>
      <c r="I2936" t="s">
        <v>1935</v>
      </c>
      <c r="J2936" t="s">
        <v>1938</v>
      </c>
      <c r="K2936" s="8">
        <v>28</v>
      </c>
    </row>
    <row r="2937" spans="1:11">
      <c r="A2937" t="s">
        <v>4875</v>
      </c>
      <c r="B2937" s="15">
        <v>46022</v>
      </c>
      <c r="C2937" s="4">
        <v>45992</v>
      </c>
      <c r="D2937" t="s">
        <v>32</v>
      </c>
      <c r="E2937" t="s">
        <v>19</v>
      </c>
      <c r="F2937" t="s">
        <v>34</v>
      </c>
      <c r="G2937" t="s">
        <v>142</v>
      </c>
      <c r="H2937" t="s">
        <v>11</v>
      </c>
      <c r="I2937" t="s">
        <v>1935</v>
      </c>
      <c r="J2937" t="s">
        <v>1938</v>
      </c>
      <c r="K2937" s="8">
        <v>21</v>
      </c>
    </row>
    <row r="2938" spans="1:11">
      <c r="A2938" t="s">
        <v>4876</v>
      </c>
      <c r="B2938" s="15">
        <v>46019</v>
      </c>
      <c r="C2938" s="4">
        <v>45992</v>
      </c>
      <c r="D2938" t="s">
        <v>32</v>
      </c>
      <c r="E2938" t="s">
        <v>19</v>
      </c>
      <c r="F2938" t="s">
        <v>34</v>
      </c>
      <c r="G2938" t="s">
        <v>130</v>
      </c>
      <c r="H2938" t="s">
        <v>14</v>
      </c>
      <c r="I2938" t="s">
        <v>1935</v>
      </c>
      <c r="J2938" t="s">
        <v>1938</v>
      </c>
      <c r="K2938" s="8">
        <v>13</v>
      </c>
    </row>
    <row r="2939" spans="1:11">
      <c r="A2939" t="s">
        <v>4877</v>
      </c>
      <c r="B2939" s="15">
        <v>46000</v>
      </c>
      <c r="C2939" s="4">
        <v>45992</v>
      </c>
      <c r="D2939" t="s">
        <v>32</v>
      </c>
      <c r="E2939" t="s">
        <v>19</v>
      </c>
      <c r="F2939" t="s">
        <v>34</v>
      </c>
      <c r="G2939" t="s">
        <v>148</v>
      </c>
      <c r="H2939" t="s">
        <v>5</v>
      </c>
      <c r="I2939" t="s">
        <v>1935</v>
      </c>
      <c r="J2939" t="s">
        <v>1954</v>
      </c>
      <c r="K2939" s="8">
        <v>11</v>
      </c>
    </row>
    <row r="2940" spans="1:11">
      <c r="A2940" t="s">
        <v>4878</v>
      </c>
      <c r="B2940" s="15">
        <v>45995</v>
      </c>
      <c r="C2940" s="4">
        <v>45992</v>
      </c>
      <c r="D2940" t="s">
        <v>32</v>
      </c>
      <c r="E2940" t="s">
        <v>19</v>
      </c>
      <c r="F2940" t="s">
        <v>34</v>
      </c>
      <c r="G2940" t="s">
        <v>142</v>
      </c>
      <c r="H2940" t="s">
        <v>14</v>
      </c>
      <c r="I2940" t="s">
        <v>1935</v>
      </c>
      <c r="J2940" t="s">
        <v>1936</v>
      </c>
      <c r="K2940" s="8">
        <v>29</v>
      </c>
    </row>
    <row r="2941" spans="1:11">
      <c r="A2941" t="s">
        <v>4879</v>
      </c>
      <c r="B2941" s="15">
        <v>46006</v>
      </c>
      <c r="C2941" s="4">
        <v>45992</v>
      </c>
      <c r="D2941" t="s">
        <v>32</v>
      </c>
      <c r="E2941" t="s">
        <v>19</v>
      </c>
      <c r="F2941" t="s">
        <v>34</v>
      </c>
      <c r="G2941" t="s">
        <v>99</v>
      </c>
      <c r="H2941" t="s">
        <v>14</v>
      </c>
      <c r="I2941" t="s">
        <v>1935</v>
      </c>
      <c r="J2941" t="s">
        <v>1936</v>
      </c>
      <c r="K2941" s="8">
        <v>25</v>
      </c>
    </row>
    <row r="2942" spans="1:11">
      <c r="A2942" t="s">
        <v>4880</v>
      </c>
      <c r="B2942" s="15">
        <v>46015</v>
      </c>
      <c r="C2942" s="4">
        <v>45992</v>
      </c>
      <c r="D2942" t="s">
        <v>32</v>
      </c>
      <c r="E2942" t="s">
        <v>19</v>
      </c>
      <c r="F2942" t="s">
        <v>34</v>
      </c>
      <c r="G2942" t="s">
        <v>124</v>
      </c>
      <c r="H2942" t="s">
        <v>5</v>
      </c>
      <c r="I2942" t="s">
        <v>1935</v>
      </c>
      <c r="J2942" t="s">
        <v>1938</v>
      </c>
      <c r="K2942" s="8">
        <v>9</v>
      </c>
    </row>
    <row r="2943" spans="1:11">
      <c r="A2943" t="s">
        <v>4881</v>
      </c>
      <c r="B2943" s="15">
        <v>46022</v>
      </c>
      <c r="C2943" s="4">
        <v>45992</v>
      </c>
      <c r="D2943" t="s">
        <v>32</v>
      </c>
      <c r="E2943" t="s">
        <v>19</v>
      </c>
      <c r="F2943" t="s">
        <v>34</v>
      </c>
      <c r="G2943" t="s">
        <v>92</v>
      </c>
      <c r="H2943" t="s">
        <v>8</v>
      </c>
      <c r="I2943" t="s">
        <v>1935</v>
      </c>
      <c r="J2943" t="s">
        <v>1936</v>
      </c>
      <c r="K2943" s="8">
        <v>18</v>
      </c>
    </row>
    <row r="2944" spans="1:11">
      <c r="A2944" t="s">
        <v>4882</v>
      </c>
      <c r="B2944" s="15">
        <v>46007</v>
      </c>
      <c r="C2944" s="4">
        <v>45992</v>
      </c>
      <c r="D2944" t="s">
        <v>32</v>
      </c>
      <c r="E2944" t="s">
        <v>19</v>
      </c>
      <c r="F2944" t="s">
        <v>34</v>
      </c>
      <c r="G2944" t="s">
        <v>75</v>
      </c>
      <c r="H2944" t="s">
        <v>5</v>
      </c>
      <c r="I2944" t="s">
        <v>1935</v>
      </c>
      <c r="J2944" t="s">
        <v>1938</v>
      </c>
      <c r="K2944" s="8">
        <v>20</v>
      </c>
    </row>
    <row r="2945" spans="1:11">
      <c r="A2945" t="s">
        <v>4883</v>
      </c>
      <c r="B2945" s="15">
        <v>46007</v>
      </c>
      <c r="C2945" s="4">
        <v>45992</v>
      </c>
      <c r="D2945" t="s">
        <v>32</v>
      </c>
      <c r="E2945" t="s">
        <v>19</v>
      </c>
      <c r="F2945" t="s">
        <v>34</v>
      </c>
      <c r="G2945" t="s">
        <v>136</v>
      </c>
      <c r="H2945" t="s">
        <v>8</v>
      </c>
      <c r="I2945" t="s">
        <v>1935</v>
      </c>
      <c r="J2945" t="s">
        <v>1938</v>
      </c>
      <c r="K2945" s="8">
        <v>10</v>
      </c>
    </row>
    <row r="2946" spans="1:11">
      <c r="A2946" t="s">
        <v>4884</v>
      </c>
      <c r="B2946" s="15">
        <v>46019</v>
      </c>
      <c r="C2946" s="4">
        <v>45992</v>
      </c>
      <c r="D2946" t="s">
        <v>35</v>
      </c>
      <c r="E2946" t="s">
        <v>19</v>
      </c>
      <c r="F2946" t="s">
        <v>37</v>
      </c>
      <c r="G2946" t="s">
        <v>78</v>
      </c>
      <c r="H2946" t="s">
        <v>8</v>
      </c>
      <c r="I2946" t="s">
        <v>1935</v>
      </c>
      <c r="J2946" t="s">
        <v>1936</v>
      </c>
      <c r="K2946" s="8">
        <v>25</v>
      </c>
    </row>
    <row r="2947" spans="1:11">
      <c r="A2947" t="s">
        <v>4885</v>
      </c>
      <c r="B2947" s="15">
        <v>46021</v>
      </c>
      <c r="C2947" s="4">
        <v>45992</v>
      </c>
      <c r="D2947" t="s">
        <v>35</v>
      </c>
      <c r="E2947" t="s">
        <v>19</v>
      </c>
      <c r="F2947" t="s">
        <v>37</v>
      </c>
      <c r="G2947" t="s">
        <v>150</v>
      </c>
      <c r="H2947" t="s">
        <v>5</v>
      </c>
      <c r="I2947" t="s">
        <v>1935</v>
      </c>
      <c r="J2947" t="s">
        <v>1938</v>
      </c>
      <c r="K2947" s="8">
        <v>32</v>
      </c>
    </row>
    <row r="2948" spans="1:11">
      <c r="A2948" t="s">
        <v>4886</v>
      </c>
      <c r="B2948" s="15">
        <v>45993</v>
      </c>
      <c r="C2948" s="4">
        <v>45992</v>
      </c>
      <c r="D2948" t="s">
        <v>35</v>
      </c>
      <c r="E2948" t="s">
        <v>19</v>
      </c>
      <c r="F2948" t="s">
        <v>37</v>
      </c>
      <c r="G2948" t="s">
        <v>101</v>
      </c>
      <c r="H2948" t="s">
        <v>11</v>
      </c>
      <c r="I2948" t="s">
        <v>1935</v>
      </c>
      <c r="J2948" t="s">
        <v>1936</v>
      </c>
      <c r="K2948" s="8">
        <v>25</v>
      </c>
    </row>
    <row r="2949" spans="1:11">
      <c r="A2949" t="s">
        <v>4887</v>
      </c>
      <c r="B2949" s="15">
        <v>46014</v>
      </c>
      <c r="C2949" s="4">
        <v>45992</v>
      </c>
      <c r="D2949" t="s">
        <v>35</v>
      </c>
      <c r="E2949" t="s">
        <v>19</v>
      </c>
      <c r="F2949" t="s">
        <v>37</v>
      </c>
      <c r="G2949" t="s">
        <v>107</v>
      </c>
      <c r="H2949" t="s">
        <v>5</v>
      </c>
      <c r="I2949" t="s">
        <v>1935</v>
      </c>
      <c r="J2949" t="s">
        <v>1936</v>
      </c>
      <c r="K2949" s="8">
        <v>33</v>
      </c>
    </row>
    <row r="2950" spans="1:11">
      <c r="A2950" t="s">
        <v>4888</v>
      </c>
      <c r="B2950" s="15">
        <v>46000</v>
      </c>
      <c r="C2950" s="4">
        <v>45992</v>
      </c>
      <c r="D2950" t="s">
        <v>35</v>
      </c>
      <c r="E2950" t="s">
        <v>19</v>
      </c>
      <c r="F2950" t="s">
        <v>37</v>
      </c>
      <c r="G2950" t="s">
        <v>138</v>
      </c>
      <c r="H2950" t="s">
        <v>11</v>
      </c>
      <c r="I2950" t="s">
        <v>1935</v>
      </c>
      <c r="J2950" t="s">
        <v>1936</v>
      </c>
      <c r="K2950" s="8">
        <v>34</v>
      </c>
    </row>
    <row r="2951" spans="1:11">
      <c r="A2951" t="s">
        <v>4889</v>
      </c>
      <c r="B2951" s="15">
        <v>46020</v>
      </c>
      <c r="C2951" s="4">
        <v>45992</v>
      </c>
      <c r="D2951" t="s">
        <v>35</v>
      </c>
      <c r="E2951" t="s">
        <v>19</v>
      </c>
      <c r="F2951" t="s">
        <v>37</v>
      </c>
      <c r="G2951" t="s">
        <v>78</v>
      </c>
      <c r="H2951" t="s">
        <v>11</v>
      </c>
      <c r="I2951" t="s">
        <v>1935</v>
      </c>
      <c r="J2951" t="s">
        <v>1936</v>
      </c>
      <c r="K2951" s="8">
        <v>31</v>
      </c>
    </row>
    <row r="2952" spans="1:11">
      <c r="A2952" t="s">
        <v>4890</v>
      </c>
      <c r="B2952" s="15">
        <v>45999</v>
      </c>
      <c r="C2952" s="4">
        <v>45992</v>
      </c>
      <c r="D2952" t="s">
        <v>35</v>
      </c>
      <c r="E2952" t="s">
        <v>19</v>
      </c>
      <c r="F2952" t="s">
        <v>37</v>
      </c>
      <c r="G2952" t="s">
        <v>78</v>
      </c>
      <c r="H2952" t="s">
        <v>8</v>
      </c>
      <c r="I2952" t="s">
        <v>1935</v>
      </c>
      <c r="J2952" t="s">
        <v>1936</v>
      </c>
      <c r="K2952" s="8">
        <v>29</v>
      </c>
    </row>
    <row r="2953" spans="1:11">
      <c r="A2953" t="s">
        <v>4891</v>
      </c>
      <c r="B2953" s="15">
        <v>46020</v>
      </c>
      <c r="C2953" s="4">
        <v>45992</v>
      </c>
      <c r="D2953" t="s">
        <v>35</v>
      </c>
      <c r="E2953" t="s">
        <v>19</v>
      </c>
      <c r="F2953" t="s">
        <v>37</v>
      </c>
      <c r="G2953" t="s">
        <v>101</v>
      </c>
      <c r="H2953" t="s">
        <v>11</v>
      </c>
      <c r="I2953" t="s">
        <v>1935</v>
      </c>
      <c r="J2953" t="s">
        <v>1954</v>
      </c>
      <c r="K2953" s="8">
        <v>25</v>
      </c>
    </row>
    <row r="2954" spans="1:11">
      <c r="A2954" t="s">
        <v>4892</v>
      </c>
      <c r="B2954" s="15">
        <v>46017</v>
      </c>
      <c r="C2954" s="4">
        <v>45992</v>
      </c>
      <c r="D2954" t="s">
        <v>38</v>
      </c>
      <c r="E2954" t="s">
        <v>19</v>
      </c>
      <c r="F2954" t="s">
        <v>40</v>
      </c>
      <c r="G2954" t="s">
        <v>164</v>
      </c>
      <c r="H2954" t="s">
        <v>5</v>
      </c>
      <c r="I2954" t="s">
        <v>1935</v>
      </c>
      <c r="J2954" t="s">
        <v>1936</v>
      </c>
      <c r="K2954" s="8">
        <v>10</v>
      </c>
    </row>
    <row r="2955" spans="1:11">
      <c r="A2955" t="s">
        <v>4893</v>
      </c>
      <c r="B2955" s="15">
        <v>45998</v>
      </c>
      <c r="C2955" s="4">
        <v>45992</v>
      </c>
      <c r="D2955" t="s">
        <v>38</v>
      </c>
      <c r="E2955" t="s">
        <v>19</v>
      </c>
      <c r="F2955" t="s">
        <v>40</v>
      </c>
      <c r="G2955" t="s">
        <v>103</v>
      </c>
      <c r="H2955" t="s">
        <v>5</v>
      </c>
      <c r="I2955" t="s">
        <v>1935</v>
      </c>
      <c r="J2955" t="s">
        <v>1936</v>
      </c>
      <c r="K2955" s="8">
        <v>35</v>
      </c>
    </row>
    <row r="2956" spans="1:11">
      <c r="A2956" t="s">
        <v>4894</v>
      </c>
      <c r="B2956" s="15">
        <v>45997</v>
      </c>
      <c r="C2956" s="4">
        <v>45992</v>
      </c>
      <c r="D2956" t="s">
        <v>38</v>
      </c>
      <c r="E2956" t="s">
        <v>19</v>
      </c>
      <c r="F2956" t="s">
        <v>40</v>
      </c>
      <c r="G2956" t="s">
        <v>140</v>
      </c>
      <c r="H2956" t="s">
        <v>5</v>
      </c>
      <c r="I2956" t="s">
        <v>1935</v>
      </c>
      <c r="J2956" t="s">
        <v>1936</v>
      </c>
      <c r="K2956" s="8">
        <v>10</v>
      </c>
    </row>
    <row r="2957" spans="1:11">
      <c r="A2957" t="s">
        <v>4895</v>
      </c>
      <c r="B2957" s="15">
        <v>46013</v>
      </c>
      <c r="C2957" s="4">
        <v>45992</v>
      </c>
      <c r="D2957" t="s">
        <v>38</v>
      </c>
      <c r="E2957" t="s">
        <v>19</v>
      </c>
      <c r="F2957" t="s">
        <v>40</v>
      </c>
      <c r="G2957" t="s">
        <v>82</v>
      </c>
      <c r="H2957" t="s">
        <v>11</v>
      </c>
      <c r="I2957" t="s">
        <v>1935</v>
      </c>
      <c r="J2957" t="s">
        <v>1936</v>
      </c>
      <c r="K2957" s="8">
        <v>14</v>
      </c>
    </row>
    <row r="2958" spans="1:11">
      <c r="A2958" t="s">
        <v>4896</v>
      </c>
      <c r="B2958" s="15">
        <v>46001</v>
      </c>
      <c r="C2958" s="4">
        <v>45992</v>
      </c>
      <c r="D2958" t="s">
        <v>38</v>
      </c>
      <c r="E2958" t="s">
        <v>19</v>
      </c>
      <c r="F2958" t="s">
        <v>40</v>
      </c>
      <c r="G2958" t="s">
        <v>146</v>
      </c>
      <c r="H2958" t="s">
        <v>11</v>
      </c>
      <c r="I2958" t="s">
        <v>1935</v>
      </c>
      <c r="J2958" t="s">
        <v>1936</v>
      </c>
      <c r="K2958" s="8">
        <v>16</v>
      </c>
    </row>
    <row r="2959" spans="1:11">
      <c r="A2959" t="s">
        <v>4897</v>
      </c>
      <c r="B2959" s="15">
        <v>46022</v>
      </c>
      <c r="C2959" s="4">
        <v>45992</v>
      </c>
      <c r="D2959" t="s">
        <v>38</v>
      </c>
      <c r="E2959" t="s">
        <v>19</v>
      </c>
      <c r="F2959" t="s">
        <v>40</v>
      </c>
      <c r="G2959" t="s">
        <v>82</v>
      </c>
      <c r="H2959" t="s">
        <v>8</v>
      </c>
      <c r="I2959" t="s">
        <v>1935</v>
      </c>
      <c r="J2959" t="s">
        <v>1936</v>
      </c>
      <c r="K2959" s="8">
        <v>19</v>
      </c>
    </row>
    <row r="2960" spans="1:11">
      <c r="A2960" t="s">
        <v>4898</v>
      </c>
      <c r="B2960" s="15">
        <v>46022</v>
      </c>
      <c r="C2960" s="4">
        <v>45992</v>
      </c>
      <c r="D2960" t="s">
        <v>38</v>
      </c>
      <c r="E2960" t="s">
        <v>19</v>
      </c>
      <c r="F2960" t="s">
        <v>40</v>
      </c>
      <c r="G2960" t="s">
        <v>82</v>
      </c>
      <c r="H2960" t="s">
        <v>8</v>
      </c>
      <c r="I2960" t="s">
        <v>1935</v>
      </c>
      <c r="J2960" t="s">
        <v>1938</v>
      </c>
      <c r="K2960" s="8">
        <v>20</v>
      </c>
    </row>
    <row r="2961" spans="1:11">
      <c r="A2961" t="s">
        <v>4899</v>
      </c>
      <c r="B2961" s="15">
        <v>46002</v>
      </c>
      <c r="C2961" s="4">
        <v>45992</v>
      </c>
      <c r="D2961" t="s">
        <v>38</v>
      </c>
      <c r="E2961" t="s">
        <v>19</v>
      </c>
      <c r="F2961" t="s">
        <v>40</v>
      </c>
      <c r="G2961" t="s">
        <v>122</v>
      </c>
      <c r="H2961" t="s">
        <v>8</v>
      </c>
      <c r="I2961" t="s">
        <v>1935</v>
      </c>
      <c r="J2961" t="s">
        <v>1936</v>
      </c>
      <c r="K2961" s="8">
        <v>14</v>
      </c>
    </row>
    <row r="2962" spans="1:11">
      <c r="A2962" t="s">
        <v>4900</v>
      </c>
      <c r="B2962" s="15">
        <v>46005</v>
      </c>
      <c r="C2962" s="4">
        <v>45992</v>
      </c>
      <c r="D2962" t="s">
        <v>38</v>
      </c>
      <c r="E2962" t="s">
        <v>19</v>
      </c>
      <c r="F2962" t="s">
        <v>40</v>
      </c>
      <c r="G2962" t="s">
        <v>109</v>
      </c>
      <c r="H2962" t="s">
        <v>5</v>
      </c>
      <c r="I2962" t="s">
        <v>1942</v>
      </c>
      <c r="J2962" t="s">
        <v>1936</v>
      </c>
      <c r="K2962" s="8">
        <v>1</v>
      </c>
    </row>
    <row r="2963" spans="1:11">
      <c r="A2963" t="s">
        <v>4901</v>
      </c>
      <c r="B2963" s="15">
        <v>46014</v>
      </c>
      <c r="C2963" s="4">
        <v>45992</v>
      </c>
      <c r="D2963" t="s">
        <v>38</v>
      </c>
      <c r="E2963" t="s">
        <v>19</v>
      </c>
      <c r="F2963" t="s">
        <v>40</v>
      </c>
      <c r="G2963" t="s">
        <v>134</v>
      </c>
      <c r="H2963" t="s">
        <v>14</v>
      </c>
      <c r="I2963" t="s">
        <v>1935</v>
      </c>
      <c r="J2963" t="s">
        <v>1936</v>
      </c>
      <c r="K2963" s="8">
        <v>24</v>
      </c>
    </row>
    <row r="2964" spans="1:11">
      <c r="A2964" t="s">
        <v>4902</v>
      </c>
      <c r="B2964" s="15">
        <v>46020</v>
      </c>
      <c r="C2964" s="4">
        <v>45992</v>
      </c>
      <c r="D2964" t="s">
        <v>38</v>
      </c>
      <c r="E2964" t="s">
        <v>19</v>
      </c>
      <c r="F2964" t="s">
        <v>40</v>
      </c>
      <c r="G2964" t="s">
        <v>103</v>
      </c>
      <c r="H2964" t="s">
        <v>5</v>
      </c>
      <c r="I2964" t="s">
        <v>1935</v>
      </c>
      <c r="J2964" t="s">
        <v>1936</v>
      </c>
      <c r="K2964" s="8">
        <v>18</v>
      </c>
    </row>
    <row r="2965" spans="1:11">
      <c r="A2965" t="s">
        <v>4903</v>
      </c>
      <c r="B2965" s="15">
        <v>45994</v>
      </c>
      <c r="C2965" s="4">
        <v>45992</v>
      </c>
      <c r="D2965" t="s">
        <v>41</v>
      </c>
      <c r="E2965" t="s">
        <v>21</v>
      </c>
      <c r="F2965" t="s">
        <v>43</v>
      </c>
      <c r="G2965" t="s">
        <v>226</v>
      </c>
      <c r="H2965" t="s">
        <v>5</v>
      </c>
      <c r="I2965" t="s">
        <v>1935</v>
      </c>
      <c r="J2965" t="s">
        <v>1936</v>
      </c>
      <c r="K2965" s="8">
        <v>31</v>
      </c>
    </row>
    <row r="2966" spans="1:11">
      <c r="A2966" t="s">
        <v>4904</v>
      </c>
      <c r="B2966" s="15">
        <v>45992</v>
      </c>
      <c r="C2966" s="4">
        <v>45992</v>
      </c>
      <c r="D2966" t="s">
        <v>41</v>
      </c>
      <c r="E2966" t="s">
        <v>21</v>
      </c>
      <c r="F2966" t="s">
        <v>43</v>
      </c>
      <c r="G2966" t="s">
        <v>196</v>
      </c>
      <c r="H2966" t="s">
        <v>5</v>
      </c>
      <c r="I2966" t="s">
        <v>1935</v>
      </c>
      <c r="J2966" t="s">
        <v>1936</v>
      </c>
      <c r="K2966" s="8">
        <v>20</v>
      </c>
    </row>
    <row r="2967" spans="1:11">
      <c r="A2967" t="s">
        <v>4905</v>
      </c>
      <c r="B2967" s="15">
        <v>46013</v>
      </c>
      <c r="C2967" s="4">
        <v>45992</v>
      </c>
      <c r="D2967" t="s">
        <v>41</v>
      </c>
      <c r="E2967" t="s">
        <v>21</v>
      </c>
      <c r="F2967" t="s">
        <v>43</v>
      </c>
      <c r="G2967" t="s">
        <v>214</v>
      </c>
      <c r="H2967" t="s">
        <v>5</v>
      </c>
      <c r="I2967" t="s">
        <v>1935</v>
      </c>
      <c r="J2967" t="s">
        <v>1938</v>
      </c>
      <c r="K2967" s="8">
        <v>9</v>
      </c>
    </row>
    <row r="2968" spans="1:11">
      <c r="A2968" t="s">
        <v>4906</v>
      </c>
      <c r="B2968" s="15">
        <v>46011</v>
      </c>
      <c r="C2968" s="4">
        <v>45992</v>
      </c>
      <c r="D2968" t="s">
        <v>41</v>
      </c>
      <c r="E2968" t="s">
        <v>21</v>
      </c>
      <c r="F2968" t="s">
        <v>43</v>
      </c>
      <c r="G2968" t="s">
        <v>166</v>
      </c>
      <c r="H2968" t="s">
        <v>14</v>
      </c>
      <c r="I2968" t="s">
        <v>1935</v>
      </c>
      <c r="J2968" t="s">
        <v>1938</v>
      </c>
      <c r="K2968" s="8">
        <v>18</v>
      </c>
    </row>
    <row r="2969" spans="1:11">
      <c r="A2969" t="s">
        <v>4907</v>
      </c>
      <c r="B2969" s="15">
        <v>45992</v>
      </c>
      <c r="C2969" s="4">
        <v>45992</v>
      </c>
      <c r="D2969" t="s">
        <v>41</v>
      </c>
      <c r="E2969" t="s">
        <v>21</v>
      </c>
      <c r="F2969" t="s">
        <v>43</v>
      </c>
      <c r="G2969" t="s">
        <v>196</v>
      </c>
      <c r="H2969" t="s">
        <v>14</v>
      </c>
      <c r="I2969" t="s">
        <v>1935</v>
      </c>
      <c r="J2969" t="s">
        <v>1938</v>
      </c>
      <c r="K2969" s="8">
        <v>8</v>
      </c>
    </row>
    <row r="2970" spans="1:11">
      <c r="A2970" t="s">
        <v>4908</v>
      </c>
      <c r="B2970" s="15">
        <v>45993</v>
      </c>
      <c r="C2970" s="4">
        <v>45992</v>
      </c>
      <c r="D2970" t="s">
        <v>41</v>
      </c>
      <c r="E2970" t="s">
        <v>21</v>
      </c>
      <c r="F2970" t="s">
        <v>43</v>
      </c>
      <c r="G2970" t="s">
        <v>226</v>
      </c>
      <c r="H2970" t="s">
        <v>5</v>
      </c>
      <c r="I2970" t="s">
        <v>1935</v>
      </c>
      <c r="J2970" t="s">
        <v>1938</v>
      </c>
      <c r="K2970" s="8">
        <v>14</v>
      </c>
    </row>
    <row r="2971" spans="1:11">
      <c r="A2971" t="s">
        <v>4909</v>
      </c>
      <c r="B2971" s="15">
        <v>46008</v>
      </c>
      <c r="C2971" s="4">
        <v>45992</v>
      </c>
      <c r="D2971" t="s">
        <v>41</v>
      </c>
      <c r="E2971" t="s">
        <v>21</v>
      </c>
      <c r="F2971" t="s">
        <v>43</v>
      </c>
      <c r="G2971" t="s">
        <v>208</v>
      </c>
      <c r="H2971" t="s">
        <v>11</v>
      </c>
      <c r="I2971" t="s">
        <v>1935</v>
      </c>
      <c r="J2971" t="s">
        <v>1938</v>
      </c>
      <c r="K2971" s="8">
        <v>22</v>
      </c>
    </row>
    <row r="2972" spans="1:11">
      <c r="A2972" t="s">
        <v>4910</v>
      </c>
      <c r="B2972" s="15">
        <v>46005</v>
      </c>
      <c r="C2972" s="4">
        <v>45992</v>
      </c>
      <c r="D2972" t="s">
        <v>41</v>
      </c>
      <c r="E2972" t="s">
        <v>21</v>
      </c>
      <c r="F2972" t="s">
        <v>43</v>
      </c>
      <c r="G2972" t="s">
        <v>208</v>
      </c>
      <c r="H2972" t="s">
        <v>11</v>
      </c>
      <c r="I2972" t="s">
        <v>1935</v>
      </c>
      <c r="J2972" t="s">
        <v>1936</v>
      </c>
      <c r="K2972" s="8">
        <v>17</v>
      </c>
    </row>
    <row r="2973" spans="1:11">
      <c r="A2973" t="s">
        <v>4911</v>
      </c>
      <c r="B2973" s="15">
        <v>45997</v>
      </c>
      <c r="C2973" s="4">
        <v>45992</v>
      </c>
      <c r="D2973" t="s">
        <v>41</v>
      </c>
      <c r="E2973" t="s">
        <v>21</v>
      </c>
      <c r="F2973" t="s">
        <v>43</v>
      </c>
      <c r="G2973" t="s">
        <v>190</v>
      </c>
      <c r="H2973" t="s">
        <v>11</v>
      </c>
      <c r="I2973" t="s">
        <v>1935</v>
      </c>
      <c r="J2973" t="s">
        <v>1936</v>
      </c>
      <c r="K2973" s="8">
        <v>24</v>
      </c>
    </row>
    <row r="2974" spans="1:11">
      <c r="A2974" t="s">
        <v>4912</v>
      </c>
      <c r="B2974" s="15">
        <v>45999</v>
      </c>
      <c r="C2974" s="4">
        <v>45992</v>
      </c>
      <c r="D2974" t="s">
        <v>41</v>
      </c>
      <c r="E2974" t="s">
        <v>21</v>
      </c>
      <c r="F2974" t="s">
        <v>43</v>
      </c>
      <c r="G2974" t="s">
        <v>208</v>
      </c>
      <c r="H2974" t="s">
        <v>11</v>
      </c>
      <c r="I2974" t="s">
        <v>1935</v>
      </c>
      <c r="J2974" t="s">
        <v>1936</v>
      </c>
      <c r="K2974" s="8">
        <v>31</v>
      </c>
    </row>
    <row r="2975" spans="1:11">
      <c r="A2975" t="s">
        <v>4913</v>
      </c>
      <c r="B2975" s="15">
        <v>46012</v>
      </c>
      <c r="C2975" s="4">
        <v>45992</v>
      </c>
      <c r="D2975" t="s">
        <v>41</v>
      </c>
      <c r="E2975" t="s">
        <v>21</v>
      </c>
      <c r="F2975" t="s">
        <v>43</v>
      </c>
      <c r="G2975" t="s">
        <v>208</v>
      </c>
      <c r="H2975" t="s">
        <v>11</v>
      </c>
      <c r="I2975" t="s">
        <v>1942</v>
      </c>
      <c r="J2975" t="s">
        <v>1936</v>
      </c>
      <c r="K2975" s="8">
        <v>4</v>
      </c>
    </row>
    <row r="2976" spans="1:11">
      <c r="A2976" t="s">
        <v>4914</v>
      </c>
      <c r="B2976" s="15">
        <v>46000</v>
      </c>
      <c r="C2976" s="4">
        <v>45992</v>
      </c>
      <c r="D2976" t="s">
        <v>41</v>
      </c>
      <c r="E2976" t="s">
        <v>21</v>
      </c>
      <c r="F2976" t="s">
        <v>43</v>
      </c>
      <c r="G2976" t="s">
        <v>190</v>
      </c>
      <c r="H2976" t="s">
        <v>5</v>
      </c>
      <c r="I2976" t="s">
        <v>1935</v>
      </c>
      <c r="J2976" t="s">
        <v>1936</v>
      </c>
      <c r="K2976" s="8">
        <v>29</v>
      </c>
    </row>
    <row r="2977" spans="1:11">
      <c r="A2977" t="s">
        <v>4915</v>
      </c>
      <c r="B2977" s="15">
        <v>45994</v>
      </c>
      <c r="C2977" s="4">
        <v>45992</v>
      </c>
      <c r="D2977" t="s">
        <v>41</v>
      </c>
      <c r="E2977" t="s">
        <v>21</v>
      </c>
      <c r="F2977" t="s">
        <v>43</v>
      </c>
      <c r="G2977" t="s">
        <v>232</v>
      </c>
      <c r="H2977" t="s">
        <v>11</v>
      </c>
      <c r="I2977" t="s">
        <v>1935</v>
      </c>
      <c r="J2977" t="s">
        <v>1936</v>
      </c>
      <c r="K2977" s="8">
        <v>18</v>
      </c>
    </row>
    <row r="2978" spans="1:11">
      <c r="A2978" t="s">
        <v>4916</v>
      </c>
      <c r="B2978" s="15">
        <v>45995</v>
      </c>
      <c r="C2978" s="4">
        <v>45992</v>
      </c>
      <c r="D2978" t="s">
        <v>44</v>
      </c>
      <c r="E2978" t="s">
        <v>21</v>
      </c>
      <c r="F2978" t="s">
        <v>46</v>
      </c>
      <c r="G2978" t="s">
        <v>174</v>
      </c>
      <c r="H2978" t="s">
        <v>14</v>
      </c>
      <c r="I2978" t="s">
        <v>1935</v>
      </c>
      <c r="J2978" t="s">
        <v>1936</v>
      </c>
      <c r="K2978" s="8">
        <v>21</v>
      </c>
    </row>
    <row r="2979" spans="1:11">
      <c r="A2979" t="s">
        <v>4917</v>
      </c>
      <c r="B2979" s="15">
        <v>46005</v>
      </c>
      <c r="C2979" s="4">
        <v>45992</v>
      </c>
      <c r="D2979" t="s">
        <v>44</v>
      </c>
      <c r="E2979" t="s">
        <v>21</v>
      </c>
      <c r="F2979" t="s">
        <v>46</v>
      </c>
      <c r="G2979" t="s">
        <v>210</v>
      </c>
      <c r="H2979" t="s">
        <v>8</v>
      </c>
      <c r="I2979" t="s">
        <v>1935</v>
      </c>
      <c r="J2979" t="s">
        <v>1936</v>
      </c>
      <c r="K2979" s="8">
        <v>23</v>
      </c>
    </row>
    <row r="2980" spans="1:11">
      <c r="A2980" t="s">
        <v>4918</v>
      </c>
      <c r="B2980" s="15">
        <v>46022</v>
      </c>
      <c r="C2980" s="4">
        <v>45992</v>
      </c>
      <c r="D2980" t="s">
        <v>44</v>
      </c>
      <c r="E2980" t="s">
        <v>21</v>
      </c>
      <c r="F2980" t="s">
        <v>46</v>
      </c>
      <c r="G2980" t="s">
        <v>180</v>
      </c>
      <c r="H2980" t="s">
        <v>14</v>
      </c>
      <c r="I2980" t="s">
        <v>1935</v>
      </c>
      <c r="J2980" t="s">
        <v>1936</v>
      </c>
      <c r="K2980" s="8">
        <v>28</v>
      </c>
    </row>
    <row r="2981" spans="1:11">
      <c r="A2981" t="s">
        <v>4919</v>
      </c>
      <c r="B2981" s="15">
        <v>45997</v>
      </c>
      <c r="C2981" s="4">
        <v>45992</v>
      </c>
      <c r="D2981" t="s">
        <v>44</v>
      </c>
      <c r="E2981" t="s">
        <v>21</v>
      </c>
      <c r="F2981" t="s">
        <v>46</v>
      </c>
      <c r="G2981" t="s">
        <v>186</v>
      </c>
      <c r="H2981" t="s">
        <v>8</v>
      </c>
      <c r="I2981" t="s">
        <v>1935</v>
      </c>
      <c r="J2981" t="s">
        <v>1938</v>
      </c>
      <c r="K2981" s="8">
        <v>12</v>
      </c>
    </row>
    <row r="2982" spans="1:11">
      <c r="A2982" t="s">
        <v>4920</v>
      </c>
      <c r="B2982" s="15">
        <v>46012</v>
      </c>
      <c r="C2982" s="4">
        <v>45992</v>
      </c>
      <c r="D2982" t="s">
        <v>44</v>
      </c>
      <c r="E2982" t="s">
        <v>21</v>
      </c>
      <c r="F2982" t="s">
        <v>46</v>
      </c>
      <c r="G2982" t="s">
        <v>216</v>
      </c>
      <c r="H2982" t="s">
        <v>14</v>
      </c>
      <c r="I2982" t="s">
        <v>1935</v>
      </c>
      <c r="J2982" t="s">
        <v>1936</v>
      </c>
      <c r="K2982" s="8">
        <v>24</v>
      </c>
    </row>
    <row r="2983" spans="1:11">
      <c r="A2983" t="s">
        <v>4921</v>
      </c>
      <c r="B2983" s="15">
        <v>46017</v>
      </c>
      <c r="C2983" s="4">
        <v>45992</v>
      </c>
      <c r="D2983" t="s">
        <v>44</v>
      </c>
      <c r="E2983" t="s">
        <v>21</v>
      </c>
      <c r="F2983" t="s">
        <v>46</v>
      </c>
      <c r="G2983" t="s">
        <v>180</v>
      </c>
      <c r="H2983" t="s">
        <v>8</v>
      </c>
      <c r="I2983" t="s">
        <v>1935</v>
      </c>
      <c r="J2983" t="s">
        <v>1936</v>
      </c>
      <c r="K2983" s="8">
        <v>34</v>
      </c>
    </row>
    <row r="2984" spans="1:11">
      <c r="A2984" t="s">
        <v>4922</v>
      </c>
      <c r="B2984" s="15">
        <v>46020</v>
      </c>
      <c r="C2984" s="4">
        <v>45992</v>
      </c>
      <c r="D2984" t="s">
        <v>44</v>
      </c>
      <c r="E2984" t="s">
        <v>21</v>
      </c>
      <c r="F2984" t="s">
        <v>46</v>
      </c>
      <c r="G2984" t="s">
        <v>234</v>
      </c>
      <c r="H2984" t="s">
        <v>14</v>
      </c>
      <c r="I2984" t="s">
        <v>1935</v>
      </c>
      <c r="J2984" t="s">
        <v>1938</v>
      </c>
      <c r="K2984" s="8">
        <v>19</v>
      </c>
    </row>
    <row r="2985" spans="1:11">
      <c r="A2985" t="s">
        <v>4923</v>
      </c>
      <c r="B2985" s="15">
        <v>46004</v>
      </c>
      <c r="C2985" s="4">
        <v>45992</v>
      </c>
      <c r="D2985" t="s">
        <v>44</v>
      </c>
      <c r="E2985" t="s">
        <v>21</v>
      </c>
      <c r="F2985" t="s">
        <v>46</v>
      </c>
      <c r="G2985" t="s">
        <v>174</v>
      </c>
      <c r="H2985" t="s">
        <v>14</v>
      </c>
      <c r="I2985" t="s">
        <v>1935</v>
      </c>
      <c r="J2985" t="s">
        <v>1954</v>
      </c>
      <c r="K2985" s="8">
        <v>29</v>
      </c>
    </row>
    <row r="2986" spans="1:11">
      <c r="A2986" t="s">
        <v>4924</v>
      </c>
      <c r="B2986" s="15">
        <v>46012</v>
      </c>
      <c r="C2986" s="4">
        <v>45992</v>
      </c>
      <c r="D2986" t="s">
        <v>44</v>
      </c>
      <c r="E2986" t="s">
        <v>21</v>
      </c>
      <c r="F2986" t="s">
        <v>46</v>
      </c>
      <c r="G2986" t="s">
        <v>216</v>
      </c>
      <c r="H2986" t="s">
        <v>14</v>
      </c>
      <c r="I2986" t="s">
        <v>1935</v>
      </c>
      <c r="J2986" t="s">
        <v>1938</v>
      </c>
      <c r="K2986" s="8">
        <v>20</v>
      </c>
    </row>
    <row r="2987" spans="1:11">
      <c r="A2987" t="s">
        <v>4925</v>
      </c>
      <c r="B2987" s="15">
        <v>45993</v>
      </c>
      <c r="C2987" s="4">
        <v>45992</v>
      </c>
      <c r="D2987" t="s">
        <v>44</v>
      </c>
      <c r="E2987" t="s">
        <v>21</v>
      </c>
      <c r="F2987" t="s">
        <v>46</v>
      </c>
      <c r="G2987" t="s">
        <v>174</v>
      </c>
      <c r="H2987" t="s">
        <v>11</v>
      </c>
      <c r="I2987" t="s">
        <v>1935</v>
      </c>
      <c r="J2987" t="s">
        <v>1936</v>
      </c>
      <c r="K2987" s="8">
        <v>15</v>
      </c>
    </row>
    <row r="2988" spans="1:11">
      <c r="A2988" t="s">
        <v>4926</v>
      </c>
      <c r="B2988" s="15">
        <v>46014</v>
      </c>
      <c r="C2988" s="4">
        <v>45992</v>
      </c>
      <c r="D2988" t="s">
        <v>47</v>
      </c>
      <c r="E2988" t="s">
        <v>21</v>
      </c>
      <c r="F2988" t="s">
        <v>49</v>
      </c>
      <c r="G2988" t="s">
        <v>212</v>
      </c>
      <c r="H2988" t="s">
        <v>14</v>
      </c>
      <c r="I2988" t="s">
        <v>1995</v>
      </c>
      <c r="J2988" t="s">
        <v>1936</v>
      </c>
      <c r="K2988" s="8">
        <v>8</v>
      </c>
    </row>
    <row r="2989" spans="1:11">
      <c r="A2989" t="s">
        <v>4927</v>
      </c>
      <c r="B2989" s="15">
        <v>46022</v>
      </c>
      <c r="C2989" s="4">
        <v>45992</v>
      </c>
      <c r="D2989" t="s">
        <v>47</v>
      </c>
      <c r="E2989" t="s">
        <v>21</v>
      </c>
      <c r="F2989" t="s">
        <v>49</v>
      </c>
      <c r="G2989" t="s">
        <v>170</v>
      </c>
      <c r="H2989" t="s">
        <v>5</v>
      </c>
      <c r="I2989" t="s">
        <v>1935</v>
      </c>
      <c r="J2989" t="s">
        <v>1936</v>
      </c>
      <c r="K2989" s="8">
        <v>15</v>
      </c>
    </row>
    <row r="2990" spans="1:11">
      <c r="A2990" t="s">
        <v>4928</v>
      </c>
      <c r="B2990" s="15">
        <v>46002</v>
      </c>
      <c r="C2990" s="4">
        <v>45992</v>
      </c>
      <c r="D2990" t="s">
        <v>47</v>
      </c>
      <c r="E2990" t="s">
        <v>21</v>
      </c>
      <c r="F2990" t="s">
        <v>49</v>
      </c>
      <c r="G2990" t="s">
        <v>212</v>
      </c>
      <c r="H2990" t="s">
        <v>14</v>
      </c>
      <c r="I2990" t="s">
        <v>1935</v>
      </c>
      <c r="J2990" t="s">
        <v>1954</v>
      </c>
      <c r="K2990" s="8">
        <v>25</v>
      </c>
    </row>
    <row r="2991" spans="1:11">
      <c r="A2991" t="s">
        <v>4929</v>
      </c>
      <c r="B2991" s="15">
        <v>45992</v>
      </c>
      <c r="C2991" s="4">
        <v>45992</v>
      </c>
      <c r="D2991" t="s">
        <v>47</v>
      </c>
      <c r="E2991" t="s">
        <v>21</v>
      </c>
      <c r="F2991" t="s">
        <v>49</v>
      </c>
      <c r="G2991" t="s">
        <v>218</v>
      </c>
      <c r="H2991" t="s">
        <v>14</v>
      </c>
      <c r="I2991" t="s">
        <v>1935</v>
      </c>
      <c r="J2991" t="s">
        <v>1936</v>
      </c>
      <c r="K2991" s="8">
        <v>26</v>
      </c>
    </row>
    <row r="2992" spans="1:11">
      <c r="A2992" t="s">
        <v>4930</v>
      </c>
      <c r="B2992" s="15">
        <v>45999</v>
      </c>
      <c r="C2992" s="4">
        <v>45992</v>
      </c>
      <c r="D2992" t="s">
        <v>47</v>
      </c>
      <c r="E2992" t="s">
        <v>21</v>
      </c>
      <c r="F2992" t="s">
        <v>49</v>
      </c>
      <c r="G2992" t="s">
        <v>218</v>
      </c>
      <c r="H2992" t="s">
        <v>5</v>
      </c>
      <c r="I2992" t="s">
        <v>1935</v>
      </c>
      <c r="J2992" t="s">
        <v>1954</v>
      </c>
      <c r="K2992" s="8">
        <v>28</v>
      </c>
    </row>
    <row r="2993" spans="1:11">
      <c r="A2993" t="s">
        <v>4931</v>
      </c>
      <c r="B2993" s="15">
        <v>46000</v>
      </c>
      <c r="C2993" s="4">
        <v>45992</v>
      </c>
      <c r="D2993" t="s">
        <v>47</v>
      </c>
      <c r="E2993" t="s">
        <v>21</v>
      </c>
      <c r="F2993" t="s">
        <v>49</v>
      </c>
      <c r="G2993" t="s">
        <v>218</v>
      </c>
      <c r="H2993" t="s">
        <v>14</v>
      </c>
      <c r="I2993" t="s">
        <v>1935</v>
      </c>
      <c r="J2993" t="s">
        <v>1954</v>
      </c>
      <c r="K2993" s="8">
        <v>32</v>
      </c>
    </row>
    <row r="2994" spans="1:11">
      <c r="A2994" t="s">
        <v>4932</v>
      </c>
      <c r="B2994" s="15">
        <v>46004</v>
      </c>
      <c r="C2994" s="4">
        <v>45992</v>
      </c>
      <c r="D2994" t="s">
        <v>47</v>
      </c>
      <c r="E2994" t="s">
        <v>21</v>
      </c>
      <c r="F2994" t="s">
        <v>49</v>
      </c>
      <c r="G2994" t="s">
        <v>218</v>
      </c>
      <c r="H2994" t="s">
        <v>14</v>
      </c>
      <c r="I2994" t="s">
        <v>1935</v>
      </c>
      <c r="J2994" t="s">
        <v>1936</v>
      </c>
      <c r="K2994" s="8">
        <v>31</v>
      </c>
    </row>
    <row r="2995" spans="1:11">
      <c r="A2995" t="s">
        <v>4933</v>
      </c>
      <c r="B2995" s="15">
        <v>45997</v>
      </c>
      <c r="C2995" s="4">
        <v>45992</v>
      </c>
      <c r="D2995" t="s">
        <v>47</v>
      </c>
      <c r="E2995" t="s">
        <v>21</v>
      </c>
      <c r="F2995" t="s">
        <v>49</v>
      </c>
      <c r="G2995" t="s">
        <v>170</v>
      </c>
      <c r="H2995" t="s">
        <v>8</v>
      </c>
      <c r="I2995" t="s">
        <v>1935</v>
      </c>
      <c r="J2995" t="s">
        <v>1936</v>
      </c>
      <c r="K2995" s="8">
        <v>29</v>
      </c>
    </row>
    <row r="2996" spans="1:11">
      <c r="A2996" t="s">
        <v>4934</v>
      </c>
      <c r="B2996" s="15">
        <v>45994</v>
      </c>
      <c r="C2996" s="4">
        <v>45992</v>
      </c>
      <c r="D2996" t="s">
        <v>47</v>
      </c>
      <c r="E2996" t="s">
        <v>21</v>
      </c>
      <c r="F2996" t="s">
        <v>49</v>
      </c>
      <c r="G2996" t="s">
        <v>212</v>
      </c>
      <c r="H2996" t="s">
        <v>14</v>
      </c>
      <c r="I2996" t="s">
        <v>1995</v>
      </c>
      <c r="J2996" t="s">
        <v>1936</v>
      </c>
      <c r="K2996" s="8">
        <v>6</v>
      </c>
    </row>
    <row r="2997" spans="1:11">
      <c r="A2997" t="s">
        <v>4935</v>
      </c>
      <c r="B2997" s="15">
        <v>46019</v>
      </c>
      <c r="C2997" s="4">
        <v>45992</v>
      </c>
      <c r="D2997" t="s">
        <v>47</v>
      </c>
      <c r="E2997" t="s">
        <v>21</v>
      </c>
      <c r="F2997" t="s">
        <v>49</v>
      </c>
      <c r="G2997" t="s">
        <v>218</v>
      </c>
      <c r="H2997" t="s">
        <v>14</v>
      </c>
      <c r="I2997" t="s">
        <v>1935</v>
      </c>
      <c r="J2997" t="s">
        <v>1938</v>
      </c>
      <c r="K2997" s="8">
        <v>15</v>
      </c>
    </row>
    <row r="2998" spans="1:11">
      <c r="A2998" t="s">
        <v>4936</v>
      </c>
      <c r="B2998" s="15">
        <v>46006</v>
      </c>
      <c r="C2998" s="4">
        <v>45992</v>
      </c>
      <c r="D2998" t="s">
        <v>47</v>
      </c>
      <c r="E2998" t="s">
        <v>21</v>
      </c>
      <c r="F2998" t="s">
        <v>49</v>
      </c>
      <c r="G2998" t="s">
        <v>218</v>
      </c>
      <c r="H2998" t="s">
        <v>8</v>
      </c>
      <c r="I2998" t="s">
        <v>1942</v>
      </c>
      <c r="J2998" t="s">
        <v>1936</v>
      </c>
      <c r="K2998" s="8">
        <v>5</v>
      </c>
    </row>
    <row r="2999" spans="1:11">
      <c r="A2999" t="s">
        <v>4937</v>
      </c>
      <c r="B2999" s="15">
        <v>46011</v>
      </c>
      <c r="C2999" s="4">
        <v>45992</v>
      </c>
      <c r="D2999" t="s">
        <v>47</v>
      </c>
      <c r="E2999" t="s">
        <v>21</v>
      </c>
      <c r="F2999" t="s">
        <v>49</v>
      </c>
      <c r="G2999" t="s">
        <v>218</v>
      </c>
      <c r="H2999" t="s">
        <v>14</v>
      </c>
      <c r="I2999" t="s">
        <v>1935</v>
      </c>
      <c r="J2999" t="s">
        <v>1936</v>
      </c>
      <c r="K2999" s="8">
        <v>21</v>
      </c>
    </row>
    <row r="3000" spans="1:11">
      <c r="A3000" t="s">
        <v>4938</v>
      </c>
      <c r="B3000" s="15">
        <v>46009</v>
      </c>
      <c r="C3000" s="4">
        <v>45992</v>
      </c>
      <c r="D3000" t="s">
        <v>47</v>
      </c>
      <c r="E3000" t="s">
        <v>21</v>
      </c>
      <c r="F3000" t="s">
        <v>49</v>
      </c>
      <c r="G3000" t="s">
        <v>218</v>
      </c>
      <c r="H3000" t="s">
        <v>14</v>
      </c>
      <c r="I3000" t="s">
        <v>1935</v>
      </c>
      <c r="J3000" t="s">
        <v>1938</v>
      </c>
      <c r="K3000" s="8">
        <v>34</v>
      </c>
    </row>
    <row r="3001" spans="1:11">
      <c r="A3001" t="s">
        <v>4939</v>
      </c>
      <c r="B3001" s="15">
        <v>46001</v>
      </c>
      <c r="C3001" s="4">
        <v>45992</v>
      </c>
      <c r="D3001" t="s">
        <v>47</v>
      </c>
      <c r="E3001" t="s">
        <v>21</v>
      </c>
      <c r="F3001" t="s">
        <v>49</v>
      </c>
      <c r="G3001" t="s">
        <v>218</v>
      </c>
      <c r="H3001" t="s">
        <v>14</v>
      </c>
      <c r="I3001" t="s">
        <v>1935</v>
      </c>
      <c r="J3001" t="s">
        <v>1938</v>
      </c>
      <c r="K3001" s="8">
        <v>12</v>
      </c>
    </row>
    <row r="3002" spans="1:11">
      <c r="A3002" t="s">
        <v>4940</v>
      </c>
      <c r="B3002" s="15">
        <v>46015</v>
      </c>
      <c r="C3002" s="4">
        <v>45992</v>
      </c>
      <c r="D3002" t="s">
        <v>50</v>
      </c>
      <c r="E3002" t="s">
        <v>23</v>
      </c>
      <c r="F3002" t="s">
        <v>52</v>
      </c>
      <c r="G3002" t="s">
        <v>292</v>
      </c>
      <c r="H3002" t="s">
        <v>11</v>
      </c>
      <c r="I3002" t="s">
        <v>1935</v>
      </c>
      <c r="J3002" t="s">
        <v>1936</v>
      </c>
      <c r="K3002" s="8">
        <v>24</v>
      </c>
    </row>
    <row r="3003" spans="1:11">
      <c r="A3003" t="s">
        <v>4941</v>
      </c>
      <c r="B3003" s="15">
        <v>45995</v>
      </c>
      <c r="C3003" s="4">
        <v>45992</v>
      </c>
      <c r="D3003" t="s">
        <v>50</v>
      </c>
      <c r="E3003" t="s">
        <v>23</v>
      </c>
      <c r="F3003" t="s">
        <v>52</v>
      </c>
      <c r="G3003" t="s">
        <v>292</v>
      </c>
      <c r="H3003" t="s">
        <v>11</v>
      </c>
      <c r="I3003" t="s">
        <v>1935</v>
      </c>
      <c r="J3003" t="s">
        <v>1938</v>
      </c>
      <c r="K3003" s="8">
        <v>18</v>
      </c>
    </row>
    <row r="3004" spans="1:11">
      <c r="A3004" t="s">
        <v>4942</v>
      </c>
      <c r="B3004" s="15">
        <v>45995</v>
      </c>
      <c r="C3004" s="4">
        <v>45992</v>
      </c>
      <c r="D3004" t="s">
        <v>50</v>
      </c>
      <c r="E3004" t="s">
        <v>23</v>
      </c>
      <c r="F3004" t="s">
        <v>52</v>
      </c>
      <c r="G3004" t="s">
        <v>310</v>
      </c>
      <c r="H3004" t="s">
        <v>11</v>
      </c>
      <c r="I3004" t="s">
        <v>1935</v>
      </c>
      <c r="J3004" t="s">
        <v>1936</v>
      </c>
      <c r="K3004" s="8">
        <v>18</v>
      </c>
    </row>
    <row r="3005" spans="1:11">
      <c r="A3005" t="s">
        <v>4943</v>
      </c>
      <c r="B3005" s="15">
        <v>45994</v>
      </c>
      <c r="C3005" s="4">
        <v>45992</v>
      </c>
      <c r="D3005" t="s">
        <v>50</v>
      </c>
      <c r="E3005" t="s">
        <v>23</v>
      </c>
      <c r="F3005" t="s">
        <v>52</v>
      </c>
      <c r="G3005" t="s">
        <v>292</v>
      </c>
      <c r="H3005" t="s">
        <v>8</v>
      </c>
      <c r="I3005" t="s">
        <v>1935</v>
      </c>
      <c r="J3005" t="s">
        <v>1954</v>
      </c>
      <c r="K3005" s="8">
        <v>35</v>
      </c>
    </row>
    <row r="3006" spans="1:11">
      <c r="A3006" t="s">
        <v>4944</v>
      </c>
      <c r="B3006" s="15">
        <v>46003</v>
      </c>
      <c r="C3006" s="4">
        <v>45992</v>
      </c>
      <c r="D3006" t="s">
        <v>50</v>
      </c>
      <c r="E3006" t="s">
        <v>23</v>
      </c>
      <c r="F3006" t="s">
        <v>52</v>
      </c>
      <c r="G3006" t="s">
        <v>304</v>
      </c>
      <c r="H3006" t="s">
        <v>8</v>
      </c>
      <c r="I3006" t="s">
        <v>1935</v>
      </c>
      <c r="J3006" t="s">
        <v>1954</v>
      </c>
      <c r="K3006" s="8">
        <v>34</v>
      </c>
    </row>
    <row r="3007" spans="1:11">
      <c r="A3007" t="s">
        <v>4945</v>
      </c>
      <c r="B3007" s="15">
        <v>46018</v>
      </c>
      <c r="C3007" s="4">
        <v>45992</v>
      </c>
      <c r="D3007" t="s">
        <v>50</v>
      </c>
      <c r="E3007" t="s">
        <v>23</v>
      </c>
      <c r="F3007" t="s">
        <v>52</v>
      </c>
      <c r="G3007" t="s">
        <v>250</v>
      </c>
      <c r="H3007" t="s">
        <v>11</v>
      </c>
      <c r="I3007" t="s">
        <v>1935</v>
      </c>
      <c r="J3007" t="s">
        <v>1936</v>
      </c>
      <c r="K3007" s="8">
        <v>25</v>
      </c>
    </row>
    <row r="3008" spans="1:11">
      <c r="A3008" t="s">
        <v>4946</v>
      </c>
      <c r="B3008" s="15">
        <v>46002</v>
      </c>
      <c r="C3008" s="4">
        <v>45992</v>
      </c>
      <c r="D3008" t="s">
        <v>50</v>
      </c>
      <c r="E3008" t="s">
        <v>23</v>
      </c>
      <c r="F3008" t="s">
        <v>52</v>
      </c>
      <c r="G3008" t="s">
        <v>244</v>
      </c>
      <c r="H3008" t="s">
        <v>5</v>
      </c>
      <c r="I3008" t="s">
        <v>1935</v>
      </c>
      <c r="J3008" t="s">
        <v>1938</v>
      </c>
      <c r="K3008" s="8">
        <v>23</v>
      </c>
    </row>
    <row r="3009" spans="1:11">
      <c r="A3009" t="s">
        <v>4947</v>
      </c>
      <c r="B3009" s="15">
        <v>46001</v>
      </c>
      <c r="C3009" s="4">
        <v>45992</v>
      </c>
      <c r="D3009" t="s">
        <v>50</v>
      </c>
      <c r="E3009" t="s">
        <v>23</v>
      </c>
      <c r="F3009" t="s">
        <v>52</v>
      </c>
      <c r="G3009" t="s">
        <v>244</v>
      </c>
      <c r="H3009" t="s">
        <v>5</v>
      </c>
      <c r="I3009" t="s">
        <v>1935</v>
      </c>
      <c r="J3009" t="s">
        <v>1936</v>
      </c>
      <c r="K3009" s="8">
        <v>21</v>
      </c>
    </row>
    <row r="3010" spans="1:11">
      <c r="A3010" t="s">
        <v>4948</v>
      </c>
      <c r="B3010" s="15">
        <v>45996</v>
      </c>
      <c r="C3010" s="4">
        <v>45992</v>
      </c>
      <c r="D3010" t="s">
        <v>50</v>
      </c>
      <c r="E3010" t="s">
        <v>23</v>
      </c>
      <c r="F3010" t="s">
        <v>52</v>
      </c>
      <c r="G3010" t="s">
        <v>244</v>
      </c>
      <c r="H3010" t="s">
        <v>11</v>
      </c>
      <c r="I3010" t="s">
        <v>1935</v>
      </c>
      <c r="J3010" t="s">
        <v>1936</v>
      </c>
      <c r="K3010" s="8">
        <v>26</v>
      </c>
    </row>
    <row r="3011" spans="1:11">
      <c r="A3011" t="s">
        <v>4949</v>
      </c>
      <c r="B3011" s="15">
        <v>46012</v>
      </c>
      <c r="C3011" s="4">
        <v>45992</v>
      </c>
      <c r="D3011" t="s">
        <v>50</v>
      </c>
      <c r="E3011" t="s">
        <v>23</v>
      </c>
      <c r="F3011" t="s">
        <v>52</v>
      </c>
      <c r="G3011" t="s">
        <v>292</v>
      </c>
      <c r="H3011" t="s">
        <v>11</v>
      </c>
      <c r="I3011" t="s">
        <v>1935</v>
      </c>
      <c r="J3011" t="s">
        <v>1936</v>
      </c>
      <c r="K3011" s="8">
        <v>8</v>
      </c>
    </row>
    <row r="3012" spans="1:11">
      <c r="A3012" t="s">
        <v>4950</v>
      </c>
      <c r="B3012" s="15">
        <v>46005</v>
      </c>
      <c r="C3012" s="4">
        <v>45992</v>
      </c>
      <c r="D3012" t="s">
        <v>50</v>
      </c>
      <c r="E3012" t="s">
        <v>23</v>
      </c>
      <c r="F3012" t="s">
        <v>52</v>
      </c>
      <c r="G3012" t="s">
        <v>244</v>
      </c>
      <c r="H3012" t="s">
        <v>11</v>
      </c>
      <c r="I3012" t="s">
        <v>1942</v>
      </c>
      <c r="J3012" t="s">
        <v>1936</v>
      </c>
      <c r="K3012" s="8">
        <v>5</v>
      </c>
    </row>
    <row r="3013" spans="1:11">
      <c r="A3013" t="s">
        <v>4951</v>
      </c>
      <c r="B3013" s="15">
        <v>46007</v>
      </c>
      <c r="C3013" s="4">
        <v>45992</v>
      </c>
      <c r="D3013" t="s">
        <v>53</v>
      </c>
      <c r="E3013" t="s">
        <v>23</v>
      </c>
      <c r="F3013" t="s">
        <v>55</v>
      </c>
      <c r="G3013" t="s">
        <v>282</v>
      </c>
      <c r="H3013" t="s">
        <v>8</v>
      </c>
      <c r="I3013" t="s">
        <v>1935</v>
      </c>
      <c r="J3013" t="s">
        <v>1936</v>
      </c>
      <c r="K3013" s="8">
        <v>14</v>
      </c>
    </row>
    <row r="3014" spans="1:11">
      <c r="A3014" t="s">
        <v>4952</v>
      </c>
      <c r="B3014" s="15">
        <v>46005</v>
      </c>
      <c r="C3014" s="4">
        <v>45992</v>
      </c>
      <c r="D3014" t="s">
        <v>53</v>
      </c>
      <c r="E3014" t="s">
        <v>23</v>
      </c>
      <c r="F3014" t="s">
        <v>55</v>
      </c>
      <c r="G3014" t="s">
        <v>258</v>
      </c>
      <c r="H3014" t="s">
        <v>11</v>
      </c>
      <c r="I3014" t="s">
        <v>1935</v>
      </c>
      <c r="J3014" t="s">
        <v>1954</v>
      </c>
      <c r="K3014" s="8">
        <v>28</v>
      </c>
    </row>
    <row r="3015" spans="1:11">
      <c r="A3015" t="s">
        <v>4953</v>
      </c>
      <c r="B3015" s="15">
        <v>46008</v>
      </c>
      <c r="C3015" s="4">
        <v>45992</v>
      </c>
      <c r="D3015" t="s">
        <v>53</v>
      </c>
      <c r="E3015" t="s">
        <v>23</v>
      </c>
      <c r="F3015" t="s">
        <v>55</v>
      </c>
      <c r="G3015" t="s">
        <v>264</v>
      </c>
      <c r="H3015" t="s">
        <v>14</v>
      </c>
      <c r="I3015" t="s">
        <v>1935</v>
      </c>
      <c r="J3015" t="s">
        <v>1936</v>
      </c>
      <c r="K3015" s="8">
        <v>8</v>
      </c>
    </row>
    <row r="3016" spans="1:11">
      <c r="A3016" t="s">
        <v>4954</v>
      </c>
      <c r="B3016" s="15">
        <v>46014</v>
      </c>
      <c r="C3016" s="4">
        <v>45992</v>
      </c>
      <c r="D3016" t="s">
        <v>53</v>
      </c>
      <c r="E3016" t="s">
        <v>23</v>
      </c>
      <c r="F3016" t="s">
        <v>55</v>
      </c>
      <c r="G3016" t="s">
        <v>276</v>
      </c>
      <c r="H3016" t="s">
        <v>11</v>
      </c>
      <c r="I3016" t="s">
        <v>1935</v>
      </c>
      <c r="J3016" t="s">
        <v>1938</v>
      </c>
      <c r="K3016" s="8">
        <v>33</v>
      </c>
    </row>
    <row r="3017" spans="1:11">
      <c r="A3017" t="s">
        <v>4955</v>
      </c>
      <c r="B3017" s="15">
        <v>46006</v>
      </c>
      <c r="C3017" s="4">
        <v>45992</v>
      </c>
      <c r="D3017" t="s">
        <v>53</v>
      </c>
      <c r="E3017" t="s">
        <v>23</v>
      </c>
      <c r="F3017" t="s">
        <v>55</v>
      </c>
      <c r="G3017" t="s">
        <v>252</v>
      </c>
      <c r="H3017" t="s">
        <v>5</v>
      </c>
      <c r="I3017" t="s">
        <v>1935</v>
      </c>
      <c r="J3017" t="s">
        <v>1936</v>
      </c>
      <c r="K3017" s="8">
        <v>21</v>
      </c>
    </row>
    <row r="3018" spans="1:11">
      <c r="A3018" t="s">
        <v>4956</v>
      </c>
      <c r="B3018" s="15">
        <v>46021</v>
      </c>
      <c r="C3018" s="4">
        <v>45992</v>
      </c>
      <c r="D3018" t="s">
        <v>53</v>
      </c>
      <c r="E3018" t="s">
        <v>23</v>
      </c>
      <c r="F3018" t="s">
        <v>55</v>
      </c>
      <c r="G3018" t="s">
        <v>240</v>
      </c>
      <c r="H3018" t="s">
        <v>14</v>
      </c>
      <c r="I3018" t="s">
        <v>1935</v>
      </c>
      <c r="J3018" t="s">
        <v>1936</v>
      </c>
      <c r="K3018" s="8">
        <v>24</v>
      </c>
    </row>
    <row r="3019" spans="1:11">
      <c r="A3019" t="s">
        <v>4957</v>
      </c>
      <c r="B3019" s="15">
        <v>46007</v>
      </c>
      <c r="C3019" s="4">
        <v>45992</v>
      </c>
      <c r="D3019" t="s">
        <v>53</v>
      </c>
      <c r="E3019" t="s">
        <v>23</v>
      </c>
      <c r="F3019" t="s">
        <v>55</v>
      </c>
      <c r="G3019" t="s">
        <v>312</v>
      </c>
      <c r="H3019" t="s">
        <v>5</v>
      </c>
      <c r="I3019" t="s">
        <v>1942</v>
      </c>
      <c r="J3019" t="s">
        <v>1938</v>
      </c>
      <c r="K3019" s="8">
        <v>6</v>
      </c>
    </row>
    <row r="3020" spans="1:11">
      <c r="A3020" t="s">
        <v>4958</v>
      </c>
      <c r="B3020" s="15">
        <v>46022</v>
      </c>
      <c r="C3020" s="4">
        <v>45992</v>
      </c>
      <c r="D3020" t="s">
        <v>53</v>
      </c>
      <c r="E3020" t="s">
        <v>23</v>
      </c>
      <c r="F3020" t="s">
        <v>55</v>
      </c>
      <c r="G3020" t="s">
        <v>246</v>
      </c>
      <c r="H3020" t="s">
        <v>14</v>
      </c>
      <c r="I3020" t="s">
        <v>1935</v>
      </c>
      <c r="J3020" t="s">
        <v>1938</v>
      </c>
      <c r="K3020" s="8">
        <v>35</v>
      </c>
    </row>
    <row r="3021" spans="1:11">
      <c r="A3021" t="s">
        <v>4959</v>
      </c>
      <c r="B3021" s="15">
        <v>45996</v>
      </c>
      <c r="C3021" s="4">
        <v>45992</v>
      </c>
      <c r="D3021" t="s">
        <v>56</v>
      </c>
      <c r="E3021" t="s">
        <v>23</v>
      </c>
      <c r="F3021" t="s">
        <v>58</v>
      </c>
      <c r="G3021" t="s">
        <v>242</v>
      </c>
      <c r="H3021" t="s">
        <v>5</v>
      </c>
      <c r="I3021" t="s">
        <v>1935</v>
      </c>
      <c r="J3021" t="s">
        <v>1936</v>
      </c>
      <c r="K3021" s="8">
        <v>16</v>
      </c>
    </row>
    <row r="3022" spans="1:11">
      <c r="A3022" t="s">
        <v>4960</v>
      </c>
      <c r="B3022" s="15">
        <v>46020</v>
      </c>
      <c r="C3022" s="4">
        <v>45992</v>
      </c>
      <c r="D3022" t="s">
        <v>56</v>
      </c>
      <c r="E3022" t="s">
        <v>23</v>
      </c>
      <c r="F3022" t="s">
        <v>58</v>
      </c>
      <c r="G3022" t="s">
        <v>302</v>
      </c>
      <c r="H3022" t="s">
        <v>5</v>
      </c>
      <c r="I3022" t="s">
        <v>1935</v>
      </c>
      <c r="J3022" t="s">
        <v>1936</v>
      </c>
      <c r="K3022" s="8">
        <v>11</v>
      </c>
    </row>
    <row r="3023" spans="1:11">
      <c r="A3023" t="s">
        <v>4961</v>
      </c>
      <c r="B3023" s="15">
        <v>45996</v>
      </c>
      <c r="C3023" s="4">
        <v>45992</v>
      </c>
      <c r="D3023" t="s">
        <v>56</v>
      </c>
      <c r="E3023" t="s">
        <v>23</v>
      </c>
      <c r="F3023" t="s">
        <v>58</v>
      </c>
      <c r="G3023" t="s">
        <v>266</v>
      </c>
      <c r="H3023" t="s">
        <v>8</v>
      </c>
      <c r="I3023" t="s">
        <v>1935</v>
      </c>
      <c r="J3023" t="s">
        <v>1936</v>
      </c>
      <c r="K3023" s="8">
        <v>13</v>
      </c>
    </row>
    <row r="3024" spans="1:11">
      <c r="A3024" t="s">
        <v>4962</v>
      </c>
      <c r="B3024" s="15">
        <v>46003</v>
      </c>
      <c r="C3024" s="4">
        <v>45992</v>
      </c>
      <c r="D3024" t="s">
        <v>56</v>
      </c>
      <c r="E3024" t="s">
        <v>23</v>
      </c>
      <c r="F3024" t="s">
        <v>58</v>
      </c>
      <c r="G3024" t="s">
        <v>284</v>
      </c>
      <c r="H3024" t="s">
        <v>14</v>
      </c>
      <c r="I3024" t="s">
        <v>1935</v>
      </c>
      <c r="J3024" t="s">
        <v>1938</v>
      </c>
      <c r="K3024" s="8">
        <v>14</v>
      </c>
    </row>
    <row r="3025" spans="1:11">
      <c r="A3025" t="s">
        <v>4963</v>
      </c>
      <c r="B3025" s="15">
        <v>46001</v>
      </c>
      <c r="C3025" s="4">
        <v>45992</v>
      </c>
      <c r="D3025" t="s">
        <v>56</v>
      </c>
      <c r="E3025" t="s">
        <v>23</v>
      </c>
      <c r="F3025" t="s">
        <v>58</v>
      </c>
      <c r="G3025" t="s">
        <v>248</v>
      </c>
      <c r="H3025" t="s">
        <v>11</v>
      </c>
      <c r="I3025" t="s">
        <v>1935</v>
      </c>
      <c r="J3025" t="s">
        <v>1936</v>
      </c>
      <c r="K3025" s="8">
        <v>23</v>
      </c>
    </row>
    <row r="3026" spans="1:11">
      <c r="A3026" t="s">
        <v>4964</v>
      </c>
      <c r="B3026" s="15">
        <v>46004</v>
      </c>
      <c r="C3026" s="4">
        <v>45992</v>
      </c>
      <c r="D3026" t="s">
        <v>56</v>
      </c>
      <c r="E3026" t="s">
        <v>23</v>
      </c>
      <c r="F3026" t="s">
        <v>58</v>
      </c>
      <c r="G3026" t="s">
        <v>266</v>
      </c>
      <c r="H3026" t="s">
        <v>11</v>
      </c>
      <c r="I3026" t="s">
        <v>1935</v>
      </c>
      <c r="J3026" t="s">
        <v>1954</v>
      </c>
      <c r="K3026" s="8">
        <v>10</v>
      </c>
    </row>
    <row r="3027" spans="1:11">
      <c r="A3027" t="s">
        <v>4965</v>
      </c>
      <c r="B3027" s="15">
        <v>45993</v>
      </c>
      <c r="C3027" s="4">
        <v>45992</v>
      </c>
      <c r="D3027" t="s">
        <v>56</v>
      </c>
      <c r="E3027" t="s">
        <v>23</v>
      </c>
      <c r="F3027" t="s">
        <v>58</v>
      </c>
      <c r="G3027" t="s">
        <v>248</v>
      </c>
      <c r="H3027" t="s">
        <v>11</v>
      </c>
      <c r="I3027" t="s">
        <v>1935</v>
      </c>
      <c r="J3027" t="s">
        <v>1936</v>
      </c>
      <c r="K3027" s="8">
        <v>16</v>
      </c>
    </row>
    <row r="3028" spans="1:11">
      <c r="A3028" t="s">
        <v>4966</v>
      </c>
      <c r="B3028" s="15">
        <v>45995</v>
      </c>
      <c r="C3028" s="4">
        <v>45992</v>
      </c>
      <c r="D3028" t="s">
        <v>56</v>
      </c>
      <c r="E3028" t="s">
        <v>23</v>
      </c>
      <c r="F3028" t="s">
        <v>58</v>
      </c>
      <c r="G3028" t="s">
        <v>260</v>
      </c>
      <c r="H3028" t="s">
        <v>11</v>
      </c>
      <c r="I3028" t="s">
        <v>1935</v>
      </c>
      <c r="J3028" t="s">
        <v>1936</v>
      </c>
      <c r="K3028" s="8">
        <v>29</v>
      </c>
    </row>
    <row r="3029" spans="1:11">
      <c r="A3029" t="s">
        <v>4967</v>
      </c>
      <c r="B3029" s="15">
        <v>46004</v>
      </c>
      <c r="C3029" s="4">
        <v>45992</v>
      </c>
      <c r="D3029" t="s">
        <v>56</v>
      </c>
      <c r="E3029" t="s">
        <v>23</v>
      </c>
      <c r="F3029" t="s">
        <v>58</v>
      </c>
      <c r="G3029" t="s">
        <v>242</v>
      </c>
      <c r="H3029" t="s">
        <v>11</v>
      </c>
      <c r="I3029" t="s">
        <v>1935</v>
      </c>
      <c r="J3029" t="s">
        <v>1938</v>
      </c>
      <c r="K3029" s="8">
        <v>10</v>
      </c>
    </row>
    <row r="3030" spans="1:11">
      <c r="A3030" t="s">
        <v>4968</v>
      </c>
      <c r="B3030" s="15">
        <v>46006</v>
      </c>
      <c r="C3030" s="4">
        <v>45992</v>
      </c>
      <c r="D3030" t="s">
        <v>56</v>
      </c>
      <c r="E3030" t="s">
        <v>23</v>
      </c>
      <c r="F3030" t="s">
        <v>58</v>
      </c>
      <c r="G3030" t="s">
        <v>242</v>
      </c>
      <c r="H3030" t="s">
        <v>11</v>
      </c>
      <c r="I3030" t="s">
        <v>1935</v>
      </c>
      <c r="J3030" t="s">
        <v>1938</v>
      </c>
      <c r="K3030" s="8">
        <v>34</v>
      </c>
    </row>
    <row r="3031" spans="1:11">
      <c r="A3031" t="s">
        <v>4969</v>
      </c>
      <c r="B3031" s="15">
        <v>45999</v>
      </c>
      <c r="C3031" s="4">
        <v>45992</v>
      </c>
      <c r="D3031" t="s">
        <v>56</v>
      </c>
      <c r="E3031" t="s">
        <v>23</v>
      </c>
      <c r="F3031" t="s">
        <v>58</v>
      </c>
      <c r="G3031" t="s">
        <v>248</v>
      </c>
      <c r="H3031" t="s">
        <v>11</v>
      </c>
      <c r="I3031" t="s">
        <v>1935</v>
      </c>
      <c r="J3031" t="s">
        <v>1938</v>
      </c>
      <c r="K3031" s="8">
        <v>30</v>
      </c>
    </row>
    <row r="3032" spans="1:11">
      <c r="A3032" t="s">
        <v>4970</v>
      </c>
      <c r="B3032" s="15">
        <v>46016</v>
      </c>
      <c r="C3032" s="4">
        <v>45992</v>
      </c>
      <c r="D3032" t="s">
        <v>56</v>
      </c>
      <c r="E3032" t="s">
        <v>23</v>
      </c>
      <c r="F3032" t="s">
        <v>58</v>
      </c>
      <c r="G3032" t="s">
        <v>278</v>
      </c>
      <c r="H3032" t="s">
        <v>14</v>
      </c>
      <c r="I3032" t="s">
        <v>1935</v>
      </c>
      <c r="J3032" t="s">
        <v>1936</v>
      </c>
      <c r="K3032" s="8">
        <v>27</v>
      </c>
    </row>
    <row r="3033" spans="1:11">
      <c r="A3033" t="s">
        <v>4971</v>
      </c>
      <c r="B3033" s="15">
        <v>46000</v>
      </c>
      <c r="C3033" s="4">
        <v>45992</v>
      </c>
      <c r="D3033" t="s">
        <v>56</v>
      </c>
      <c r="E3033" t="s">
        <v>23</v>
      </c>
      <c r="F3033" t="s">
        <v>58</v>
      </c>
      <c r="G3033" t="s">
        <v>248</v>
      </c>
      <c r="H3033" t="s">
        <v>11</v>
      </c>
      <c r="I3033" t="s">
        <v>1935</v>
      </c>
      <c r="J3033" t="s">
        <v>1954</v>
      </c>
      <c r="K3033" s="8">
        <v>16</v>
      </c>
    </row>
    <row r="3034" spans="1:11">
      <c r="A3034" t="s">
        <v>4972</v>
      </c>
      <c r="B3034" s="15">
        <v>46016</v>
      </c>
      <c r="C3034" s="4">
        <v>45992</v>
      </c>
      <c r="D3034" t="s">
        <v>59</v>
      </c>
      <c r="E3034" t="s">
        <v>25</v>
      </c>
      <c r="F3034" t="s">
        <v>61</v>
      </c>
      <c r="G3034" t="s">
        <v>320</v>
      </c>
      <c r="H3034" t="s">
        <v>11</v>
      </c>
      <c r="I3034" t="s">
        <v>1935</v>
      </c>
      <c r="J3034" t="s">
        <v>1938</v>
      </c>
      <c r="K3034" s="8">
        <v>15</v>
      </c>
    </row>
    <row r="3035" spans="1:11">
      <c r="A3035" t="s">
        <v>4973</v>
      </c>
      <c r="B3035" s="15">
        <v>46015</v>
      </c>
      <c r="C3035" s="4">
        <v>45992</v>
      </c>
      <c r="D3035" t="s">
        <v>59</v>
      </c>
      <c r="E3035" t="s">
        <v>25</v>
      </c>
      <c r="F3035" t="s">
        <v>61</v>
      </c>
      <c r="G3035" t="s">
        <v>314</v>
      </c>
      <c r="H3035" t="s">
        <v>5</v>
      </c>
      <c r="I3035" t="s">
        <v>1935</v>
      </c>
      <c r="J3035" t="s">
        <v>1936</v>
      </c>
      <c r="K3035" s="8">
        <v>24</v>
      </c>
    </row>
    <row r="3036" spans="1:11">
      <c r="A3036" t="s">
        <v>4974</v>
      </c>
      <c r="B3036" s="15">
        <v>46003</v>
      </c>
      <c r="C3036" s="4">
        <v>45992</v>
      </c>
      <c r="D3036" t="s">
        <v>59</v>
      </c>
      <c r="E3036" t="s">
        <v>25</v>
      </c>
      <c r="F3036" t="s">
        <v>61</v>
      </c>
      <c r="G3036" t="s">
        <v>380</v>
      </c>
      <c r="H3036" t="s">
        <v>11</v>
      </c>
      <c r="I3036" t="s">
        <v>1935</v>
      </c>
      <c r="J3036" t="s">
        <v>1936</v>
      </c>
      <c r="K3036" s="8">
        <v>9</v>
      </c>
    </row>
    <row r="3037" spans="1:11">
      <c r="A3037" t="s">
        <v>4975</v>
      </c>
      <c r="B3037" s="15">
        <v>46010</v>
      </c>
      <c r="C3037" s="4">
        <v>45992</v>
      </c>
      <c r="D3037" t="s">
        <v>59</v>
      </c>
      <c r="E3037" t="s">
        <v>25</v>
      </c>
      <c r="F3037" t="s">
        <v>61</v>
      </c>
      <c r="G3037" t="s">
        <v>326</v>
      </c>
      <c r="H3037" t="s">
        <v>5</v>
      </c>
      <c r="I3037" t="s">
        <v>1935</v>
      </c>
      <c r="J3037" t="s">
        <v>1936</v>
      </c>
      <c r="K3037" s="8">
        <v>17</v>
      </c>
    </row>
    <row r="3038" spans="1:11">
      <c r="A3038" t="s">
        <v>4976</v>
      </c>
      <c r="B3038" s="15">
        <v>46019</v>
      </c>
      <c r="C3038" s="4">
        <v>45992</v>
      </c>
      <c r="D3038" t="s">
        <v>59</v>
      </c>
      <c r="E3038" t="s">
        <v>25</v>
      </c>
      <c r="F3038" t="s">
        <v>61</v>
      </c>
      <c r="G3038" t="s">
        <v>368</v>
      </c>
      <c r="H3038" t="s">
        <v>14</v>
      </c>
      <c r="I3038" t="s">
        <v>1935</v>
      </c>
      <c r="J3038" t="s">
        <v>1936</v>
      </c>
      <c r="K3038" s="8">
        <v>28</v>
      </c>
    </row>
    <row r="3039" spans="1:11">
      <c r="A3039" t="s">
        <v>4977</v>
      </c>
      <c r="B3039" s="15">
        <v>46014</v>
      </c>
      <c r="C3039" s="4">
        <v>45992</v>
      </c>
      <c r="D3039" t="s">
        <v>59</v>
      </c>
      <c r="E3039" t="s">
        <v>25</v>
      </c>
      <c r="F3039" t="s">
        <v>61</v>
      </c>
      <c r="G3039" t="s">
        <v>380</v>
      </c>
      <c r="H3039" t="s">
        <v>11</v>
      </c>
      <c r="I3039" t="s">
        <v>1942</v>
      </c>
      <c r="J3039" t="s">
        <v>1936</v>
      </c>
      <c r="K3039" s="8">
        <v>8</v>
      </c>
    </row>
    <row r="3040" spans="1:11">
      <c r="A3040" t="s">
        <v>4978</v>
      </c>
      <c r="B3040" s="15">
        <v>46020</v>
      </c>
      <c r="C3040" s="4">
        <v>45992</v>
      </c>
      <c r="D3040" t="s">
        <v>59</v>
      </c>
      <c r="E3040" t="s">
        <v>25</v>
      </c>
      <c r="F3040" t="s">
        <v>61</v>
      </c>
      <c r="G3040" t="s">
        <v>326</v>
      </c>
      <c r="H3040" t="s">
        <v>8</v>
      </c>
      <c r="I3040" t="s">
        <v>1935</v>
      </c>
      <c r="J3040" t="s">
        <v>1936</v>
      </c>
      <c r="K3040" s="8">
        <v>29</v>
      </c>
    </row>
    <row r="3041" spans="1:11">
      <c r="A3041" t="s">
        <v>4979</v>
      </c>
      <c r="B3041" s="15">
        <v>45995</v>
      </c>
      <c r="C3041" s="4">
        <v>45992</v>
      </c>
      <c r="D3041" t="s">
        <v>59</v>
      </c>
      <c r="E3041" t="s">
        <v>25</v>
      </c>
      <c r="F3041" t="s">
        <v>61</v>
      </c>
      <c r="G3041" t="s">
        <v>368</v>
      </c>
      <c r="H3041" t="s">
        <v>14</v>
      </c>
      <c r="I3041" t="s">
        <v>1935</v>
      </c>
      <c r="J3041" t="s">
        <v>1954</v>
      </c>
      <c r="K3041" s="8">
        <v>27</v>
      </c>
    </row>
    <row r="3042" spans="1:11">
      <c r="A3042" t="s">
        <v>4980</v>
      </c>
      <c r="B3042" s="15">
        <v>46020</v>
      </c>
      <c r="C3042" s="4">
        <v>45992</v>
      </c>
      <c r="D3042" t="s">
        <v>59</v>
      </c>
      <c r="E3042" t="s">
        <v>25</v>
      </c>
      <c r="F3042" t="s">
        <v>61</v>
      </c>
      <c r="G3042" t="s">
        <v>380</v>
      </c>
      <c r="H3042" t="s">
        <v>11</v>
      </c>
      <c r="I3042" t="s">
        <v>1935</v>
      </c>
      <c r="J3042" t="s">
        <v>1936</v>
      </c>
      <c r="K3042" s="8">
        <v>28</v>
      </c>
    </row>
    <row r="3043" spans="1:11">
      <c r="A3043" t="s">
        <v>4981</v>
      </c>
      <c r="B3043" s="15">
        <v>46007</v>
      </c>
      <c r="C3043" s="4">
        <v>45992</v>
      </c>
      <c r="D3043" t="s">
        <v>59</v>
      </c>
      <c r="E3043" t="s">
        <v>25</v>
      </c>
      <c r="F3043" t="s">
        <v>61</v>
      </c>
      <c r="G3043" t="s">
        <v>350</v>
      </c>
      <c r="H3043" t="s">
        <v>5</v>
      </c>
      <c r="I3043" t="s">
        <v>1942</v>
      </c>
      <c r="J3043" t="s">
        <v>1936</v>
      </c>
      <c r="K3043" s="8">
        <v>7</v>
      </c>
    </row>
    <row r="3044" spans="1:11">
      <c r="A3044" t="s">
        <v>4982</v>
      </c>
      <c r="B3044" s="15">
        <v>46022</v>
      </c>
      <c r="C3044" s="4">
        <v>45992</v>
      </c>
      <c r="D3044" t="s">
        <v>59</v>
      </c>
      <c r="E3044" t="s">
        <v>25</v>
      </c>
      <c r="F3044" t="s">
        <v>61</v>
      </c>
      <c r="G3044" t="s">
        <v>368</v>
      </c>
      <c r="H3044" t="s">
        <v>14</v>
      </c>
      <c r="I3044" t="s">
        <v>1935</v>
      </c>
      <c r="J3044" t="s">
        <v>1936</v>
      </c>
      <c r="K3044" s="8">
        <v>14</v>
      </c>
    </row>
    <row r="3045" spans="1:11">
      <c r="A3045" t="s">
        <v>4983</v>
      </c>
      <c r="B3045" s="15">
        <v>46008</v>
      </c>
      <c r="C3045" s="4">
        <v>45992</v>
      </c>
      <c r="D3045" t="s">
        <v>62</v>
      </c>
      <c r="E3045" t="s">
        <v>25</v>
      </c>
      <c r="F3045" t="s">
        <v>64</v>
      </c>
      <c r="G3045" t="s">
        <v>358</v>
      </c>
      <c r="H3045" t="s">
        <v>14</v>
      </c>
      <c r="I3045" t="s">
        <v>1935</v>
      </c>
      <c r="J3045" t="s">
        <v>1936</v>
      </c>
      <c r="K3045" s="8">
        <v>35</v>
      </c>
    </row>
    <row r="3046" spans="1:11">
      <c r="A3046" t="s">
        <v>4984</v>
      </c>
      <c r="B3046" s="15">
        <v>46012</v>
      </c>
      <c r="C3046" s="4">
        <v>45992</v>
      </c>
      <c r="D3046" t="s">
        <v>62</v>
      </c>
      <c r="E3046" t="s">
        <v>25</v>
      </c>
      <c r="F3046" t="s">
        <v>64</v>
      </c>
      <c r="G3046" t="s">
        <v>340</v>
      </c>
      <c r="H3046" t="s">
        <v>8</v>
      </c>
      <c r="I3046" t="s">
        <v>1935</v>
      </c>
      <c r="J3046" t="s">
        <v>1936</v>
      </c>
      <c r="K3046" s="8">
        <v>20</v>
      </c>
    </row>
    <row r="3047" spans="1:11">
      <c r="A3047" t="s">
        <v>4985</v>
      </c>
      <c r="B3047" s="15">
        <v>46010</v>
      </c>
      <c r="C3047" s="4">
        <v>45992</v>
      </c>
      <c r="D3047" t="s">
        <v>62</v>
      </c>
      <c r="E3047" t="s">
        <v>25</v>
      </c>
      <c r="F3047" t="s">
        <v>64</v>
      </c>
      <c r="G3047" t="s">
        <v>358</v>
      </c>
      <c r="H3047" t="s">
        <v>8</v>
      </c>
      <c r="I3047" t="s">
        <v>1935</v>
      </c>
      <c r="J3047" t="s">
        <v>1936</v>
      </c>
      <c r="K3047" s="8">
        <v>28</v>
      </c>
    </row>
    <row r="3048" spans="1:11">
      <c r="A3048" t="s">
        <v>4986</v>
      </c>
      <c r="B3048" s="15">
        <v>46007</v>
      </c>
      <c r="C3048" s="4">
        <v>45992</v>
      </c>
      <c r="D3048" t="s">
        <v>62</v>
      </c>
      <c r="E3048" t="s">
        <v>25</v>
      </c>
      <c r="F3048" t="s">
        <v>64</v>
      </c>
      <c r="G3048" t="s">
        <v>322</v>
      </c>
      <c r="H3048" t="s">
        <v>8</v>
      </c>
      <c r="I3048" t="s">
        <v>1935</v>
      </c>
      <c r="J3048" t="s">
        <v>1954</v>
      </c>
      <c r="K3048" s="8">
        <v>17</v>
      </c>
    </row>
    <row r="3049" spans="1:11">
      <c r="A3049" t="s">
        <v>4987</v>
      </c>
      <c r="B3049" s="15">
        <v>46001</v>
      </c>
      <c r="C3049" s="4">
        <v>45992</v>
      </c>
      <c r="D3049" t="s">
        <v>62</v>
      </c>
      <c r="E3049" t="s">
        <v>25</v>
      </c>
      <c r="F3049" t="s">
        <v>64</v>
      </c>
      <c r="G3049" t="s">
        <v>370</v>
      </c>
      <c r="H3049" t="s">
        <v>11</v>
      </c>
      <c r="I3049" t="s">
        <v>1935</v>
      </c>
      <c r="J3049" t="s">
        <v>1938</v>
      </c>
      <c r="K3049" s="8">
        <v>17</v>
      </c>
    </row>
    <row r="3050" spans="1:11">
      <c r="A3050" t="s">
        <v>4988</v>
      </c>
      <c r="B3050" s="15">
        <v>46001</v>
      </c>
      <c r="C3050" s="4">
        <v>45992</v>
      </c>
      <c r="D3050" t="s">
        <v>62</v>
      </c>
      <c r="E3050" t="s">
        <v>25</v>
      </c>
      <c r="F3050" t="s">
        <v>64</v>
      </c>
      <c r="G3050" t="s">
        <v>340</v>
      </c>
      <c r="H3050" t="s">
        <v>8</v>
      </c>
      <c r="I3050" t="s">
        <v>1935</v>
      </c>
      <c r="J3050" t="s">
        <v>1936</v>
      </c>
      <c r="K3050" s="8">
        <v>16</v>
      </c>
    </row>
    <row r="3051" spans="1:11">
      <c r="A3051" t="s">
        <v>4989</v>
      </c>
      <c r="B3051" s="15">
        <v>45996</v>
      </c>
      <c r="C3051" s="4">
        <v>45992</v>
      </c>
      <c r="D3051" t="s">
        <v>62</v>
      </c>
      <c r="E3051" t="s">
        <v>25</v>
      </c>
      <c r="F3051" t="s">
        <v>64</v>
      </c>
      <c r="G3051" t="s">
        <v>370</v>
      </c>
      <c r="H3051" t="s">
        <v>5</v>
      </c>
      <c r="I3051" t="s">
        <v>1935</v>
      </c>
      <c r="J3051" t="s">
        <v>1936</v>
      </c>
      <c r="K3051" s="8">
        <v>22</v>
      </c>
    </row>
    <row r="3052" spans="1:11">
      <c r="A3052" t="s">
        <v>4990</v>
      </c>
      <c r="B3052" s="15">
        <v>46004</v>
      </c>
      <c r="C3052" s="4">
        <v>45992</v>
      </c>
      <c r="D3052" t="s">
        <v>62</v>
      </c>
      <c r="E3052" t="s">
        <v>25</v>
      </c>
      <c r="F3052" t="s">
        <v>64</v>
      </c>
      <c r="G3052" t="s">
        <v>316</v>
      </c>
      <c r="H3052" t="s">
        <v>8</v>
      </c>
      <c r="I3052" t="s">
        <v>1935</v>
      </c>
      <c r="J3052" t="s">
        <v>1936</v>
      </c>
      <c r="K3052" s="8">
        <v>26</v>
      </c>
    </row>
    <row r="3053" spans="1:11">
      <c r="A3053" t="s">
        <v>4991</v>
      </c>
      <c r="B3053" s="15">
        <v>46020</v>
      </c>
      <c r="C3053" s="4">
        <v>45992</v>
      </c>
      <c r="D3053" t="s">
        <v>62</v>
      </c>
      <c r="E3053" t="s">
        <v>25</v>
      </c>
      <c r="F3053" t="s">
        <v>64</v>
      </c>
      <c r="G3053" t="s">
        <v>340</v>
      </c>
      <c r="H3053" t="s">
        <v>8</v>
      </c>
      <c r="I3053" t="s">
        <v>1995</v>
      </c>
      <c r="J3053" t="s">
        <v>1938</v>
      </c>
      <c r="K3053" s="8">
        <v>3</v>
      </c>
    </row>
    <row r="3054" spans="1:11">
      <c r="A3054" t="s">
        <v>4992</v>
      </c>
      <c r="B3054" s="15">
        <v>46005</v>
      </c>
      <c r="C3054" s="4">
        <v>45992</v>
      </c>
      <c r="D3054" t="s">
        <v>62</v>
      </c>
      <c r="E3054" t="s">
        <v>25</v>
      </c>
      <c r="F3054" t="s">
        <v>64</v>
      </c>
      <c r="G3054" t="s">
        <v>358</v>
      </c>
      <c r="H3054" t="s">
        <v>8</v>
      </c>
      <c r="I3054" t="s">
        <v>1935</v>
      </c>
      <c r="J3054" t="s">
        <v>1936</v>
      </c>
      <c r="K3054" s="8">
        <v>32</v>
      </c>
    </row>
    <row r="3055" spans="1:11">
      <c r="A3055" t="s">
        <v>4993</v>
      </c>
      <c r="B3055" s="15">
        <v>45993</v>
      </c>
      <c r="C3055" s="4">
        <v>45992</v>
      </c>
      <c r="D3055" t="s">
        <v>62</v>
      </c>
      <c r="E3055" t="s">
        <v>25</v>
      </c>
      <c r="F3055" t="s">
        <v>64</v>
      </c>
      <c r="G3055" t="s">
        <v>358</v>
      </c>
      <c r="H3055" t="s">
        <v>8</v>
      </c>
      <c r="I3055" t="s">
        <v>1995</v>
      </c>
      <c r="J3055" t="s">
        <v>1936</v>
      </c>
      <c r="K3055" s="8">
        <v>5</v>
      </c>
    </row>
    <row r="3056" spans="1:11">
      <c r="A3056" t="s">
        <v>4994</v>
      </c>
      <c r="B3056" s="15">
        <v>46005</v>
      </c>
      <c r="C3056" s="4">
        <v>45992</v>
      </c>
      <c r="D3056" t="s">
        <v>65</v>
      </c>
      <c r="E3056" t="s">
        <v>25</v>
      </c>
      <c r="F3056" t="s">
        <v>67</v>
      </c>
      <c r="G3056" t="s">
        <v>348</v>
      </c>
      <c r="H3056" t="s">
        <v>11</v>
      </c>
      <c r="I3056" t="s">
        <v>1935</v>
      </c>
      <c r="J3056" t="s">
        <v>1936</v>
      </c>
      <c r="K3056" s="8">
        <v>13</v>
      </c>
    </row>
    <row r="3057" spans="1:11">
      <c r="A3057" t="s">
        <v>4995</v>
      </c>
      <c r="B3057" s="15">
        <v>46019</v>
      </c>
      <c r="C3057" s="4">
        <v>45992</v>
      </c>
      <c r="D3057" t="s">
        <v>65</v>
      </c>
      <c r="E3057" t="s">
        <v>25</v>
      </c>
      <c r="F3057" t="s">
        <v>67</v>
      </c>
      <c r="G3057" t="s">
        <v>342</v>
      </c>
      <c r="H3057" t="s">
        <v>11</v>
      </c>
      <c r="I3057" t="s">
        <v>1935</v>
      </c>
      <c r="J3057" t="s">
        <v>1936</v>
      </c>
      <c r="K3057" s="8">
        <v>14</v>
      </c>
    </row>
    <row r="3058" spans="1:11">
      <c r="A3058" t="s">
        <v>4996</v>
      </c>
      <c r="B3058" s="15">
        <v>46014</v>
      </c>
      <c r="C3058" s="4">
        <v>45992</v>
      </c>
      <c r="D3058" t="s">
        <v>65</v>
      </c>
      <c r="E3058" t="s">
        <v>25</v>
      </c>
      <c r="F3058" t="s">
        <v>67</v>
      </c>
      <c r="G3058" t="s">
        <v>336</v>
      </c>
      <c r="H3058" t="s">
        <v>5</v>
      </c>
      <c r="I3058" t="s">
        <v>1935</v>
      </c>
      <c r="J3058" t="s">
        <v>1938</v>
      </c>
      <c r="K3058" s="8">
        <v>9</v>
      </c>
    </row>
    <row r="3059" spans="1:11">
      <c r="A3059" t="s">
        <v>4997</v>
      </c>
      <c r="B3059" s="15">
        <v>46012</v>
      </c>
      <c r="C3059" s="4">
        <v>45992</v>
      </c>
      <c r="D3059" t="s">
        <v>65</v>
      </c>
      <c r="E3059" t="s">
        <v>25</v>
      </c>
      <c r="F3059" t="s">
        <v>67</v>
      </c>
      <c r="G3059" t="s">
        <v>342</v>
      </c>
      <c r="H3059" t="s">
        <v>5</v>
      </c>
      <c r="I3059" t="s">
        <v>1935</v>
      </c>
      <c r="J3059" t="s">
        <v>1936</v>
      </c>
      <c r="K3059" s="8">
        <v>30</v>
      </c>
    </row>
    <row r="3060" spans="1:11">
      <c r="A3060" t="s">
        <v>4998</v>
      </c>
      <c r="B3060" s="15">
        <v>46007</v>
      </c>
      <c r="C3060" s="4">
        <v>45992</v>
      </c>
      <c r="D3060" t="s">
        <v>65</v>
      </c>
      <c r="E3060" t="s">
        <v>25</v>
      </c>
      <c r="F3060" t="s">
        <v>67</v>
      </c>
      <c r="G3060" t="s">
        <v>354</v>
      </c>
      <c r="H3060" t="s">
        <v>5</v>
      </c>
      <c r="I3060" t="s">
        <v>1942</v>
      </c>
      <c r="J3060" t="s">
        <v>1936</v>
      </c>
      <c r="K3060" s="8">
        <v>4</v>
      </c>
    </row>
    <row r="3061" spans="1:11">
      <c r="A3061" t="s">
        <v>4999</v>
      </c>
      <c r="B3061" s="15">
        <v>45999</v>
      </c>
      <c r="C3061" s="4">
        <v>45992</v>
      </c>
      <c r="D3061" t="s">
        <v>65</v>
      </c>
      <c r="E3061" t="s">
        <v>25</v>
      </c>
      <c r="F3061" t="s">
        <v>67</v>
      </c>
      <c r="G3061" t="s">
        <v>360</v>
      </c>
      <c r="H3061" t="s">
        <v>5</v>
      </c>
      <c r="I3061" t="s">
        <v>1935</v>
      </c>
      <c r="J3061" t="s">
        <v>1936</v>
      </c>
      <c r="K3061" s="8">
        <v>12</v>
      </c>
    </row>
    <row r="3062" spans="1:11">
      <c r="A3062" t="s">
        <v>5000</v>
      </c>
      <c r="B3062" s="15">
        <v>45995</v>
      </c>
      <c r="C3062" s="4">
        <v>45992</v>
      </c>
      <c r="D3062" t="s">
        <v>65</v>
      </c>
      <c r="E3062" t="s">
        <v>25</v>
      </c>
      <c r="F3062" t="s">
        <v>67</v>
      </c>
      <c r="G3062" t="s">
        <v>318</v>
      </c>
      <c r="H3062" t="s">
        <v>14</v>
      </c>
      <c r="I3062" t="s">
        <v>1935</v>
      </c>
      <c r="J3062" t="s">
        <v>1938</v>
      </c>
      <c r="K3062" s="8">
        <v>10</v>
      </c>
    </row>
    <row r="3063" spans="1:11">
      <c r="A3063" t="s">
        <v>5001</v>
      </c>
      <c r="B3063" s="15">
        <v>46016</v>
      </c>
      <c r="C3063" s="4">
        <v>45992</v>
      </c>
      <c r="D3063" t="s">
        <v>65</v>
      </c>
      <c r="E3063" t="s">
        <v>25</v>
      </c>
      <c r="F3063" t="s">
        <v>67</v>
      </c>
      <c r="G3063" t="s">
        <v>354</v>
      </c>
      <c r="H3063" t="s">
        <v>14</v>
      </c>
      <c r="I3063" t="s">
        <v>1935</v>
      </c>
      <c r="J3063" t="s">
        <v>1936</v>
      </c>
      <c r="K3063" s="8">
        <v>25</v>
      </c>
    </row>
    <row r="3064" spans="1:11">
      <c r="A3064" t="s">
        <v>5002</v>
      </c>
      <c r="B3064" s="15">
        <v>45992</v>
      </c>
      <c r="C3064" s="4">
        <v>45992</v>
      </c>
      <c r="D3064" t="s">
        <v>65</v>
      </c>
      <c r="E3064" t="s">
        <v>25</v>
      </c>
      <c r="F3064" t="s">
        <v>67</v>
      </c>
      <c r="G3064" t="s">
        <v>354</v>
      </c>
      <c r="H3064" t="s">
        <v>5</v>
      </c>
      <c r="I3064" t="s">
        <v>1935</v>
      </c>
      <c r="J3064" t="s">
        <v>1938</v>
      </c>
      <c r="K3064" s="8">
        <v>16</v>
      </c>
    </row>
    <row r="3065" spans="1:11">
      <c r="A3065" t="s">
        <v>5003</v>
      </c>
      <c r="B3065" s="15">
        <v>46015</v>
      </c>
      <c r="C3065" s="4">
        <v>45992</v>
      </c>
      <c r="D3065" t="s">
        <v>65</v>
      </c>
      <c r="E3065" t="s">
        <v>25</v>
      </c>
      <c r="F3065" t="s">
        <v>67</v>
      </c>
      <c r="G3065" t="s">
        <v>354</v>
      </c>
      <c r="H3065" t="s">
        <v>11</v>
      </c>
      <c r="I3065" t="s">
        <v>1935</v>
      </c>
      <c r="J3065" t="s">
        <v>1936</v>
      </c>
      <c r="K3065" s="8">
        <v>34</v>
      </c>
    </row>
    <row r="3066" spans="1:11">
      <c r="A3066" t="s">
        <v>5004</v>
      </c>
      <c r="B3066" s="15">
        <v>46010</v>
      </c>
      <c r="C3066" s="4">
        <v>45992</v>
      </c>
      <c r="D3066" t="s">
        <v>65</v>
      </c>
      <c r="E3066" t="s">
        <v>25</v>
      </c>
      <c r="F3066" t="s">
        <v>67</v>
      </c>
      <c r="G3066" t="s">
        <v>318</v>
      </c>
      <c r="H3066" t="s">
        <v>14</v>
      </c>
      <c r="I3066" t="s">
        <v>1935</v>
      </c>
      <c r="J3066" t="s">
        <v>1936</v>
      </c>
      <c r="K3066" s="8">
        <v>32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3118-5358-45D8-84FA-80FB232209C5}">
  <dimension ref="A1:D73"/>
  <sheetViews>
    <sheetView workbookViewId="0">
      <selection activeCell="I24" sqref="I24"/>
    </sheetView>
  </sheetViews>
  <sheetFormatPr defaultRowHeight="13.8"/>
  <cols>
    <col min="1" max="1" width="30.3984375" bestFit="1" customWidth="1"/>
    <col min="2" max="3" width="10.09765625" style="11" bestFit="1" customWidth="1"/>
    <col min="4" max="4" width="7.19921875" style="11" bestFit="1" customWidth="1"/>
  </cols>
  <sheetData>
    <row r="1" spans="1:4">
      <c r="A1" s="10" t="s">
        <v>5005</v>
      </c>
    </row>
    <row r="3" spans="1:4">
      <c r="A3" s="10" t="s">
        <v>5015</v>
      </c>
      <c r="B3" s="12" t="s">
        <v>5006</v>
      </c>
      <c r="C3" s="12" t="s">
        <v>5009</v>
      </c>
      <c r="D3" s="12" t="s">
        <v>5007</v>
      </c>
    </row>
    <row r="4" spans="1:4">
      <c r="A4" t="s">
        <v>5008</v>
      </c>
      <c r="B4" s="11">
        <f>ROWS(tblProducts[ProductID])</f>
        <v>4</v>
      </c>
      <c r="C4" s="11">
        <v>4</v>
      </c>
      <c r="D4" s="11" t="str">
        <f>IF(B4=C4,"PASS","CHECK")</f>
        <v>PASS</v>
      </c>
    </row>
    <row r="5" spans="1:4">
      <c r="A5" t="s">
        <v>0</v>
      </c>
      <c r="B5" s="11">
        <f>ROWS(tblRegions[RegionID])</f>
        <v>4</v>
      </c>
      <c r="C5" s="11">
        <v>4</v>
      </c>
      <c r="D5" s="11" t="str">
        <f t="shared" ref="D5:D53" si="0">IF(B5=C5,"PASS","CHECK")</f>
        <v>PASS</v>
      </c>
    </row>
    <row r="6" spans="1:4">
      <c r="A6" t="s">
        <v>5010</v>
      </c>
      <c r="B6" s="11">
        <f>ROWS(tblReps[RepID])</f>
        <v>12</v>
      </c>
      <c r="C6" s="11">
        <v>12</v>
      </c>
      <c r="D6" s="11" t="str">
        <f t="shared" si="0"/>
        <v>PASS</v>
      </c>
    </row>
    <row r="7" spans="1:4">
      <c r="A7" t="s">
        <v>5011</v>
      </c>
      <c r="B7" s="11">
        <f>ROWS(tblHCP[HCPID])</f>
        <v>150</v>
      </c>
      <c r="C7" s="11">
        <v>150</v>
      </c>
      <c r="D7" s="11" t="str">
        <f t="shared" si="0"/>
        <v>PASS</v>
      </c>
    </row>
    <row r="8" spans="1:4">
      <c r="A8" t="s">
        <v>5012</v>
      </c>
      <c r="B8" s="11">
        <f>ROWS(tblSales[SalesID])</f>
        <v>1152</v>
      </c>
      <c r="C8" s="11">
        <v>1152</v>
      </c>
      <c r="D8" s="11" t="str">
        <f t="shared" si="0"/>
        <v>PASS</v>
      </c>
    </row>
    <row r="9" spans="1:4">
      <c r="A9" t="s">
        <v>5013</v>
      </c>
      <c r="B9" s="11">
        <f>ROWS(tblMarket[MarketID])</f>
        <v>384</v>
      </c>
      <c r="C9" s="11">
        <v>384</v>
      </c>
      <c r="D9" s="11" t="str">
        <f t="shared" si="0"/>
        <v>PASS</v>
      </c>
    </row>
    <row r="10" spans="1:4">
      <c r="A10" t="s">
        <v>5014</v>
      </c>
      <c r="B10" s="11">
        <f>ROWS(tblCalls[CallID])</f>
        <v>3065</v>
      </c>
      <c r="C10" s="11">
        <v>3065</v>
      </c>
      <c r="D10" s="11" t="str">
        <f t="shared" si="0"/>
        <v>PASS</v>
      </c>
    </row>
    <row r="12" spans="1:4">
      <c r="A12" s="10" t="s">
        <v>5045</v>
      </c>
    </row>
    <row r="13" spans="1:4">
      <c r="A13" t="s">
        <v>1</v>
      </c>
      <c r="B13" s="11">
        <f>ROWS(tblProducts[ProductID])-ROWS(_xlfn.UNIQUE(tblProducts[ProductID]))</f>
        <v>0</v>
      </c>
      <c r="C13" s="11">
        <v>0</v>
      </c>
      <c r="D13" s="11" t="str">
        <f t="shared" si="0"/>
        <v>PASS</v>
      </c>
    </row>
    <row r="14" spans="1:4">
      <c r="A14" t="s">
        <v>18</v>
      </c>
      <c r="B14" s="11">
        <f>ROWS(tblRegions[RegionID])-ROWS(_xlfn.UNIQUE(tblRegions[RegionID]))</f>
        <v>0</v>
      </c>
      <c r="C14" s="11">
        <v>0</v>
      </c>
      <c r="D14" s="11" t="str">
        <f t="shared" si="0"/>
        <v>PASS</v>
      </c>
    </row>
    <row r="15" spans="1:4">
      <c r="A15" t="s">
        <v>5016</v>
      </c>
      <c r="B15" s="11">
        <f>ROWS(tblReps[RepID])-ROWS(_xlfn.UNIQUE(tblReps[RepID]))</f>
        <v>0</v>
      </c>
      <c r="C15" s="11">
        <v>0</v>
      </c>
      <c r="D15" s="11" t="str">
        <f t="shared" si="0"/>
        <v>PASS</v>
      </c>
    </row>
    <row r="16" spans="1:4">
      <c r="A16" t="s">
        <v>5011</v>
      </c>
      <c r="B16" s="11">
        <f>ROWS(tblHCP[HCPID])-ROWS(_xlfn.UNIQUE(tblHCP[HCPID]))</f>
        <v>0</v>
      </c>
      <c r="C16" s="11">
        <v>0</v>
      </c>
      <c r="D16" s="11" t="str">
        <f t="shared" si="0"/>
        <v>PASS</v>
      </c>
    </row>
    <row r="17" spans="1:4">
      <c r="A17" t="s">
        <v>5012</v>
      </c>
      <c r="B17" s="11">
        <f>ROWS(tblSales[SalesID])-ROWS(_xlfn.UNIQUE(tblSales[SalesID]))</f>
        <v>0</v>
      </c>
      <c r="C17" s="11">
        <v>0</v>
      </c>
      <c r="D17" s="11" t="str">
        <f t="shared" si="0"/>
        <v>PASS</v>
      </c>
    </row>
    <row r="18" spans="1:4">
      <c r="A18" t="s">
        <v>5013</v>
      </c>
      <c r="B18" s="11">
        <f>ROWS(tblMarket[MarketID])-ROWS(_xlfn.UNIQUE(tblMarket[MarketID]))</f>
        <v>0</v>
      </c>
      <c r="C18" s="11">
        <v>0</v>
      </c>
      <c r="D18" s="11" t="str">
        <f t="shared" si="0"/>
        <v>PASS</v>
      </c>
    </row>
    <row r="19" spans="1:4">
      <c r="A19" t="s">
        <v>5014</v>
      </c>
      <c r="B19" s="11">
        <f>ROWS(tblCalls[CallID])-ROWS(_xlfn.UNIQUE(tblCalls[CallID]))</f>
        <v>0</v>
      </c>
      <c r="C19" s="11">
        <v>0</v>
      </c>
      <c r="D19" s="11" t="str">
        <f t="shared" si="0"/>
        <v>PASS</v>
      </c>
    </row>
    <row r="21" spans="1:4">
      <c r="A21" s="10" t="s">
        <v>5017</v>
      </c>
    </row>
    <row r="22" spans="1:4">
      <c r="A22" t="s">
        <v>5056</v>
      </c>
      <c r="B22" s="11">
        <f>COUNTBLANK(tblSales[SalesID])</f>
        <v>0</v>
      </c>
      <c r="C22" s="11">
        <v>0</v>
      </c>
      <c r="D22" s="11" t="str">
        <f t="shared" si="0"/>
        <v>PASS</v>
      </c>
    </row>
    <row r="23" spans="1:4">
      <c r="A23" t="s">
        <v>5052</v>
      </c>
      <c r="B23" s="11">
        <f>COUNTBLANK(tblProducts[ProductID])</f>
        <v>0</v>
      </c>
      <c r="C23" s="11">
        <v>0</v>
      </c>
      <c r="D23" s="11" t="str">
        <f t="shared" si="0"/>
        <v>PASS</v>
      </c>
    </row>
    <row r="24" spans="1:4">
      <c r="A24" t="s">
        <v>5053</v>
      </c>
      <c r="B24" s="11">
        <f>COUNTBLANK(tblRegions[RegionID])</f>
        <v>0</v>
      </c>
      <c r="C24" s="11">
        <v>0</v>
      </c>
      <c r="D24" s="11" t="str">
        <f t="shared" si="0"/>
        <v>PASS</v>
      </c>
    </row>
    <row r="25" spans="1:4">
      <c r="A25" t="s">
        <v>5054</v>
      </c>
      <c r="B25" s="11">
        <f>COUNTBLANK(tblReps[RepID])</f>
        <v>0</v>
      </c>
      <c r="C25" s="11">
        <v>0</v>
      </c>
      <c r="D25" s="11" t="str">
        <f t="shared" si="0"/>
        <v>PASS</v>
      </c>
    </row>
    <row r="26" spans="1:4">
      <c r="A26" t="s">
        <v>5055</v>
      </c>
      <c r="B26" s="11">
        <f>COUNTBLANK(tblHCP[HCPID])</f>
        <v>0</v>
      </c>
      <c r="C26" s="11">
        <v>0</v>
      </c>
      <c r="D26" s="11" t="str">
        <f t="shared" si="0"/>
        <v>PASS</v>
      </c>
    </row>
    <row r="27" spans="1:4">
      <c r="A27" t="s">
        <v>5057</v>
      </c>
      <c r="B27" s="11">
        <f>COUNTBLANK(tblMarket[MarketID])</f>
        <v>0</v>
      </c>
      <c r="C27" s="11">
        <v>0</v>
      </c>
      <c r="D27" s="11" t="str">
        <f t="shared" si="0"/>
        <v>PASS</v>
      </c>
    </row>
    <row r="28" spans="1:4">
      <c r="A28" t="s">
        <v>5058</v>
      </c>
      <c r="B28" s="11">
        <f>COUNTBLANK(tblCalls[CallID])</f>
        <v>0</v>
      </c>
      <c r="C28" s="11">
        <v>0</v>
      </c>
      <c r="D28" s="11" t="str">
        <f t="shared" si="0"/>
        <v>PASS</v>
      </c>
    </row>
    <row r="30" spans="1:4">
      <c r="A30" s="10" t="s">
        <v>5018</v>
      </c>
    </row>
    <row r="31" spans="1:4">
      <c r="A31" t="s">
        <v>5020</v>
      </c>
      <c r="B31" s="11" cm="1">
        <f t="array" ref="B31">SUMPRODUCT(--ISNA(MATCH(tblSales[ProductID],tblProducts[ProductID],0)))</f>
        <v>0</v>
      </c>
      <c r="C31" s="11">
        <v>0</v>
      </c>
      <c r="D31" s="11" t="str">
        <f t="shared" si="0"/>
        <v>PASS</v>
      </c>
    </row>
    <row r="32" spans="1:4">
      <c r="A32" t="s">
        <v>5019</v>
      </c>
      <c r="B32" s="11" cm="1">
        <f t="array" ref="B32">SUMPRODUCT(--ISNA(MATCH(tblSales[RepID],tblReps[RepID],0)))</f>
        <v>0</v>
      </c>
      <c r="C32" s="11">
        <v>0</v>
      </c>
      <c r="D32" s="11" t="str">
        <f t="shared" si="0"/>
        <v>PASS</v>
      </c>
    </row>
    <row r="33" spans="1:4">
      <c r="A33" t="s">
        <v>5021</v>
      </c>
      <c r="B33" s="11" cm="1">
        <f t="array" ref="B33">SUMPRODUCT(--ISNA(MATCH(tblSales[RegionID],tblRegions[RegionID],0)))</f>
        <v>0</v>
      </c>
      <c r="C33" s="11">
        <v>0</v>
      </c>
      <c r="D33" s="11" t="str">
        <f t="shared" si="0"/>
        <v>PASS</v>
      </c>
    </row>
    <row r="34" spans="1:4">
      <c r="A34" t="s">
        <v>5022</v>
      </c>
      <c r="B34" s="11" cm="1">
        <f t="array" ref="B34">SUMPRODUCT(--ISNA(MATCH(tblCalls[HCPID],tblHCP[HCPID],0)))</f>
        <v>0</v>
      </c>
      <c r="C34" s="11">
        <v>0</v>
      </c>
      <c r="D34" s="11" t="str">
        <f t="shared" si="0"/>
        <v>PASS</v>
      </c>
    </row>
    <row r="35" spans="1:4">
      <c r="A35" t="s">
        <v>5023</v>
      </c>
      <c r="B35" s="11" cm="1">
        <f t="array" ref="B35">SUMPRODUCT(--ISNA(MATCH(tblCalls[RepID],tblReps[RepID],0)))</f>
        <v>0</v>
      </c>
      <c r="C35" s="11">
        <v>0</v>
      </c>
      <c r="D35" s="11" t="str">
        <f t="shared" si="0"/>
        <v>PASS</v>
      </c>
    </row>
    <row r="36" spans="1:4">
      <c r="A36" t="s">
        <v>5024</v>
      </c>
      <c r="B36" s="11" cm="1">
        <f t="array" ref="B36">SUMPRODUCT(--ISNA(MATCH(tblCalls[ProductID],tblProducts[ProductID],0)))</f>
        <v>0</v>
      </c>
      <c r="C36" s="11">
        <v>0</v>
      </c>
      <c r="D36" s="11" t="str">
        <f t="shared" si="0"/>
        <v>PASS</v>
      </c>
    </row>
    <row r="37" spans="1:4">
      <c r="A37" t="s">
        <v>5025</v>
      </c>
      <c r="B37" s="11" cm="1">
        <f t="array" ref="B37">SUMPRODUCT(--ISNA(MATCH(tblMarket[ProductID],tblProducts[ProductID],0)))</f>
        <v>0</v>
      </c>
      <c r="C37" s="11">
        <v>0</v>
      </c>
      <c r="D37" s="11" t="str">
        <f t="shared" si="0"/>
        <v>PASS</v>
      </c>
    </row>
    <row r="38" spans="1:4">
      <c r="A38" t="s">
        <v>5026</v>
      </c>
      <c r="B38" s="11" cm="1">
        <f t="array" ref="B38">SUMPRODUCT(--ISNA(MATCH(tblMarket[RegionID],tblRegions[RegionID],0)))</f>
        <v>0</v>
      </c>
      <c r="C38" s="11">
        <v>0</v>
      </c>
      <c r="D38" s="11" t="str">
        <f t="shared" si="0"/>
        <v>PASS</v>
      </c>
    </row>
    <row r="40" spans="1:4">
      <c r="A40" s="10" t="s">
        <v>5044</v>
      </c>
    </row>
    <row r="41" spans="1:4">
      <c r="A41" t="s">
        <v>5027</v>
      </c>
      <c r="B41" s="11" cm="1">
        <f t="array" ref="B41">SUMPRODUCT(--(ABS(tblSales[GrossSalesTRY]-tblSales[DiscountTRY]-tblSales[ReturnsTRY]-tblSales[NetSalesTRY])&gt;0.02))</f>
        <v>0</v>
      </c>
      <c r="C41" s="11">
        <v>0</v>
      </c>
      <c r="D41" s="11" t="str">
        <f t="shared" si="0"/>
        <v>PASS</v>
      </c>
    </row>
    <row r="43" spans="1:4">
      <c r="A43" s="10" t="s">
        <v>5046</v>
      </c>
    </row>
    <row r="44" spans="1:4">
      <c r="A44" t="s">
        <v>384</v>
      </c>
      <c r="B44" s="11">
        <f>COUNTIF(tblSales[Units],"&lt;=0")</f>
        <v>0</v>
      </c>
      <c r="C44" s="11">
        <v>0</v>
      </c>
      <c r="D44" s="11" t="str">
        <f t="shared" si="0"/>
        <v>PASS</v>
      </c>
    </row>
    <row r="46" spans="1:4">
      <c r="A46" s="10" t="s">
        <v>5047</v>
      </c>
    </row>
    <row r="47" spans="1:4">
      <c r="A47" t="s">
        <v>5028</v>
      </c>
      <c r="B47" s="11">
        <f>COUNTIF(tblSales[TargetTRY],"&lt;=0")</f>
        <v>0</v>
      </c>
      <c r="C47" s="11">
        <v>0</v>
      </c>
      <c r="D47" s="11" t="str">
        <f t="shared" si="0"/>
        <v>PASS</v>
      </c>
    </row>
    <row r="49" spans="1:4">
      <c r="A49" s="10" t="s">
        <v>5029</v>
      </c>
    </row>
    <row r="50" spans="1:4">
      <c r="A50" t="s">
        <v>5030</v>
      </c>
      <c r="B50" s="11">
        <f>COUNTIF(tblHCP[PotentialScore],"&gt;100")</f>
        <v>0</v>
      </c>
      <c r="C50" s="11">
        <v>0</v>
      </c>
      <c r="D50" s="11" t="str">
        <f t="shared" si="0"/>
        <v>PASS</v>
      </c>
    </row>
    <row r="51" spans="1:4">
      <c r="A51" t="s">
        <v>5031</v>
      </c>
      <c r="B51" s="11">
        <f>COUNTIF(tblHCP[PotentialScore],"&lt;0")</f>
        <v>0</v>
      </c>
      <c r="C51" s="11">
        <v>0</v>
      </c>
      <c r="D51" s="11" t="str">
        <f t="shared" si="0"/>
        <v>PASS</v>
      </c>
    </row>
    <row r="52" spans="1:4">
      <c r="A52" t="s">
        <v>5042</v>
      </c>
      <c r="B52" s="11">
        <f>COUNTIF(tblHCP[EngagementScore],"&gt;100")</f>
        <v>0</v>
      </c>
      <c r="C52" s="11">
        <v>0</v>
      </c>
      <c r="D52" s="11" t="str">
        <f t="shared" si="0"/>
        <v>PASS</v>
      </c>
    </row>
    <row r="53" spans="1:4">
      <c r="A53" t="s">
        <v>5043</v>
      </c>
      <c r="B53" s="11">
        <f>COUNTIF(tblHCP[EngagementScore],"&lt;0")</f>
        <v>0</v>
      </c>
      <c r="C53" s="11">
        <v>0</v>
      </c>
      <c r="D53" s="11" t="str">
        <f t="shared" si="0"/>
        <v>PASS</v>
      </c>
    </row>
    <row r="55" spans="1:4">
      <c r="A55" s="10" t="s">
        <v>5032</v>
      </c>
    </row>
    <row r="56" spans="1:4">
      <c r="A56" t="s">
        <v>74</v>
      </c>
      <c r="B56" s="11">
        <f>COUNTIFS(tblHCP[TargetFlag],"&lt;&gt;0",tblHCP[TargetFlag],"&lt;&gt;1")</f>
        <v>0</v>
      </c>
      <c r="C56" s="11">
        <v>0</v>
      </c>
      <c r="D56" s="11" t="str">
        <f>IF(B56=C56,"PASS","CHECK")</f>
        <v>PASS</v>
      </c>
    </row>
    <row r="58" spans="1:4">
      <c r="A58" s="10" t="s">
        <v>5033</v>
      </c>
    </row>
    <row r="59" spans="1:4">
      <c r="A59" t="s">
        <v>5048</v>
      </c>
      <c r="B59" s="11" cm="1">
        <f t="array" ref="B59">SUMPRODUCT(--(tblMarket[CompetitorXSalesTRY]&gt;tblMarket[TotalMarketSalesTRY]))</f>
        <v>0</v>
      </c>
      <c r="C59" s="11">
        <v>0</v>
      </c>
      <c r="D59" s="11" t="str">
        <f>IF(B59=C59,"PASS","CHECK")</f>
        <v>PASS</v>
      </c>
    </row>
    <row r="61" spans="1:4">
      <c r="A61" s="10" t="s">
        <v>5049</v>
      </c>
    </row>
    <row r="62" spans="1:4">
      <c r="A62" t="s">
        <v>5034</v>
      </c>
      <c r="B62" s="11">
        <f>COUNTIFS(
tblCalls[CallStatus],"&lt;&gt;Completed",
tblCalls[CallStatus],"&lt;&gt;Cancelled",
tblCalls[CallStatus],"&lt;&gt;Planned"
)</f>
        <v>0</v>
      </c>
      <c r="C62" s="11">
        <v>0</v>
      </c>
      <c r="D62" s="11" t="str">
        <f>IF(B62=C62,"PASS","CHECK")</f>
        <v>PASS</v>
      </c>
    </row>
    <row r="64" spans="1:4">
      <c r="A64" s="10" t="s">
        <v>5035</v>
      </c>
    </row>
    <row r="65" spans="1:4">
      <c r="A65" t="s">
        <v>5036</v>
      </c>
      <c r="B65" s="11">
        <f>COUNTIFS(tblCalls[CallStatus],"Completed",tblCalls[DurationMin],"&lt;=0")</f>
        <v>0</v>
      </c>
      <c r="C65" s="11">
        <v>0</v>
      </c>
      <c r="D65" s="11" t="str">
        <f>IF(B65=C65,"PASS","CHECK")</f>
        <v>PASS</v>
      </c>
    </row>
    <row r="67" spans="1:4">
      <c r="A67" s="10" t="s">
        <v>5037</v>
      </c>
    </row>
    <row r="68" spans="1:4">
      <c r="A68" t="s">
        <v>5039</v>
      </c>
      <c r="B68" s="13">
        <f>MIN(tblSales[Month])</f>
        <v>45292</v>
      </c>
      <c r="C68" s="13">
        <v>45292</v>
      </c>
      <c r="D68" s="11" t="str">
        <f>IF(B68=C68,"PASS","CHECK")</f>
        <v>PASS</v>
      </c>
    </row>
    <row r="69" spans="1:4">
      <c r="A69" t="s">
        <v>5038</v>
      </c>
      <c r="B69" s="13">
        <f>MAX(tblSales[Month])</f>
        <v>45992</v>
      </c>
      <c r="C69" s="13">
        <v>45992</v>
      </c>
      <c r="D69" s="11" t="str">
        <f>IF(B69=C69,"PASS","CHECK")</f>
        <v>PASS</v>
      </c>
    </row>
    <row r="70" spans="1:4">
      <c r="A70" t="s">
        <v>5040</v>
      </c>
      <c r="B70" s="13">
        <f>MIN(tblMarket[Month])</f>
        <v>45292</v>
      </c>
      <c r="C70" s="13">
        <v>45292</v>
      </c>
      <c r="D70" s="11" t="str">
        <f>IF(B70=C70,"PASS","CHECK")</f>
        <v>PASS</v>
      </c>
    </row>
    <row r="71" spans="1:4">
      <c r="A71" t="s">
        <v>5041</v>
      </c>
      <c r="B71" s="13">
        <f>MAX(tblMarket[Month])</f>
        <v>45992</v>
      </c>
      <c r="C71" s="13">
        <v>45992</v>
      </c>
      <c r="D71" s="11" t="str">
        <f>IF(B71=C71,"PASS","CHECK")</f>
        <v>PASS</v>
      </c>
    </row>
    <row r="72" spans="1:4">
      <c r="A72" t="s">
        <v>5050</v>
      </c>
      <c r="B72" s="13">
        <f>MIN(tblCalls[CallDate])</f>
        <v>45292</v>
      </c>
      <c r="C72" s="13">
        <f>MIN(tblCalls[CallDate])</f>
        <v>45292</v>
      </c>
      <c r="D72" s="11" t="str">
        <f t="shared" ref="D72:D73" si="1">IF(B72=C72,"PASS","CHECK")</f>
        <v>PASS</v>
      </c>
    </row>
    <row r="73" spans="1:4">
      <c r="A73" t="s">
        <v>5051</v>
      </c>
      <c r="B73" s="13">
        <f>MAX(tblCalls[CallDate])</f>
        <v>46022</v>
      </c>
      <c r="C73" s="13">
        <f>MAX(tblCalls[CallDate])</f>
        <v>46022</v>
      </c>
      <c r="D73" s="11" t="str">
        <f t="shared" si="1"/>
        <v>PASS</v>
      </c>
    </row>
  </sheetData>
  <conditionalFormatting sqref="D1:D1048576">
    <cfRule type="cellIs" dxfId="1" priority="1" operator="equal">
      <formula>"CHECK"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BA25-2817-479D-8BE2-A3024D7A0244}">
  <dimension ref="A1:D28"/>
  <sheetViews>
    <sheetView workbookViewId="0">
      <selection activeCell="F12" sqref="F12"/>
    </sheetView>
  </sheetViews>
  <sheetFormatPr defaultRowHeight="13.8"/>
  <cols>
    <col min="1" max="1" width="32.8984375" customWidth="1"/>
    <col min="2" max="3" width="14.69921875" style="28" bestFit="1" customWidth="1"/>
  </cols>
  <sheetData>
    <row r="1" spans="1:4">
      <c r="A1" t="s">
        <v>5065</v>
      </c>
    </row>
    <row r="3" spans="1:4">
      <c r="A3" t="s">
        <v>5066</v>
      </c>
      <c r="B3" s="28">
        <v>2025</v>
      </c>
    </row>
    <row r="5" spans="1:4">
      <c r="A5" t="s">
        <v>5067</v>
      </c>
      <c r="B5" s="28" t="s">
        <v>5066</v>
      </c>
      <c r="C5" s="28" t="s">
        <v>5068</v>
      </c>
      <c r="D5" t="s">
        <v>5069</v>
      </c>
    </row>
    <row r="6" spans="1:4">
      <c r="A6" t="s">
        <v>5070</v>
      </c>
      <c r="B6" s="28">
        <f>SUMIFS(tblSales[NetSalesTRY],tblSales[Month],"&gt;="&amp;DATE($B$3,1,1),tblSales[Month],"&lt;"&amp;DATE($B$3+1,1,1))</f>
        <v>63018273.740000039</v>
      </c>
      <c r="C6" s="28">
        <f>SUMIFS(tblSales[NetSalesTRY],tblSales[Month],"&gt;="&amp;DATE($B$3-1,1,1),tblSales[Month],"&lt;"&amp;DATE($B$3,1,1))</f>
        <v>58757834.389999986</v>
      </c>
      <c r="D6" s="18">
        <f>IFERROR(B6/C6-1,0)</f>
        <v>7.2508447498622175E-2</v>
      </c>
    </row>
    <row r="7" spans="1:4">
      <c r="A7" t="s">
        <v>5071</v>
      </c>
      <c r="B7" s="28">
        <f>SUMIFS(tblSales[TargetTRY],tblSales[Month],"&gt;="&amp;DATE($B$3,1,1),tblSales[Month],"&lt;"&amp;DATE($B$3+1,1,1))</f>
        <v>65196961.589999996</v>
      </c>
      <c r="C7" s="28">
        <f>SUMIFS(tblSales[TargetTRY],tblSales[Month],"&gt;="&amp;DATE($B$3-1,1,1),tblSales[Month],"&lt;"&amp;DATE($B$3,1,1))</f>
        <v>59009348.310000017</v>
      </c>
      <c r="D7" s="18">
        <f>IFERROR(B7/C7-1,0)</f>
        <v>0.10485818700274296</v>
      </c>
    </row>
    <row r="8" spans="1:4">
      <c r="A8" t="s">
        <v>5072</v>
      </c>
      <c r="B8" s="28">
        <f>IFERROR(B6/B7,0)</f>
        <v>0.96658298489888328</v>
      </c>
      <c r="C8" s="28">
        <f>IFERROR(C6/C7,0)</f>
        <v>0.99573772754312206</v>
      </c>
      <c r="D8" s="18">
        <f>(B8-C8)</f>
        <v>-2.9154742644238785E-2</v>
      </c>
    </row>
    <row r="9" spans="1:4">
      <c r="A9" t="s">
        <v>5073</v>
      </c>
      <c r="B9" s="29">
        <f>B6-B7</f>
        <v>-2178687.8499999568</v>
      </c>
      <c r="C9" s="29">
        <f>C6-C7</f>
        <v>-251513.92000003159</v>
      </c>
    </row>
    <row r="10" spans="1:4">
      <c r="A10" t="s">
        <v>5074</v>
      </c>
      <c r="B10" s="28">
        <f>MAX(B7-B6,0)</f>
        <v>2178687.8499999568</v>
      </c>
      <c r="C10" s="28">
        <f>MAX(C7-C6,0)</f>
        <v>251513.92000003159</v>
      </c>
    </row>
    <row r="11" spans="1:4">
      <c r="A11" t="s">
        <v>5075</v>
      </c>
      <c r="B11" s="28">
        <f>SUMIFS(tblSales[Units],tblSales[Month],"&gt;="&amp;DATE($B$3,1,1),tblSales[Month],"&lt;"&amp;DATE($B$3+1,1,1))</f>
        <v>81685</v>
      </c>
      <c r="C11" s="28">
        <f>SUMIFS(tblSales[Units],tblSales[Month],"&gt;="&amp;DATE($B$3-1,1,1),tblSales[Month],"&lt;"&amp;DATE($B$3,1,1))</f>
        <v>76302</v>
      </c>
      <c r="D11" s="18">
        <f>IFERROR(B11/C11-1,0)</f>
        <v>7.0548609472883994E-2</v>
      </c>
    </row>
    <row r="12" spans="1:4">
      <c r="A12" t="s">
        <v>5076</v>
      </c>
      <c r="B12" s="28">
        <f>IFERROR(B6/B11,0)</f>
        <v>771.47914231499101</v>
      </c>
      <c r="C12" s="28">
        <f>IFERROR(C6/C11,0)</f>
        <v>770.06938730308491</v>
      </c>
      <c r="D12" s="18">
        <f>IFERROR(B12/C12-1,0)</f>
        <v>1.8306856955361273E-3</v>
      </c>
    </row>
    <row r="15" spans="1:4">
      <c r="A15" t="s">
        <v>5077</v>
      </c>
    </row>
    <row r="17" spans="1:4">
      <c r="A17" t="s">
        <v>5078</v>
      </c>
      <c r="B17" s="28">
        <f>SUMIFS(tblMarket[TotalMarketSalesTRY],tblMarket[Month],"&gt;="&amp;DATE($B$3,1,1),tblMarket[Month],"&lt;"&amp;DATE($B$3+1,1,1))</f>
        <v>623966719.41000032</v>
      </c>
      <c r="C17" s="28">
        <f>SUMIFS(tblMarket[TotalMarketSalesTRY],tblMarket[Month],"&gt;="&amp;DATE($B$3-1,1,1),tblMarket[Month],"&lt;"&amp;DATE($B$3,1,1))</f>
        <v>571708785.0600003</v>
      </c>
      <c r="D17" s="18">
        <f>IFERROR(B17/C17-1,0)</f>
        <v>9.1406561724454827E-2</v>
      </c>
    </row>
    <row r="18" spans="1:4">
      <c r="A18" t="s">
        <v>5079</v>
      </c>
      <c r="B18" s="28">
        <f>IFERROR(B6/B17,0)</f>
        <v>0.10099620986130121</v>
      </c>
      <c r="C18" s="28">
        <f>IFERROR(C6/C17,0)</f>
        <v>0.1027758116115592</v>
      </c>
      <c r="D18" s="18">
        <f>(B18-C18)</f>
        <v>-1.7796017502579864E-3</v>
      </c>
    </row>
    <row r="19" spans="1:4">
      <c r="A19" t="s">
        <v>5080</v>
      </c>
      <c r="B19" s="28">
        <f>IFERROR(B6/C6-1,0)</f>
        <v>7.2508447498622175E-2</v>
      </c>
    </row>
    <row r="20" spans="1:4">
      <c r="A20" t="s">
        <v>5081</v>
      </c>
      <c r="B20" s="28">
        <f>IFERROR(B17/C17-1,0)</f>
        <v>9.1406561724454827E-2</v>
      </c>
    </row>
    <row r="21" spans="1:4">
      <c r="A21" t="s">
        <v>5082</v>
      </c>
      <c r="B21" s="28">
        <f>(B19-B20)*100</f>
        <v>-1.8898114225832652</v>
      </c>
    </row>
    <row r="25" spans="1:4" ht="15.6">
      <c r="A25" s="25" t="s">
        <v>5088</v>
      </c>
    </row>
    <row r="26" spans="1:4">
      <c r="A26" s="26" t="s">
        <v>5090</v>
      </c>
    </row>
    <row r="27" spans="1:4">
      <c r="A27" s="24" t="s">
        <v>5089</v>
      </c>
    </row>
    <row r="28" spans="1:4">
      <c r="A28" s="24" t="s">
        <v>5091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A159-0087-4970-8EE8-EEDA1B1D9DA4}">
  <dimension ref="A1:K8"/>
  <sheetViews>
    <sheetView workbookViewId="0">
      <selection activeCell="I25" sqref="I25"/>
    </sheetView>
  </sheetViews>
  <sheetFormatPr defaultRowHeight="13.8"/>
  <cols>
    <col min="1" max="1" width="13.09765625" bestFit="1" customWidth="1"/>
    <col min="2" max="2" width="19.296875" style="28" bestFit="1" customWidth="1"/>
    <col min="3" max="3" width="17.09765625" style="28" bestFit="1" customWidth="1"/>
    <col min="4" max="4" width="12.09765625" bestFit="1" customWidth="1"/>
    <col min="5" max="5" width="14.8984375" bestFit="1" customWidth="1"/>
    <col min="7" max="7" width="13.69921875" bestFit="1" customWidth="1"/>
    <col min="8" max="8" width="19.296875" style="28" bestFit="1" customWidth="1"/>
    <col min="9" max="9" width="17.09765625" style="28" bestFit="1" customWidth="1"/>
    <col min="10" max="10" width="12.09765625" bestFit="1" customWidth="1"/>
    <col min="11" max="11" width="14.8984375" bestFit="1" customWidth="1"/>
  </cols>
  <sheetData>
    <row r="1" spans="1:11">
      <c r="A1" s="19" t="s">
        <v>5059</v>
      </c>
      <c r="B1" s="27">
        <v>2025</v>
      </c>
      <c r="G1" s="19" t="s">
        <v>5059</v>
      </c>
      <c r="H1" s="27">
        <v>2025</v>
      </c>
    </row>
    <row r="3" spans="1:11">
      <c r="A3" s="19" t="s">
        <v>5083</v>
      </c>
      <c r="B3" s="28" t="s">
        <v>5085</v>
      </c>
      <c r="C3" s="28" t="s">
        <v>5086</v>
      </c>
      <c r="D3" t="s">
        <v>5087</v>
      </c>
      <c r="E3" s="22" t="s">
        <v>5072</v>
      </c>
      <c r="G3" s="19" t="s">
        <v>5083</v>
      </c>
      <c r="H3" s="28" t="s">
        <v>5085</v>
      </c>
      <c r="I3" s="28" t="s">
        <v>5086</v>
      </c>
      <c r="J3" t="s">
        <v>5087</v>
      </c>
      <c r="K3" s="22" t="s">
        <v>5072</v>
      </c>
    </row>
    <row r="4" spans="1:11">
      <c r="A4" s="20" t="s">
        <v>6</v>
      </c>
      <c r="B4" s="28">
        <v>16818216.59</v>
      </c>
      <c r="C4" s="28">
        <v>18220679.52</v>
      </c>
      <c r="D4" s="21">
        <v>18328</v>
      </c>
      <c r="E4" s="18">
        <f>IFERROR(B4/C4,0)</f>
        <v>0.92302905451684281</v>
      </c>
      <c r="G4" s="20" t="s">
        <v>22</v>
      </c>
      <c r="H4" s="28">
        <v>13988294.109999996</v>
      </c>
      <c r="I4" s="28">
        <v>15280729.84</v>
      </c>
      <c r="J4" s="21">
        <v>18200</v>
      </c>
      <c r="K4" s="18">
        <f>IFERROR(H4/I4,0)</f>
        <v>0.91542054970327225</v>
      </c>
    </row>
    <row r="5" spans="1:11">
      <c r="A5" s="20" t="s">
        <v>9</v>
      </c>
      <c r="B5" s="28">
        <v>16437458.529999994</v>
      </c>
      <c r="C5" s="28">
        <v>16495367.649999999</v>
      </c>
      <c r="D5" s="21">
        <v>23108</v>
      </c>
      <c r="E5" s="18">
        <f t="shared" ref="E5:E8" si="0">IFERROR(B5/C5,0)</f>
        <v>0.99648937075979604</v>
      </c>
      <c r="G5" s="20" t="s">
        <v>24</v>
      </c>
      <c r="H5" s="28">
        <v>15810760.590000004</v>
      </c>
      <c r="I5" s="28">
        <v>16063403.68</v>
      </c>
      <c r="J5" s="21">
        <v>20437</v>
      </c>
      <c r="K5" s="18">
        <f t="shared" ref="K5:K8" si="1">IFERROR(H5/I5,0)</f>
        <v>0.98427213216869136</v>
      </c>
    </row>
    <row r="6" spans="1:11">
      <c r="A6" s="20" t="s">
        <v>15</v>
      </c>
      <c r="B6" s="28">
        <v>14683820.179999992</v>
      </c>
      <c r="C6" s="28">
        <v>14995334.239999993</v>
      </c>
      <c r="D6" s="21">
        <v>14292</v>
      </c>
      <c r="E6" s="18">
        <f t="shared" si="0"/>
        <v>0.97922593421298754</v>
      </c>
      <c r="G6" s="20" t="s">
        <v>20</v>
      </c>
      <c r="H6" s="28">
        <v>20224444.020000011</v>
      </c>
      <c r="I6" s="28">
        <v>20449803.079999998</v>
      </c>
      <c r="J6" s="21">
        <v>26230</v>
      </c>
      <c r="K6" s="18">
        <f t="shared" si="1"/>
        <v>0.98897989094964001</v>
      </c>
    </row>
    <row r="7" spans="1:11">
      <c r="A7" s="20" t="s">
        <v>12</v>
      </c>
      <c r="B7" s="28">
        <v>15078778.440000007</v>
      </c>
      <c r="C7" s="28">
        <v>15485580.180000005</v>
      </c>
      <c r="D7" s="21">
        <v>25957</v>
      </c>
      <c r="E7" s="18">
        <f t="shared" si="0"/>
        <v>0.97373028744990819</v>
      </c>
      <c r="G7" s="20" t="s">
        <v>26</v>
      </c>
      <c r="H7" s="28">
        <v>12994775.02</v>
      </c>
      <c r="I7" s="28">
        <v>13403024.99</v>
      </c>
      <c r="J7" s="21">
        <v>16818</v>
      </c>
      <c r="K7" s="18">
        <f t="shared" si="1"/>
        <v>0.96954046043302944</v>
      </c>
    </row>
    <row r="8" spans="1:11">
      <c r="A8" s="20" t="s">
        <v>5084</v>
      </c>
      <c r="B8" s="28">
        <v>63018273.739999987</v>
      </c>
      <c r="C8" s="28">
        <v>65196961.590000004</v>
      </c>
      <c r="D8" s="21">
        <v>81685</v>
      </c>
      <c r="E8" s="23">
        <f t="shared" si="0"/>
        <v>0.96658298489888239</v>
      </c>
      <c r="G8" s="20" t="s">
        <v>5084</v>
      </c>
      <c r="H8" s="28">
        <v>63018273.74000001</v>
      </c>
      <c r="I8" s="28">
        <v>65196961.589999996</v>
      </c>
      <c r="J8" s="21">
        <v>81685</v>
      </c>
      <c r="K8" s="23">
        <f t="shared" si="1"/>
        <v>0.96658298489888284</v>
      </c>
    </row>
  </sheetData>
  <conditionalFormatting sqref="E3:E8">
    <cfRule type="cellIs" priority="1" operator="lessThan">
      <formula>90</formula>
    </cfRule>
  </conditionalFormatting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Products</vt:lpstr>
      <vt:lpstr>Regions</vt:lpstr>
      <vt:lpstr>Sales_Reps</vt:lpstr>
      <vt:lpstr>HCP_Master</vt:lpstr>
      <vt:lpstr>Sales_Data</vt:lpstr>
      <vt:lpstr>Market_Data</vt:lpstr>
      <vt:lpstr>CRM_Calls</vt:lpstr>
      <vt:lpstr>01_Data_Audit</vt:lpstr>
      <vt:lpstr>02_KPI_Summary</vt:lpstr>
      <vt:lpstr>02_Pivot_Analysis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Morteza Kouhestani</cp:lastModifiedBy>
  <dcterms:modified xsi:type="dcterms:W3CDTF">2026-09-14T21:04:57Z</dcterms:modified>
</cp:coreProperties>
</file>